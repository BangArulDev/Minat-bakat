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F SAHIN\Downloads\"/>
    </mc:Choice>
  </mc:AlternateContent>
  <xr:revisionPtr revIDLastSave="0" documentId="13_ncr:20001_{D016FDA9-9F58-4678-BF8B-D5F96BD8230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 Menu" sheetId="1" r:id="rId1"/>
    <sheet name="entri hasil dari isian siswa" sheetId="2" r:id="rId2"/>
    <sheet name="Hasil Tes siswa" sheetId="3" r:id="rId3"/>
    <sheet name="Laporan Kelompok" sheetId="4" r:id="rId4"/>
    <sheet name="Hasil" sheetId="5" r:id="rId5"/>
    <sheet name="Kunci dari RIASEC" sheetId="6" r:id="rId6"/>
    <sheet name="Kunci Jawaban" sheetId="7" r:id="rId7"/>
    <sheet name="Pertanyaan" sheetId="8" r:id="rId8"/>
  </sheets>
  <calcPr calcId="191029"/>
  <fileRecoveryPr repairLoad="1"/>
</workbook>
</file>

<file path=xl/calcChain.xml><?xml version="1.0" encoding="utf-8"?>
<calcChain xmlns="http://schemas.openxmlformats.org/spreadsheetml/2006/main">
  <c r="V204" i="5" l="1"/>
  <c r="O204" i="5" s="1"/>
  <c r="T204" i="5"/>
  <c r="S204" i="5"/>
  <c r="R204" i="5"/>
  <c r="P204" i="5"/>
  <c r="N204" i="5"/>
  <c r="L204" i="5"/>
  <c r="K204" i="5"/>
  <c r="D204" i="5"/>
  <c r="C204" i="5"/>
  <c r="B204" i="5"/>
  <c r="A204" i="5"/>
  <c r="V203" i="5"/>
  <c r="P203" i="5" s="1"/>
  <c r="T203" i="5"/>
  <c r="S203" i="5"/>
  <c r="R203" i="5"/>
  <c r="N203" i="5"/>
  <c r="L203" i="5"/>
  <c r="D203" i="5"/>
  <c r="C203" i="5"/>
  <c r="B203" i="5"/>
  <c r="A203" i="5"/>
  <c r="AT202" i="5"/>
  <c r="AR202" i="5"/>
  <c r="AQ202" i="5"/>
  <c r="AP202" i="5"/>
  <c r="AL202" i="5"/>
  <c r="AJ202" i="5"/>
  <c r="AH202" i="5"/>
  <c r="AF202" i="5"/>
  <c r="AD202" i="5"/>
  <c r="AB202" i="5"/>
  <c r="Z202" i="5"/>
  <c r="X202" i="5"/>
  <c r="V202" i="5"/>
  <c r="T202" i="5"/>
  <c r="S202" i="5"/>
  <c r="R202" i="5"/>
  <c r="P202" i="5"/>
  <c r="N202" i="5"/>
  <c r="L202" i="5"/>
  <c r="K202" i="5"/>
  <c r="H202" i="5"/>
  <c r="F202" i="5"/>
  <c r="D202" i="5"/>
  <c r="C202" i="5"/>
  <c r="B202" i="5"/>
  <c r="A202" i="5"/>
  <c r="AA201" i="5"/>
  <c r="X201" i="5"/>
  <c r="V201" i="5"/>
  <c r="N201" i="5"/>
  <c r="K201" i="5"/>
  <c r="D201" i="5"/>
  <c r="C201" i="5"/>
  <c r="B201" i="5"/>
  <c r="A201" i="5"/>
  <c r="AT200" i="5"/>
  <c r="AL200" i="5"/>
  <c r="AI200" i="5"/>
  <c r="AH200" i="5"/>
  <c r="Z200" i="5"/>
  <c r="V200" i="5"/>
  <c r="T200" i="5"/>
  <c r="J200" i="5"/>
  <c r="H200" i="5"/>
  <c r="D200" i="5"/>
  <c r="C200" i="5"/>
  <c r="B200" i="5"/>
  <c r="AJ200" i="5" s="1"/>
  <c r="A200" i="5"/>
  <c r="AT199" i="5"/>
  <c r="AR199" i="5"/>
  <c r="AJ199" i="5"/>
  <c r="AH199" i="5"/>
  <c r="AF199" i="5"/>
  <c r="X199" i="5"/>
  <c r="V199" i="5"/>
  <c r="T199" i="5"/>
  <c r="S199" i="5"/>
  <c r="P199" i="5"/>
  <c r="N199" i="5"/>
  <c r="L199" i="5"/>
  <c r="K199" i="5"/>
  <c r="H199" i="5"/>
  <c r="F199" i="5"/>
  <c r="D199" i="5"/>
  <c r="C199" i="5"/>
  <c r="B199" i="5"/>
  <c r="AL199" i="5" s="1"/>
  <c r="A199" i="5"/>
  <c r="AR198" i="5"/>
  <c r="AQ198" i="5"/>
  <c r="AL198" i="5"/>
  <c r="AJ198" i="5"/>
  <c r="AI198" i="5"/>
  <c r="AF198" i="5"/>
  <c r="AD198" i="5"/>
  <c r="Z198" i="5"/>
  <c r="X198" i="5"/>
  <c r="V198" i="5"/>
  <c r="R198" i="5"/>
  <c r="J198" i="5"/>
  <c r="F198" i="5"/>
  <c r="D198" i="5"/>
  <c r="C198" i="5"/>
  <c r="B198" i="5"/>
  <c r="AT198" i="5" s="1"/>
  <c r="A198" i="5"/>
  <c r="AT197" i="5"/>
  <c r="AR197" i="5"/>
  <c r="AQ197" i="5"/>
  <c r="AP197" i="5"/>
  <c r="AL197" i="5"/>
  <c r="AJ197" i="5"/>
  <c r="AI197" i="5"/>
  <c r="AH197" i="5"/>
  <c r="AF197" i="5"/>
  <c r="AD197" i="5"/>
  <c r="AB197" i="5"/>
  <c r="Z197" i="5"/>
  <c r="X197" i="5"/>
  <c r="V197" i="5"/>
  <c r="S197" i="5" s="1"/>
  <c r="T197" i="5"/>
  <c r="R197" i="5"/>
  <c r="P197" i="5"/>
  <c r="K197" i="5"/>
  <c r="J197" i="5"/>
  <c r="H197" i="5"/>
  <c r="F197" i="5"/>
  <c r="D197" i="5"/>
  <c r="C197" i="5"/>
  <c r="B197" i="5"/>
  <c r="A197" i="5"/>
  <c r="AP196" i="5"/>
  <c r="V196" i="5"/>
  <c r="T196" i="5" s="1"/>
  <c r="S196" i="5"/>
  <c r="P196" i="5"/>
  <c r="N196" i="5"/>
  <c r="D196" i="5"/>
  <c r="C196" i="5"/>
  <c r="B196" i="5"/>
  <c r="A196" i="5"/>
  <c r="AT195" i="5"/>
  <c r="AQ195" i="5"/>
  <c r="AH195" i="5"/>
  <c r="AF195" i="5"/>
  <c r="AD195" i="5"/>
  <c r="AA195" i="5"/>
  <c r="Z195" i="5"/>
  <c r="V195" i="5"/>
  <c r="P195" i="5" s="1"/>
  <c r="T195" i="5"/>
  <c r="S195" i="5"/>
  <c r="R195" i="5"/>
  <c r="N195" i="5"/>
  <c r="L195" i="5"/>
  <c r="H195" i="5"/>
  <c r="F195" i="5"/>
  <c r="D195" i="5"/>
  <c r="C195" i="5"/>
  <c r="B195" i="5"/>
  <c r="A195" i="5"/>
  <c r="AT194" i="5"/>
  <c r="AR194" i="5"/>
  <c r="AQ194" i="5"/>
  <c r="AP194" i="5"/>
  <c r="AL194" i="5"/>
  <c r="AJ194" i="5"/>
  <c r="AH194" i="5"/>
  <c r="AF194" i="5"/>
  <c r="AD194" i="5"/>
  <c r="AB194" i="5"/>
  <c r="Z194" i="5"/>
  <c r="X194" i="5"/>
  <c r="V194" i="5"/>
  <c r="T194" i="5"/>
  <c r="S194" i="5"/>
  <c r="R194" i="5"/>
  <c r="P194" i="5"/>
  <c r="N194" i="5"/>
  <c r="L194" i="5"/>
  <c r="K194" i="5"/>
  <c r="H194" i="5"/>
  <c r="F194" i="5"/>
  <c r="D194" i="5"/>
  <c r="C194" i="5"/>
  <c r="B194" i="5"/>
  <c r="A194" i="5"/>
  <c r="AP193" i="5"/>
  <c r="AB193" i="5"/>
  <c r="X193" i="5"/>
  <c r="V193" i="5"/>
  <c r="D193" i="5"/>
  <c r="C193" i="5"/>
  <c r="B193" i="5"/>
  <c r="A193" i="5"/>
  <c r="AN192" i="5"/>
  <c r="AI192" i="5"/>
  <c r="V192" i="5"/>
  <c r="T192" i="5"/>
  <c r="P192" i="5"/>
  <c r="N192" i="5"/>
  <c r="L192" i="5"/>
  <c r="D192" i="5"/>
  <c r="C192" i="5"/>
  <c r="B192" i="5"/>
  <c r="A192" i="5"/>
  <c r="AT191" i="5"/>
  <c r="AR191" i="5"/>
  <c r="AF191" i="5"/>
  <c r="AA191" i="5"/>
  <c r="Z191" i="5"/>
  <c r="X191" i="5"/>
  <c r="V191" i="5"/>
  <c r="T191" i="5"/>
  <c r="S191" i="5"/>
  <c r="P191" i="5"/>
  <c r="N191" i="5"/>
  <c r="L191" i="5"/>
  <c r="K191" i="5"/>
  <c r="H191" i="5"/>
  <c r="D191" i="5"/>
  <c r="C191" i="5"/>
  <c r="B191" i="5"/>
  <c r="A191" i="5"/>
  <c r="AR190" i="5"/>
  <c r="AQ190" i="5"/>
  <c r="AK190" i="5"/>
  <c r="AI190" i="5"/>
  <c r="AH190" i="5"/>
  <c r="AD190" i="5"/>
  <c r="AC190" i="5"/>
  <c r="AB190" i="5"/>
  <c r="V190" i="5"/>
  <c r="Q190" i="5" s="1"/>
  <c r="T190" i="5"/>
  <c r="S190" i="5"/>
  <c r="P190" i="5"/>
  <c r="O190" i="5"/>
  <c r="M190" i="5"/>
  <c r="L190" i="5"/>
  <c r="K190" i="5"/>
  <c r="J190" i="5"/>
  <c r="G190" i="5"/>
  <c r="F190" i="5"/>
  <c r="D190" i="5"/>
  <c r="C190" i="5"/>
  <c r="B190" i="5"/>
  <c r="AL190" i="5" s="1"/>
  <c r="A190" i="5"/>
  <c r="AT189" i="5"/>
  <c r="AQ189" i="5"/>
  <c r="AP189" i="5"/>
  <c r="AN189" i="5"/>
  <c r="AL189" i="5"/>
  <c r="AK189" i="5"/>
  <c r="AH189" i="5"/>
  <c r="AF189" i="5"/>
  <c r="AE189" i="5"/>
  <c r="AC189" i="5"/>
  <c r="AB189" i="5"/>
  <c r="Y189" i="5"/>
  <c r="X189" i="5"/>
  <c r="W189" i="5"/>
  <c r="V189" i="5"/>
  <c r="S189" i="5" s="1"/>
  <c r="T189" i="5"/>
  <c r="AU189" i="5" s="1"/>
  <c r="AV189" i="5" s="1"/>
  <c r="R189" i="5"/>
  <c r="Q189" i="5"/>
  <c r="P189" i="5"/>
  <c r="O189" i="5"/>
  <c r="N189" i="5"/>
  <c r="M189" i="5"/>
  <c r="L189" i="5"/>
  <c r="I189" i="5"/>
  <c r="H189" i="5"/>
  <c r="G189" i="5"/>
  <c r="E189" i="5"/>
  <c r="D189" i="5"/>
  <c r="C189" i="5"/>
  <c r="B189" i="5"/>
  <c r="AM189" i="5" s="1"/>
  <c r="A189" i="5"/>
  <c r="AU188" i="5"/>
  <c r="AV188" i="5" s="1"/>
  <c r="AS188" i="5"/>
  <c r="AR188" i="5"/>
  <c r="AP188" i="5"/>
  <c r="AM188" i="5"/>
  <c r="AK188" i="5"/>
  <c r="AJ188" i="5"/>
  <c r="AH188" i="5"/>
  <c r="AG188" i="5"/>
  <c r="AF188" i="5"/>
  <c r="AB188" i="5"/>
  <c r="Z188" i="5"/>
  <c r="Y188" i="5"/>
  <c r="X188" i="5"/>
  <c r="W188" i="5"/>
  <c r="V188" i="5"/>
  <c r="S188" i="5" s="1"/>
  <c r="T188" i="5"/>
  <c r="U188" i="5" s="1"/>
  <c r="R188" i="5"/>
  <c r="Q188" i="5"/>
  <c r="P188" i="5"/>
  <c r="O188" i="5"/>
  <c r="N188" i="5"/>
  <c r="M188" i="5"/>
  <c r="L188" i="5"/>
  <c r="J188" i="5"/>
  <c r="I188" i="5"/>
  <c r="H188" i="5"/>
  <c r="G188" i="5"/>
  <c r="E188" i="5"/>
  <c r="D188" i="5"/>
  <c r="C188" i="5"/>
  <c r="B188" i="5"/>
  <c r="AN188" i="5" s="1"/>
  <c r="A188" i="5"/>
  <c r="AU187" i="5"/>
  <c r="AV187" i="5" s="1"/>
  <c r="AS187" i="5"/>
  <c r="AR187" i="5"/>
  <c r="AP187" i="5"/>
  <c r="AO187" i="5"/>
  <c r="AM187" i="5"/>
  <c r="AK187" i="5"/>
  <c r="AJ187" i="5"/>
  <c r="AH187" i="5"/>
  <c r="AG187" i="5"/>
  <c r="AF187" i="5"/>
  <c r="AE187" i="5"/>
  <c r="AB187" i="5"/>
  <c r="Z187" i="5"/>
  <c r="Y187" i="5"/>
  <c r="X187" i="5"/>
  <c r="W187" i="5"/>
  <c r="V187" i="5"/>
  <c r="S187" i="5" s="1"/>
  <c r="U187" i="5"/>
  <c r="T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E187" i="5"/>
  <c r="D187" i="5"/>
  <c r="C187" i="5"/>
  <c r="B187" i="5"/>
  <c r="A187" i="5"/>
  <c r="AU186" i="5"/>
  <c r="AV186" i="5" s="1"/>
  <c r="AS186" i="5"/>
  <c r="AR186" i="5"/>
  <c r="AP186" i="5"/>
  <c r="AO186" i="5"/>
  <c r="AM186" i="5"/>
  <c r="AK186" i="5"/>
  <c r="AJ186" i="5"/>
  <c r="AH186" i="5"/>
  <c r="AG186" i="5"/>
  <c r="AF186" i="5"/>
  <c r="AE186" i="5"/>
  <c r="AB186" i="5"/>
  <c r="Z186" i="5"/>
  <c r="Y186" i="5"/>
  <c r="X186" i="5"/>
  <c r="W186" i="5"/>
  <c r="V186" i="5"/>
  <c r="S186" i="5" s="1"/>
  <c r="U186" i="5"/>
  <c r="T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E186" i="5"/>
  <c r="D186" i="5"/>
  <c r="C186" i="5"/>
  <c r="B186" i="5"/>
  <c r="A186" i="5"/>
  <c r="AU185" i="5"/>
  <c r="AV185" i="5" s="1"/>
  <c r="AS185" i="5"/>
  <c r="AR185" i="5"/>
  <c r="AP185" i="5"/>
  <c r="AO185" i="5"/>
  <c r="AM185" i="5"/>
  <c r="AK185" i="5"/>
  <c r="AJ185" i="5"/>
  <c r="AH185" i="5"/>
  <c r="AG185" i="5"/>
  <c r="AF185" i="5"/>
  <c r="AE185" i="5"/>
  <c r="AB185" i="5"/>
  <c r="Z185" i="5"/>
  <c r="Y185" i="5"/>
  <c r="X185" i="5"/>
  <c r="W185" i="5"/>
  <c r="V185" i="5"/>
  <c r="S185" i="5" s="1"/>
  <c r="U185" i="5"/>
  <c r="T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E185" i="5"/>
  <c r="D185" i="5"/>
  <c r="C185" i="5"/>
  <c r="B185" i="5"/>
  <c r="A185" i="5"/>
  <c r="AU184" i="5"/>
  <c r="AV184" i="5" s="1"/>
  <c r="AO184" i="5"/>
  <c r="AH184" i="5"/>
  <c r="V184" i="5"/>
  <c r="S184" i="5" s="1"/>
  <c r="U184" i="5"/>
  <c r="T184" i="5"/>
  <c r="R184" i="5"/>
  <c r="Q184" i="5"/>
  <c r="P184" i="5"/>
  <c r="O184" i="5"/>
  <c r="N184" i="5"/>
  <c r="M184" i="5"/>
  <c r="L184" i="5"/>
  <c r="D184" i="5"/>
  <c r="C184" i="5"/>
  <c r="B184" i="5"/>
  <c r="A184" i="5"/>
  <c r="AE183" i="5"/>
  <c r="W183" i="5"/>
  <c r="V183" i="5"/>
  <c r="S183" i="5" s="1"/>
  <c r="T183" i="5"/>
  <c r="AU183" i="5" s="1"/>
  <c r="AV183" i="5" s="1"/>
  <c r="R183" i="5"/>
  <c r="Q183" i="5"/>
  <c r="P183" i="5"/>
  <c r="O183" i="5"/>
  <c r="N183" i="5"/>
  <c r="M183" i="5"/>
  <c r="L183" i="5"/>
  <c r="D183" i="5"/>
  <c r="C183" i="5"/>
  <c r="B183" i="5"/>
  <c r="A183" i="5"/>
  <c r="AS182" i="5"/>
  <c r="AR182" i="5"/>
  <c r="AP182" i="5"/>
  <c r="AO182" i="5"/>
  <c r="AN182" i="5"/>
  <c r="AM182" i="5"/>
  <c r="AH182" i="5"/>
  <c r="AG182" i="5"/>
  <c r="AF182" i="5"/>
  <c r="AE182" i="5"/>
  <c r="AC182" i="5"/>
  <c r="AB182" i="5"/>
  <c r="Y182" i="5"/>
  <c r="X182" i="5"/>
  <c r="W182" i="5"/>
  <c r="V182" i="5"/>
  <c r="S182" i="5" s="1"/>
  <c r="U182" i="5"/>
  <c r="T182" i="5"/>
  <c r="AU182" i="5" s="1"/>
  <c r="AV182" i="5" s="1"/>
  <c r="Q182" i="5"/>
  <c r="P182" i="5"/>
  <c r="O182" i="5"/>
  <c r="N182" i="5"/>
  <c r="M182" i="5"/>
  <c r="L182" i="5"/>
  <c r="I182" i="5"/>
  <c r="H182" i="5"/>
  <c r="G182" i="5"/>
  <c r="F182" i="5"/>
  <c r="E182" i="5"/>
  <c r="D182" i="5"/>
  <c r="C182" i="5"/>
  <c r="B182" i="5"/>
  <c r="A182" i="5"/>
  <c r="AT181" i="5"/>
  <c r="AS181" i="5"/>
  <c r="AR181" i="5"/>
  <c r="AO181" i="5"/>
  <c r="AN181" i="5"/>
  <c r="AM181" i="5"/>
  <c r="AL181" i="5"/>
  <c r="AK181" i="5"/>
  <c r="AJ181" i="5"/>
  <c r="AG181" i="5"/>
  <c r="AF181" i="5"/>
  <c r="AE181" i="5"/>
  <c r="AD181" i="5"/>
  <c r="AC181" i="5"/>
  <c r="AB181" i="5"/>
  <c r="Y181" i="5"/>
  <c r="X181" i="5"/>
  <c r="W181" i="5"/>
  <c r="V181" i="5"/>
  <c r="S181" i="5" s="1"/>
  <c r="T181" i="5"/>
  <c r="Q181" i="5"/>
  <c r="P181" i="5"/>
  <c r="O181" i="5"/>
  <c r="N181" i="5"/>
  <c r="M181" i="5"/>
  <c r="L181" i="5"/>
  <c r="I181" i="5"/>
  <c r="H181" i="5"/>
  <c r="G181" i="5"/>
  <c r="F181" i="5"/>
  <c r="E181" i="5"/>
  <c r="D181" i="5"/>
  <c r="C181" i="5"/>
  <c r="B181" i="5"/>
  <c r="AQ181" i="5" s="1"/>
  <c r="A181" i="5"/>
  <c r="AU180" i="5"/>
  <c r="AV180" i="5" s="1"/>
  <c r="AT180" i="5"/>
  <c r="AS180" i="5"/>
  <c r="AR180" i="5"/>
  <c r="AO180" i="5"/>
  <c r="AN180" i="5"/>
  <c r="AM180" i="5"/>
  <c r="AL180" i="5"/>
  <c r="AK180" i="5"/>
  <c r="AJ180" i="5"/>
  <c r="AG180" i="5"/>
  <c r="AF180" i="5"/>
  <c r="AE180" i="5"/>
  <c r="AD180" i="5"/>
  <c r="AC180" i="5"/>
  <c r="AB180" i="5"/>
  <c r="Y180" i="5"/>
  <c r="X180" i="5"/>
  <c r="W180" i="5"/>
  <c r="V180" i="5"/>
  <c r="S180" i="5" s="1"/>
  <c r="T180" i="5"/>
  <c r="U180" i="5" s="1"/>
  <c r="Q180" i="5"/>
  <c r="P180" i="5"/>
  <c r="O180" i="5"/>
  <c r="N180" i="5"/>
  <c r="M180" i="5"/>
  <c r="L180" i="5"/>
  <c r="I180" i="5"/>
  <c r="H180" i="5"/>
  <c r="G180" i="5"/>
  <c r="F180" i="5"/>
  <c r="E180" i="5"/>
  <c r="D180" i="5"/>
  <c r="C180" i="5"/>
  <c r="B180" i="5"/>
  <c r="AQ180" i="5" s="1"/>
  <c r="A180" i="5"/>
  <c r="AT179" i="5"/>
  <c r="AS179" i="5"/>
  <c r="AR179" i="5"/>
  <c r="AO179" i="5"/>
  <c r="AN179" i="5"/>
  <c r="AM179" i="5"/>
  <c r="AL179" i="5"/>
  <c r="AK179" i="5"/>
  <c r="AJ179" i="5"/>
  <c r="AG179" i="5"/>
  <c r="AF179" i="5"/>
  <c r="AE179" i="5"/>
  <c r="AD179" i="5"/>
  <c r="AC179" i="5"/>
  <c r="AB179" i="5"/>
  <c r="Y179" i="5"/>
  <c r="X179" i="5"/>
  <c r="W179" i="5"/>
  <c r="V179" i="5"/>
  <c r="S179" i="5" s="1"/>
  <c r="T179" i="5"/>
  <c r="AU179" i="5" s="1"/>
  <c r="AV179" i="5" s="1"/>
  <c r="Q179" i="5"/>
  <c r="P179" i="5"/>
  <c r="O179" i="5"/>
  <c r="N179" i="5"/>
  <c r="M179" i="5"/>
  <c r="L179" i="5"/>
  <c r="I179" i="5"/>
  <c r="H179" i="5"/>
  <c r="G179" i="5"/>
  <c r="F179" i="5"/>
  <c r="E179" i="5"/>
  <c r="D179" i="5"/>
  <c r="C179" i="5"/>
  <c r="B179" i="5"/>
  <c r="AQ179" i="5" s="1"/>
  <c r="A179" i="5"/>
  <c r="AU178" i="5"/>
  <c r="AV178" i="5" s="1"/>
  <c r="AT178" i="5"/>
  <c r="AS178" i="5"/>
  <c r="AR178" i="5"/>
  <c r="AO178" i="5"/>
  <c r="AN178" i="5"/>
  <c r="AM178" i="5"/>
  <c r="AL178" i="5"/>
  <c r="AK178" i="5"/>
  <c r="AJ178" i="5"/>
  <c r="AG178" i="5"/>
  <c r="AF178" i="5"/>
  <c r="AE178" i="5"/>
  <c r="AD178" i="5"/>
  <c r="AC178" i="5"/>
  <c r="AB178" i="5"/>
  <c r="Y178" i="5"/>
  <c r="X178" i="5"/>
  <c r="W178" i="5"/>
  <c r="V178" i="5"/>
  <c r="S178" i="5" s="1"/>
  <c r="T178" i="5"/>
  <c r="U178" i="5" s="1"/>
  <c r="Q178" i="5"/>
  <c r="P178" i="5"/>
  <c r="O178" i="5"/>
  <c r="N178" i="5"/>
  <c r="M178" i="5"/>
  <c r="L178" i="5"/>
  <c r="I178" i="5"/>
  <c r="H178" i="5"/>
  <c r="G178" i="5"/>
  <c r="F178" i="5"/>
  <c r="E178" i="5"/>
  <c r="D178" i="5"/>
  <c r="C178" i="5"/>
  <c r="B178" i="5"/>
  <c r="AQ178" i="5" s="1"/>
  <c r="A178" i="5"/>
  <c r="AU177" i="5"/>
  <c r="AV177" i="5" s="1"/>
  <c r="AT177" i="5"/>
  <c r="AS177" i="5"/>
  <c r="AR177" i="5"/>
  <c r="AO177" i="5"/>
  <c r="AN177" i="5"/>
  <c r="AM177" i="5"/>
  <c r="AL177" i="5"/>
  <c r="AK177" i="5"/>
  <c r="AJ177" i="5"/>
  <c r="AG177" i="5"/>
  <c r="AF177" i="5"/>
  <c r="AE177" i="5"/>
  <c r="AD177" i="5"/>
  <c r="AC177" i="5"/>
  <c r="AB177" i="5"/>
  <c r="Y177" i="5"/>
  <c r="X177" i="5"/>
  <c r="W177" i="5"/>
  <c r="V177" i="5"/>
  <c r="S177" i="5" s="1"/>
  <c r="U177" i="5"/>
  <c r="T177" i="5"/>
  <c r="Q177" i="5"/>
  <c r="P177" i="5"/>
  <c r="O177" i="5"/>
  <c r="N177" i="5"/>
  <c r="M177" i="5"/>
  <c r="L177" i="5"/>
  <c r="I177" i="5"/>
  <c r="H177" i="5"/>
  <c r="G177" i="5"/>
  <c r="F177" i="5"/>
  <c r="E177" i="5"/>
  <c r="D177" i="5"/>
  <c r="C177" i="5"/>
  <c r="B177" i="5"/>
  <c r="AQ177" i="5" s="1"/>
  <c r="A177" i="5"/>
  <c r="AT176" i="5"/>
  <c r="AS176" i="5"/>
  <c r="AR176" i="5"/>
  <c r="AO176" i="5"/>
  <c r="AN176" i="5"/>
  <c r="AM176" i="5"/>
  <c r="AL176" i="5"/>
  <c r="AK176" i="5"/>
  <c r="AJ176" i="5"/>
  <c r="AG176" i="5"/>
  <c r="AF176" i="5"/>
  <c r="AE176" i="5"/>
  <c r="AD176" i="5"/>
  <c r="AC176" i="5"/>
  <c r="AB176" i="5"/>
  <c r="Y176" i="5"/>
  <c r="X176" i="5"/>
  <c r="W176" i="5"/>
  <c r="V176" i="5"/>
  <c r="S176" i="5" s="1"/>
  <c r="U176" i="5"/>
  <c r="T176" i="5"/>
  <c r="AU176" i="5" s="1"/>
  <c r="AV176" i="5" s="1"/>
  <c r="Q176" i="5"/>
  <c r="P176" i="5"/>
  <c r="O176" i="5"/>
  <c r="N176" i="5"/>
  <c r="M176" i="5"/>
  <c r="L176" i="5"/>
  <c r="I176" i="5"/>
  <c r="H176" i="5"/>
  <c r="G176" i="5"/>
  <c r="F176" i="5"/>
  <c r="E176" i="5"/>
  <c r="D176" i="5"/>
  <c r="C176" i="5"/>
  <c r="B176" i="5"/>
  <c r="AQ176" i="5" s="1"/>
  <c r="A176" i="5"/>
  <c r="AU175" i="5"/>
  <c r="AV175" i="5" s="1"/>
  <c r="AT175" i="5"/>
  <c r="AS175" i="5"/>
  <c r="AR175" i="5"/>
  <c r="AO175" i="5"/>
  <c r="AN175" i="5"/>
  <c r="AM175" i="5"/>
  <c r="AL175" i="5"/>
  <c r="AK175" i="5"/>
  <c r="AJ175" i="5"/>
  <c r="AG175" i="5"/>
  <c r="AF175" i="5"/>
  <c r="AE175" i="5"/>
  <c r="AD175" i="5"/>
  <c r="AC175" i="5"/>
  <c r="AB175" i="5"/>
  <c r="Y175" i="5"/>
  <c r="X175" i="5"/>
  <c r="W175" i="5"/>
  <c r="V175" i="5"/>
  <c r="S175" i="5" s="1"/>
  <c r="U175" i="5"/>
  <c r="T175" i="5"/>
  <c r="Q175" i="5"/>
  <c r="P175" i="5"/>
  <c r="O175" i="5"/>
  <c r="N175" i="5"/>
  <c r="M175" i="5"/>
  <c r="L175" i="5"/>
  <c r="I175" i="5"/>
  <c r="H175" i="5"/>
  <c r="G175" i="5"/>
  <c r="F175" i="5"/>
  <c r="E175" i="5"/>
  <c r="D175" i="5"/>
  <c r="C175" i="5"/>
  <c r="B175" i="5"/>
  <c r="AQ175" i="5" s="1"/>
  <c r="A175" i="5"/>
  <c r="AU174" i="5"/>
  <c r="AV174" i="5" s="1"/>
  <c r="AT174" i="5"/>
  <c r="AS174" i="5"/>
  <c r="AR174" i="5"/>
  <c r="AO174" i="5"/>
  <c r="AN174" i="5"/>
  <c r="AM174" i="5"/>
  <c r="AL174" i="5"/>
  <c r="AK174" i="5"/>
  <c r="AJ174" i="5"/>
  <c r="AG174" i="5"/>
  <c r="AF174" i="5"/>
  <c r="AE174" i="5"/>
  <c r="AD174" i="5"/>
  <c r="AC174" i="5"/>
  <c r="AB174" i="5"/>
  <c r="Y174" i="5"/>
  <c r="X174" i="5"/>
  <c r="W174" i="5"/>
  <c r="V174" i="5"/>
  <c r="S174" i="5" s="1"/>
  <c r="U174" i="5"/>
  <c r="T174" i="5"/>
  <c r="Q174" i="5"/>
  <c r="P174" i="5"/>
  <c r="O174" i="5"/>
  <c r="N174" i="5"/>
  <c r="M174" i="5"/>
  <c r="L174" i="5"/>
  <c r="I174" i="5"/>
  <c r="H174" i="5"/>
  <c r="G174" i="5"/>
  <c r="F174" i="5"/>
  <c r="E174" i="5"/>
  <c r="D174" i="5"/>
  <c r="C174" i="5"/>
  <c r="B174" i="5"/>
  <c r="AQ174" i="5" s="1"/>
  <c r="A174" i="5"/>
  <c r="AT173" i="5"/>
  <c r="AS173" i="5"/>
  <c r="AR173" i="5"/>
  <c r="AO173" i="5"/>
  <c r="AN173" i="5"/>
  <c r="AM173" i="5"/>
  <c r="AL173" i="5"/>
  <c r="AK173" i="5"/>
  <c r="AJ173" i="5"/>
  <c r="AG173" i="5"/>
  <c r="AF173" i="5"/>
  <c r="AE173" i="5"/>
  <c r="AD173" i="5"/>
  <c r="AC173" i="5"/>
  <c r="AB173" i="5"/>
  <c r="Y173" i="5"/>
  <c r="X173" i="5"/>
  <c r="W173" i="5"/>
  <c r="V173" i="5"/>
  <c r="S173" i="5" s="1"/>
  <c r="T173" i="5"/>
  <c r="Q173" i="5"/>
  <c r="P173" i="5"/>
  <c r="O173" i="5"/>
  <c r="N173" i="5"/>
  <c r="M173" i="5"/>
  <c r="L173" i="5"/>
  <c r="I173" i="5"/>
  <c r="H173" i="5"/>
  <c r="G173" i="5"/>
  <c r="F173" i="5"/>
  <c r="E173" i="5"/>
  <c r="D173" i="5"/>
  <c r="C173" i="5"/>
  <c r="B173" i="5"/>
  <c r="AQ173" i="5" s="1"/>
  <c r="A173" i="5"/>
  <c r="AU172" i="5"/>
  <c r="AV172" i="5" s="1"/>
  <c r="AT172" i="5"/>
  <c r="AS172" i="5"/>
  <c r="AR172" i="5"/>
  <c r="AO172" i="5"/>
  <c r="AN172" i="5"/>
  <c r="AM172" i="5"/>
  <c r="AL172" i="5"/>
  <c r="AK172" i="5"/>
  <c r="AJ172" i="5"/>
  <c r="AG172" i="5"/>
  <c r="AF172" i="5"/>
  <c r="AE172" i="5"/>
  <c r="AD172" i="5"/>
  <c r="AC172" i="5"/>
  <c r="AB172" i="5"/>
  <c r="Y172" i="5"/>
  <c r="X172" i="5"/>
  <c r="W172" i="5"/>
  <c r="V172" i="5"/>
  <c r="S172" i="5" s="1"/>
  <c r="T172" i="5"/>
  <c r="U172" i="5" s="1"/>
  <c r="Q172" i="5"/>
  <c r="P172" i="5"/>
  <c r="O172" i="5"/>
  <c r="N172" i="5"/>
  <c r="M172" i="5"/>
  <c r="L172" i="5"/>
  <c r="I172" i="5"/>
  <c r="H172" i="5"/>
  <c r="G172" i="5"/>
  <c r="F172" i="5"/>
  <c r="E172" i="5"/>
  <c r="D172" i="5"/>
  <c r="C172" i="5"/>
  <c r="B172" i="5"/>
  <c r="AQ172" i="5" s="1"/>
  <c r="A172" i="5"/>
  <c r="AU171" i="5"/>
  <c r="AV171" i="5" s="1"/>
  <c r="AT171" i="5"/>
  <c r="AS171" i="5"/>
  <c r="AR171" i="5"/>
  <c r="AO171" i="5"/>
  <c r="AN171" i="5"/>
  <c r="AM171" i="5"/>
  <c r="AL171" i="5"/>
  <c r="AK171" i="5"/>
  <c r="AJ171" i="5"/>
  <c r="AG171" i="5"/>
  <c r="AF171" i="5"/>
  <c r="AE171" i="5"/>
  <c r="AD171" i="5"/>
  <c r="AC171" i="5"/>
  <c r="AB171" i="5"/>
  <c r="Y171" i="5"/>
  <c r="X171" i="5"/>
  <c r="W171" i="5"/>
  <c r="V171" i="5"/>
  <c r="S171" i="5" s="1"/>
  <c r="U171" i="5"/>
  <c r="T171" i="5"/>
  <c r="Q171" i="5"/>
  <c r="P171" i="5"/>
  <c r="O171" i="5"/>
  <c r="N171" i="5"/>
  <c r="M171" i="5"/>
  <c r="L171" i="5"/>
  <c r="I171" i="5"/>
  <c r="H171" i="5"/>
  <c r="G171" i="5"/>
  <c r="F171" i="5"/>
  <c r="E171" i="5"/>
  <c r="D171" i="5"/>
  <c r="C171" i="5"/>
  <c r="B171" i="5"/>
  <c r="AQ171" i="5" s="1"/>
  <c r="A171" i="5"/>
  <c r="AT170" i="5"/>
  <c r="AS170" i="5"/>
  <c r="AR170" i="5"/>
  <c r="AO170" i="5"/>
  <c r="AN170" i="5"/>
  <c r="AM170" i="5"/>
  <c r="AL170" i="5"/>
  <c r="AK170" i="5"/>
  <c r="AJ170" i="5"/>
  <c r="AG170" i="5"/>
  <c r="AF170" i="5"/>
  <c r="AE170" i="5"/>
  <c r="AD170" i="5"/>
  <c r="AC170" i="5"/>
  <c r="AB170" i="5"/>
  <c r="Y170" i="5"/>
  <c r="X170" i="5"/>
  <c r="W170" i="5"/>
  <c r="V170" i="5"/>
  <c r="S170" i="5" s="1"/>
  <c r="U170" i="5"/>
  <c r="T170" i="5"/>
  <c r="AU170" i="5" s="1"/>
  <c r="AV170" i="5" s="1"/>
  <c r="Q170" i="5"/>
  <c r="P170" i="5"/>
  <c r="O170" i="5"/>
  <c r="N170" i="5"/>
  <c r="M170" i="5"/>
  <c r="L170" i="5"/>
  <c r="I170" i="5"/>
  <c r="H170" i="5"/>
  <c r="G170" i="5"/>
  <c r="F170" i="5"/>
  <c r="E170" i="5"/>
  <c r="D170" i="5"/>
  <c r="C170" i="5"/>
  <c r="B170" i="5"/>
  <c r="AQ170" i="5" s="1"/>
  <c r="A170" i="5"/>
  <c r="AU169" i="5"/>
  <c r="AV169" i="5" s="1"/>
  <c r="AT169" i="5"/>
  <c r="AS169" i="5"/>
  <c r="AR169" i="5"/>
  <c r="AO169" i="5"/>
  <c r="AN169" i="5"/>
  <c r="AM169" i="5"/>
  <c r="AL169" i="5"/>
  <c r="AK169" i="5"/>
  <c r="AJ169" i="5"/>
  <c r="AG169" i="5"/>
  <c r="AF169" i="5"/>
  <c r="AE169" i="5"/>
  <c r="AD169" i="5"/>
  <c r="AC169" i="5"/>
  <c r="AB169" i="5"/>
  <c r="Y169" i="5"/>
  <c r="X169" i="5"/>
  <c r="W169" i="5"/>
  <c r="V169" i="5"/>
  <c r="S169" i="5" s="1"/>
  <c r="U169" i="5"/>
  <c r="T169" i="5"/>
  <c r="Q169" i="5"/>
  <c r="P169" i="5"/>
  <c r="O169" i="5"/>
  <c r="N169" i="5"/>
  <c r="M169" i="5"/>
  <c r="L169" i="5"/>
  <c r="I169" i="5"/>
  <c r="H169" i="5"/>
  <c r="G169" i="5"/>
  <c r="F169" i="5"/>
  <c r="E169" i="5"/>
  <c r="D169" i="5"/>
  <c r="C169" i="5"/>
  <c r="B169" i="5"/>
  <c r="AQ169" i="5" s="1"/>
  <c r="A169" i="5"/>
  <c r="AU168" i="5"/>
  <c r="AV168" i="5" s="1"/>
  <c r="AT168" i="5"/>
  <c r="AS168" i="5"/>
  <c r="AR168" i="5"/>
  <c r="AO168" i="5"/>
  <c r="AN168" i="5"/>
  <c r="AM168" i="5"/>
  <c r="AL168" i="5"/>
  <c r="AK168" i="5"/>
  <c r="AJ168" i="5"/>
  <c r="AG168" i="5"/>
  <c r="AF168" i="5"/>
  <c r="AE168" i="5"/>
  <c r="AD168" i="5"/>
  <c r="AC168" i="5"/>
  <c r="AB168" i="5"/>
  <c r="Y168" i="5"/>
  <c r="X168" i="5"/>
  <c r="W168" i="5"/>
  <c r="V168" i="5"/>
  <c r="T168" i="5"/>
  <c r="U168" i="5" s="1"/>
  <c r="Q168" i="5"/>
  <c r="P168" i="5"/>
  <c r="O168" i="5"/>
  <c r="N168" i="5"/>
  <c r="M168" i="5"/>
  <c r="L168" i="5"/>
  <c r="I168" i="5"/>
  <c r="H168" i="5"/>
  <c r="G168" i="5"/>
  <c r="F168" i="5"/>
  <c r="E168" i="5"/>
  <c r="D168" i="5"/>
  <c r="C168" i="5"/>
  <c r="B168" i="5"/>
  <c r="AQ168" i="5" s="1"/>
  <c r="A168" i="5"/>
  <c r="AT167" i="5"/>
  <c r="AS167" i="5"/>
  <c r="AR167" i="5"/>
  <c r="AO167" i="5"/>
  <c r="AN167" i="5"/>
  <c r="AM167" i="5"/>
  <c r="AL167" i="5"/>
  <c r="AK167" i="5"/>
  <c r="AJ167" i="5"/>
  <c r="AG167" i="5"/>
  <c r="AF167" i="5"/>
  <c r="AE167" i="5"/>
  <c r="AD167" i="5"/>
  <c r="AC167" i="5"/>
  <c r="AB167" i="5"/>
  <c r="Y167" i="5"/>
  <c r="X167" i="5"/>
  <c r="W167" i="5"/>
  <c r="V167" i="5"/>
  <c r="I167" i="5"/>
  <c r="H167" i="5"/>
  <c r="G167" i="5"/>
  <c r="F167" i="5"/>
  <c r="E167" i="5"/>
  <c r="D167" i="5"/>
  <c r="C167" i="5"/>
  <c r="B167" i="5"/>
  <c r="AQ167" i="5" s="1"/>
  <c r="A167" i="5"/>
  <c r="AT166" i="5"/>
  <c r="AS166" i="5"/>
  <c r="AR166" i="5"/>
  <c r="AO166" i="5"/>
  <c r="AN166" i="5"/>
  <c r="AM166" i="5"/>
  <c r="AL166" i="5"/>
  <c r="AK166" i="5"/>
  <c r="AJ166" i="5"/>
  <c r="AG166" i="5"/>
  <c r="AF166" i="5"/>
  <c r="AE166" i="5"/>
  <c r="AD166" i="5"/>
  <c r="AC166" i="5"/>
  <c r="AB166" i="5"/>
  <c r="Y166" i="5"/>
  <c r="X166" i="5"/>
  <c r="W166" i="5"/>
  <c r="V166" i="5"/>
  <c r="U166" i="5"/>
  <c r="T166" i="5"/>
  <c r="AU166" i="5" s="1"/>
  <c r="AV166" i="5" s="1"/>
  <c r="Q166" i="5"/>
  <c r="M166" i="5"/>
  <c r="L166" i="5"/>
  <c r="I166" i="5"/>
  <c r="H166" i="5"/>
  <c r="G166" i="5"/>
  <c r="F166" i="5"/>
  <c r="E166" i="5"/>
  <c r="D166" i="5"/>
  <c r="C166" i="5"/>
  <c r="B166" i="5"/>
  <c r="AQ166" i="5" s="1"/>
  <c r="A166" i="5"/>
  <c r="AV165" i="5"/>
  <c r="AU165" i="5"/>
  <c r="AT165" i="5"/>
  <c r="AS165" i="5"/>
  <c r="AR165" i="5"/>
  <c r="AO165" i="5"/>
  <c r="AN165" i="5"/>
  <c r="AM165" i="5"/>
  <c r="AL165" i="5"/>
  <c r="AK165" i="5"/>
  <c r="AJ165" i="5"/>
  <c r="AG165" i="5"/>
  <c r="AF165" i="5"/>
  <c r="AE165" i="5"/>
  <c r="AD165" i="5"/>
  <c r="AC165" i="5"/>
  <c r="AB165" i="5"/>
  <c r="Y165" i="5"/>
  <c r="X165" i="5"/>
  <c r="W165" i="5"/>
  <c r="V165" i="5"/>
  <c r="T165" i="5"/>
  <c r="U165" i="5" s="1"/>
  <c r="Q165" i="5"/>
  <c r="P165" i="5"/>
  <c r="O165" i="5"/>
  <c r="L165" i="5"/>
  <c r="I165" i="5"/>
  <c r="H165" i="5"/>
  <c r="G165" i="5"/>
  <c r="F165" i="5"/>
  <c r="E165" i="5"/>
  <c r="D165" i="5"/>
  <c r="C165" i="5"/>
  <c r="B165" i="5"/>
  <c r="AQ165" i="5" s="1"/>
  <c r="A165" i="5"/>
  <c r="AU164" i="5"/>
  <c r="AV164" i="5" s="1"/>
  <c r="AT164" i="5"/>
  <c r="AS164" i="5"/>
  <c r="AR164" i="5"/>
  <c r="AO164" i="5"/>
  <c r="AN164" i="5"/>
  <c r="AM164" i="5"/>
  <c r="AL164" i="5"/>
  <c r="AK164" i="5"/>
  <c r="AJ164" i="5"/>
  <c r="AG164" i="5"/>
  <c r="AF164" i="5"/>
  <c r="AE164" i="5"/>
  <c r="AD164" i="5"/>
  <c r="AC164" i="5"/>
  <c r="AB164" i="5"/>
  <c r="Y164" i="5"/>
  <c r="X164" i="5"/>
  <c r="W164" i="5"/>
  <c r="V164" i="5"/>
  <c r="T164" i="5"/>
  <c r="U164" i="5" s="1"/>
  <c r="Q164" i="5"/>
  <c r="P164" i="5"/>
  <c r="O164" i="5"/>
  <c r="N164" i="5"/>
  <c r="M164" i="5"/>
  <c r="L164" i="5"/>
  <c r="I164" i="5"/>
  <c r="H164" i="5"/>
  <c r="G164" i="5"/>
  <c r="F164" i="5"/>
  <c r="E164" i="5"/>
  <c r="D164" i="5"/>
  <c r="C164" i="5"/>
  <c r="B164" i="5"/>
  <c r="AQ164" i="5" s="1"/>
  <c r="A164" i="5"/>
  <c r="AT163" i="5"/>
  <c r="AS163" i="5"/>
  <c r="AR163" i="5"/>
  <c r="AO163" i="5"/>
  <c r="AN163" i="5"/>
  <c r="AM163" i="5"/>
  <c r="AL163" i="5"/>
  <c r="AK163" i="5"/>
  <c r="AJ163" i="5"/>
  <c r="AG163" i="5"/>
  <c r="AF163" i="5"/>
  <c r="AE163" i="5"/>
  <c r="AD163" i="5"/>
  <c r="AC163" i="5"/>
  <c r="AB163" i="5"/>
  <c r="Y163" i="5"/>
  <c r="X163" i="5"/>
  <c r="W163" i="5"/>
  <c r="V163" i="5"/>
  <c r="M163" i="5"/>
  <c r="I163" i="5"/>
  <c r="H163" i="5"/>
  <c r="G163" i="5"/>
  <c r="F163" i="5"/>
  <c r="E163" i="5"/>
  <c r="D163" i="5"/>
  <c r="C163" i="5"/>
  <c r="B163" i="5"/>
  <c r="AQ163" i="5" s="1"/>
  <c r="A163" i="5"/>
  <c r="AT162" i="5"/>
  <c r="AS162" i="5"/>
  <c r="AR162" i="5"/>
  <c r="AO162" i="5"/>
  <c r="AN162" i="5"/>
  <c r="AM162" i="5"/>
  <c r="AL162" i="5"/>
  <c r="AK162" i="5"/>
  <c r="AJ162" i="5"/>
  <c r="AG162" i="5"/>
  <c r="AF162" i="5"/>
  <c r="AE162" i="5"/>
  <c r="AD162" i="5"/>
  <c r="AC162" i="5"/>
  <c r="AB162" i="5"/>
  <c r="Y162" i="5"/>
  <c r="X162" i="5"/>
  <c r="W162" i="5"/>
  <c r="V162" i="5"/>
  <c r="T162" i="5"/>
  <c r="Q162" i="5"/>
  <c r="L162" i="5"/>
  <c r="I162" i="5"/>
  <c r="H162" i="5"/>
  <c r="G162" i="5"/>
  <c r="F162" i="5"/>
  <c r="E162" i="5"/>
  <c r="D162" i="5"/>
  <c r="C162" i="5"/>
  <c r="B162" i="5"/>
  <c r="AQ162" i="5" s="1"/>
  <c r="A162" i="5"/>
  <c r="AU161" i="5"/>
  <c r="AV161" i="5" s="1"/>
  <c r="AT161" i="5"/>
  <c r="AS161" i="5"/>
  <c r="AR161" i="5"/>
  <c r="AO161" i="5"/>
  <c r="AN161" i="5"/>
  <c r="AM161" i="5"/>
  <c r="AL161" i="5"/>
  <c r="AK161" i="5"/>
  <c r="AJ161" i="5"/>
  <c r="AG161" i="5"/>
  <c r="AF161" i="5"/>
  <c r="AE161" i="5"/>
  <c r="AD161" i="5"/>
  <c r="AC161" i="5"/>
  <c r="AB161" i="5"/>
  <c r="Y161" i="5"/>
  <c r="X161" i="5"/>
  <c r="W161" i="5"/>
  <c r="V161" i="5"/>
  <c r="T161" i="5"/>
  <c r="U161" i="5" s="1"/>
  <c r="Q161" i="5"/>
  <c r="P161" i="5"/>
  <c r="O161" i="5"/>
  <c r="L161" i="5"/>
  <c r="I161" i="5"/>
  <c r="H161" i="5"/>
  <c r="G161" i="5"/>
  <c r="F161" i="5"/>
  <c r="E161" i="5"/>
  <c r="D161" i="5"/>
  <c r="C161" i="5"/>
  <c r="B161" i="5"/>
  <c r="AQ161" i="5" s="1"/>
  <c r="A161" i="5"/>
  <c r="AU160" i="5"/>
  <c r="AV160" i="5" s="1"/>
  <c r="AT160" i="5"/>
  <c r="AS160" i="5"/>
  <c r="AR160" i="5"/>
  <c r="AO160" i="5"/>
  <c r="AN160" i="5"/>
  <c r="AM160" i="5"/>
  <c r="AL160" i="5"/>
  <c r="AK160" i="5"/>
  <c r="AJ160" i="5"/>
  <c r="AG160" i="5"/>
  <c r="AF160" i="5"/>
  <c r="AE160" i="5"/>
  <c r="AD160" i="5"/>
  <c r="AC160" i="5"/>
  <c r="AB160" i="5"/>
  <c r="Y160" i="5"/>
  <c r="X160" i="5"/>
  <c r="W160" i="5"/>
  <c r="V160" i="5"/>
  <c r="T160" i="5"/>
  <c r="U160" i="5" s="1"/>
  <c r="Q160" i="5"/>
  <c r="P160" i="5"/>
  <c r="O160" i="5"/>
  <c r="N160" i="5"/>
  <c r="M160" i="5"/>
  <c r="L160" i="5"/>
  <c r="I160" i="5"/>
  <c r="H160" i="5"/>
  <c r="G160" i="5"/>
  <c r="F160" i="5"/>
  <c r="E160" i="5"/>
  <c r="D160" i="5"/>
  <c r="C160" i="5"/>
  <c r="B160" i="5"/>
  <c r="AQ160" i="5" s="1"/>
  <c r="A160" i="5"/>
  <c r="AT159" i="5"/>
  <c r="AS159" i="5"/>
  <c r="AR159" i="5"/>
  <c r="AO159" i="5"/>
  <c r="AN159" i="5"/>
  <c r="AM159" i="5"/>
  <c r="AL159" i="5"/>
  <c r="AK159" i="5"/>
  <c r="AJ159" i="5"/>
  <c r="AG159" i="5"/>
  <c r="AF159" i="5"/>
  <c r="AE159" i="5"/>
  <c r="AD159" i="5"/>
  <c r="AC159" i="5"/>
  <c r="AB159" i="5"/>
  <c r="Y159" i="5"/>
  <c r="X159" i="5"/>
  <c r="W159" i="5"/>
  <c r="V159" i="5"/>
  <c r="M159" i="5" s="1"/>
  <c r="L159" i="5"/>
  <c r="I159" i="5"/>
  <c r="H159" i="5"/>
  <c r="G159" i="5"/>
  <c r="F159" i="5"/>
  <c r="E159" i="5"/>
  <c r="D159" i="5"/>
  <c r="C159" i="5"/>
  <c r="B159" i="5"/>
  <c r="AQ159" i="5" s="1"/>
  <c r="A159" i="5"/>
  <c r="AT158" i="5"/>
  <c r="AS158" i="5"/>
  <c r="AR158" i="5"/>
  <c r="AO158" i="5"/>
  <c r="AN158" i="5"/>
  <c r="AM158" i="5"/>
  <c r="AL158" i="5"/>
  <c r="AK158" i="5"/>
  <c r="AJ158" i="5"/>
  <c r="AG158" i="5"/>
  <c r="AF158" i="5"/>
  <c r="AE158" i="5"/>
  <c r="AD158" i="5"/>
  <c r="AC158" i="5"/>
  <c r="AB158" i="5"/>
  <c r="Y158" i="5"/>
  <c r="X158" i="5"/>
  <c r="W158" i="5"/>
  <c r="V158" i="5"/>
  <c r="T158" i="5"/>
  <c r="Q158" i="5"/>
  <c r="L158" i="5"/>
  <c r="I158" i="5"/>
  <c r="H158" i="5"/>
  <c r="G158" i="5"/>
  <c r="F158" i="5"/>
  <c r="E158" i="5"/>
  <c r="D158" i="5"/>
  <c r="C158" i="5"/>
  <c r="B158" i="5"/>
  <c r="AQ158" i="5" s="1"/>
  <c r="A158" i="5"/>
  <c r="AU157" i="5"/>
  <c r="AV157" i="5" s="1"/>
  <c r="AT157" i="5"/>
  <c r="AS157" i="5"/>
  <c r="AR157" i="5"/>
  <c r="AO157" i="5"/>
  <c r="AN157" i="5"/>
  <c r="AM157" i="5"/>
  <c r="AL157" i="5"/>
  <c r="AK157" i="5"/>
  <c r="AJ157" i="5"/>
  <c r="AG157" i="5"/>
  <c r="AF157" i="5"/>
  <c r="AE157" i="5"/>
  <c r="AD157" i="5"/>
  <c r="AC157" i="5"/>
  <c r="AB157" i="5"/>
  <c r="Y157" i="5"/>
  <c r="X157" i="5"/>
  <c r="W157" i="5"/>
  <c r="V157" i="5"/>
  <c r="T157" i="5"/>
  <c r="U157" i="5" s="1"/>
  <c r="Q157" i="5"/>
  <c r="P157" i="5"/>
  <c r="O157" i="5"/>
  <c r="L157" i="5"/>
  <c r="I157" i="5"/>
  <c r="H157" i="5"/>
  <c r="G157" i="5"/>
  <c r="F157" i="5"/>
  <c r="E157" i="5"/>
  <c r="D157" i="5"/>
  <c r="C157" i="5"/>
  <c r="B157" i="5"/>
  <c r="AQ157" i="5" s="1"/>
  <c r="A157" i="5"/>
  <c r="AU156" i="5"/>
  <c r="AV156" i="5" s="1"/>
  <c r="AT156" i="5"/>
  <c r="AS156" i="5"/>
  <c r="AR156" i="5"/>
  <c r="AO156" i="5"/>
  <c r="AN156" i="5"/>
  <c r="AM156" i="5"/>
  <c r="AL156" i="5"/>
  <c r="AK156" i="5"/>
  <c r="AJ156" i="5"/>
  <c r="AG156" i="5"/>
  <c r="AF156" i="5"/>
  <c r="AE156" i="5"/>
  <c r="AD156" i="5"/>
  <c r="AC156" i="5"/>
  <c r="AB156" i="5"/>
  <c r="Y156" i="5"/>
  <c r="X156" i="5"/>
  <c r="W156" i="5"/>
  <c r="V156" i="5"/>
  <c r="T156" i="5"/>
  <c r="U156" i="5" s="1"/>
  <c r="Q156" i="5"/>
  <c r="P156" i="5"/>
  <c r="O156" i="5"/>
  <c r="N156" i="5"/>
  <c r="M156" i="5"/>
  <c r="L156" i="5"/>
  <c r="I156" i="5"/>
  <c r="H156" i="5"/>
  <c r="G156" i="5"/>
  <c r="F156" i="5"/>
  <c r="E156" i="5"/>
  <c r="D156" i="5"/>
  <c r="C156" i="5"/>
  <c r="B156" i="5"/>
  <c r="AQ156" i="5" s="1"/>
  <c r="A156" i="5"/>
  <c r="AT155" i="5"/>
  <c r="AS155" i="5"/>
  <c r="AR155" i="5"/>
  <c r="AO155" i="5"/>
  <c r="AJ155" i="5"/>
  <c r="AG155" i="5"/>
  <c r="AF155" i="5"/>
  <c r="AE155" i="5"/>
  <c r="Y155" i="5"/>
  <c r="X155" i="5"/>
  <c r="W155" i="5"/>
  <c r="V155" i="5"/>
  <c r="P155" i="5"/>
  <c r="O155" i="5"/>
  <c r="N155" i="5"/>
  <c r="I155" i="5"/>
  <c r="H155" i="5"/>
  <c r="G155" i="5"/>
  <c r="F155" i="5"/>
  <c r="D155" i="5"/>
  <c r="C155" i="5"/>
  <c r="B155" i="5"/>
  <c r="A155" i="5"/>
  <c r="AT154" i="5"/>
  <c r="AO154" i="5"/>
  <c r="AN154" i="5"/>
  <c r="AM154" i="5"/>
  <c r="AL154" i="5"/>
  <c r="AG154" i="5"/>
  <c r="AF154" i="5"/>
  <c r="AE154" i="5"/>
  <c r="AD154" i="5"/>
  <c r="Y154" i="5"/>
  <c r="X154" i="5"/>
  <c r="W154" i="5"/>
  <c r="V154" i="5"/>
  <c r="I154" i="5"/>
  <c r="H154" i="5"/>
  <c r="G154" i="5"/>
  <c r="F154" i="5"/>
  <c r="D154" i="5"/>
  <c r="C154" i="5"/>
  <c r="B154" i="5"/>
  <c r="AS154" i="5" s="1"/>
  <c r="A154" i="5"/>
  <c r="AT153" i="5"/>
  <c r="AO153" i="5"/>
  <c r="AN153" i="5"/>
  <c r="AM153" i="5"/>
  <c r="AL153" i="5"/>
  <c r="AG153" i="5"/>
  <c r="AF153" i="5"/>
  <c r="AE153" i="5"/>
  <c r="AD153" i="5"/>
  <c r="Y153" i="5"/>
  <c r="X153" i="5"/>
  <c r="W153" i="5"/>
  <c r="V153" i="5"/>
  <c r="Q153" i="5"/>
  <c r="I153" i="5"/>
  <c r="H153" i="5"/>
  <c r="G153" i="5"/>
  <c r="F153" i="5"/>
  <c r="D153" i="5"/>
  <c r="C153" i="5"/>
  <c r="B153" i="5"/>
  <c r="AS153" i="5" s="1"/>
  <c r="A153" i="5"/>
  <c r="AT152" i="5"/>
  <c r="AO152" i="5"/>
  <c r="AN152" i="5"/>
  <c r="AM152" i="5"/>
  <c r="AL152" i="5"/>
  <c r="AG152" i="5"/>
  <c r="AF152" i="5"/>
  <c r="AE152" i="5"/>
  <c r="AD152" i="5"/>
  <c r="Y152" i="5"/>
  <c r="X152" i="5"/>
  <c r="W152" i="5"/>
  <c r="V152" i="5"/>
  <c r="Q152" i="5" s="1"/>
  <c r="P152" i="5"/>
  <c r="O152" i="5"/>
  <c r="I152" i="5"/>
  <c r="H152" i="5"/>
  <c r="G152" i="5"/>
  <c r="F152" i="5"/>
  <c r="D152" i="5"/>
  <c r="C152" i="5"/>
  <c r="B152" i="5"/>
  <c r="AS152" i="5" s="1"/>
  <c r="A152" i="5"/>
  <c r="AO151" i="5"/>
  <c r="AN151" i="5"/>
  <c r="AM151" i="5"/>
  <c r="AL151" i="5"/>
  <c r="AG151" i="5"/>
  <c r="AF151" i="5"/>
  <c r="AE151" i="5"/>
  <c r="Y151" i="5"/>
  <c r="X151" i="5"/>
  <c r="W151" i="5"/>
  <c r="V151" i="5"/>
  <c r="P151" i="5"/>
  <c r="O151" i="5"/>
  <c r="J151" i="5"/>
  <c r="I151" i="5"/>
  <c r="H151" i="5"/>
  <c r="G151" i="5"/>
  <c r="F151" i="5"/>
  <c r="D151" i="5"/>
  <c r="C151" i="5"/>
  <c r="B151" i="5"/>
  <c r="A151" i="5"/>
  <c r="AT150" i="5"/>
  <c r="AP150" i="5"/>
  <c r="AO150" i="5"/>
  <c r="AN150" i="5"/>
  <c r="AL150" i="5"/>
  <c r="AH150" i="5"/>
  <c r="AG150" i="5"/>
  <c r="AF150" i="5"/>
  <c r="AE150" i="5"/>
  <c r="AD150" i="5"/>
  <c r="Z150" i="5"/>
  <c r="X150" i="5"/>
  <c r="W150" i="5"/>
  <c r="V150" i="5"/>
  <c r="Q150" i="5" s="1"/>
  <c r="R150" i="5"/>
  <c r="P150" i="5"/>
  <c r="O150" i="5"/>
  <c r="J150" i="5"/>
  <c r="I150" i="5"/>
  <c r="H150" i="5"/>
  <c r="G150" i="5"/>
  <c r="F150" i="5"/>
  <c r="D150" i="5"/>
  <c r="C150" i="5"/>
  <c r="B150" i="5"/>
  <c r="A150" i="5"/>
  <c r="AT149" i="5"/>
  <c r="AP149" i="5"/>
  <c r="AO149" i="5"/>
  <c r="AN149" i="5"/>
  <c r="AL149" i="5"/>
  <c r="AH149" i="5"/>
  <c r="AG149" i="5"/>
  <c r="AF149" i="5"/>
  <c r="AE149" i="5"/>
  <c r="AD149" i="5"/>
  <c r="Z149" i="5"/>
  <c r="X149" i="5"/>
  <c r="W149" i="5"/>
  <c r="V149" i="5"/>
  <c r="Q149" i="5" s="1"/>
  <c r="R149" i="5"/>
  <c r="P149" i="5"/>
  <c r="O149" i="5"/>
  <c r="J149" i="5"/>
  <c r="I149" i="5"/>
  <c r="H149" i="5"/>
  <c r="G149" i="5"/>
  <c r="F149" i="5"/>
  <c r="D149" i="5"/>
  <c r="C149" i="5"/>
  <c r="B149" i="5"/>
  <c r="A149" i="5"/>
  <c r="AT148" i="5"/>
  <c r="AP148" i="5"/>
  <c r="AO148" i="5"/>
  <c r="AN148" i="5"/>
  <c r="AL148" i="5"/>
  <c r="AH148" i="5"/>
  <c r="AG148" i="5"/>
  <c r="AF148" i="5"/>
  <c r="AE148" i="5"/>
  <c r="AD148" i="5"/>
  <c r="Z148" i="5"/>
  <c r="X148" i="5"/>
  <c r="W148" i="5"/>
  <c r="V148" i="5"/>
  <c r="Q148" i="5" s="1"/>
  <c r="R148" i="5"/>
  <c r="P148" i="5"/>
  <c r="O148" i="5"/>
  <c r="J148" i="5"/>
  <c r="I148" i="5"/>
  <c r="H148" i="5"/>
  <c r="G148" i="5"/>
  <c r="F148" i="5"/>
  <c r="D148" i="5"/>
  <c r="C148" i="5"/>
  <c r="B148" i="5"/>
  <c r="A148" i="5"/>
  <c r="AT147" i="5"/>
  <c r="AP147" i="5"/>
  <c r="AO147" i="5"/>
  <c r="AN147" i="5"/>
  <c r="AL147" i="5"/>
  <c r="AH147" i="5"/>
  <c r="AG147" i="5"/>
  <c r="AF147" i="5"/>
  <c r="AE147" i="5"/>
  <c r="AD147" i="5"/>
  <c r="Z147" i="5"/>
  <c r="X147" i="5"/>
  <c r="W147" i="5"/>
  <c r="V147" i="5"/>
  <c r="Q147" i="5" s="1"/>
  <c r="R147" i="5"/>
  <c r="P147" i="5"/>
  <c r="O147" i="5"/>
  <c r="J147" i="5"/>
  <c r="I147" i="5"/>
  <c r="H147" i="5"/>
  <c r="G147" i="5"/>
  <c r="F147" i="5"/>
  <c r="D147" i="5"/>
  <c r="C147" i="5"/>
  <c r="B147" i="5"/>
  <c r="A147" i="5"/>
  <c r="AT146" i="5"/>
  <c r="AP146" i="5"/>
  <c r="AO146" i="5"/>
  <c r="AN146" i="5"/>
  <c r="AL146" i="5"/>
  <c r="AH146" i="5"/>
  <c r="AG146" i="5"/>
  <c r="AF146" i="5"/>
  <c r="AE146" i="5"/>
  <c r="AD146" i="5"/>
  <c r="Z146" i="5"/>
  <c r="X146" i="5"/>
  <c r="W146" i="5"/>
  <c r="V146" i="5"/>
  <c r="Q146" i="5" s="1"/>
  <c r="R146" i="5"/>
  <c r="P146" i="5"/>
  <c r="O146" i="5"/>
  <c r="J146" i="5"/>
  <c r="I146" i="5"/>
  <c r="H146" i="5"/>
  <c r="G146" i="5"/>
  <c r="F146" i="5"/>
  <c r="D146" i="5"/>
  <c r="C146" i="5"/>
  <c r="B146" i="5"/>
  <c r="A146" i="5"/>
  <c r="AT145" i="5"/>
  <c r="AP145" i="5"/>
  <c r="AO145" i="5"/>
  <c r="AN145" i="5"/>
  <c r="AL145" i="5"/>
  <c r="AH145" i="5"/>
  <c r="AG145" i="5"/>
  <c r="AF145" i="5"/>
  <c r="AE145" i="5"/>
  <c r="AD145" i="5"/>
  <c r="Z145" i="5"/>
  <c r="X145" i="5"/>
  <c r="W145" i="5"/>
  <c r="V145" i="5"/>
  <c r="Q145" i="5" s="1"/>
  <c r="R145" i="5"/>
  <c r="P145" i="5"/>
  <c r="O145" i="5"/>
  <c r="J145" i="5"/>
  <c r="I145" i="5"/>
  <c r="H145" i="5"/>
  <c r="G145" i="5"/>
  <c r="F145" i="5"/>
  <c r="D145" i="5"/>
  <c r="C145" i="5"/>
  <c r="B145" i="5"/>
  <c r="A145" i="5"/>
  <c r="AT144" i="5"/>
  <c r="AP144" i="5"/>
  <c r="AO144" i="5"/>
  <c r="AN144" i="5"/>
  <c r="AL144" i="5"/>
  <c r="AH144" i="5"/>
  <c r="AG144" i="5"/>
  <c r="AF144" i="5"/>
  <c r="AE144" i="5"/>
  <c r="AD144" i="5"/>
  <c r="Z144" i="5"/>
  <c r="X144" i="5"/>
  <c r="W144" i="5"/>
  <c r="V144" i="5"/>
  <c r="Q144" i="5" s="1"/>
  <c r="R144" i="5"/>
  <c r="P144" i="5"/>
  <c r="O144" i="5"/>
  <c r="J144" i="5"/>
  <c r="I144" i="5"/>
  <c r="H144" i="5"/>
  <c r="G144" i="5"/>
  <c r="F144" i="5"/>
  <c r="D144" i="5"/>
  <c r="C144" i="5"/>
  <c r="B144" i="5"/>
  <c r="A144" i="5"/>
  <c r="AT143" i="5"/>
  <c r="AP143" i="5"/>
  <c r="AO143" i="5"/>
  <c r="AN143" i="5"/>
  <c r="AL143" i="5"/>
  <c r="AH143" i="5"/>
  <c r="AG143" i="5"/>
  <c r="AF143" i="5"/>
  <c r="AE143" i="5"/>
  <c r="AD143" i="5"/>
  <c r="Z143" i="5"/>
  <c r="X143" i="5"/>
  <c r="W143" i="5"/>
  <c r="V143" i="5"/>
  <c r="Q143" i="5" s="1"/>
  <c r="R143" i="5"/>
  <c r="P143" i="5"/>
  <c r="O143" i="5"/>
  <c r="J143" i="5"/>
  <c r="I143" i="5"/>
  <c r="H143" i="5"/>
  <c r="G143" i="5"/>
  <c r="F143" i="5"/>
  <c r="D143" i="5"/>
  <c r="C143" i="5"/>
  <c r="B143" i="5"/>
  <c r="A143" i="5"/>
  <c r="AT142" i="5"/>
  <c r="AP142" i="5"/>
  <c r="AO142" i="5"/>
  <c r="AN142" i="5"/>
  <c r="AL142" i="5"/>
  <c r="AH142" i="5"/>
  <c r="AG142" i="5"/>
  <c r="AF142" i="5"/>
  <c r="AE142" i="5"/>
  <c r="AD142" i="5"/>
  <c r="Z142" i="5"/>
  <c r="X142" i="5"/>
  <c r="W142" i="5"/>
  <c r="V142" i="5"/>
  <c r="Q142" i="5" s="1"/>
  <c r="R142" i="5"/>
  <c r="P142" i="5"/>
  <c r="O142" i="5"/>
  <c r="J142" i="5"/>
  <c r="I142" i="5"/>
  <c r="H142" i="5"/>
  <c r="G142" i="5"/>
  <c r="F142" i="5"/>
  <c r="D142" i="5"/>
  <c r="C142" i="5"/>
  <c r="B142" i="5"/>
  <c r="A142" i="5"/>
  <c r="AT141" i="5"/>
  <c r="AP141" i="5"/>
  <c r="AO141" i="5"/>
  <c r="AM141" i="5"/>
  <c r="AI141" i="5"/>
  <c r="AH141" i="5"/>
  <c r="AF141" i="5"/>
  <c r="AE141" i="5"/>
  <c r="AA141" i="5"/>
  <c r="Z141" i="5"/>
  <c r="Y141" i="5"/>
  <c r="X141" i="5"/>
  <c r="V141" i="5"/>
  <c r="S141" i="5"/>
  <c r="J141" i="5"/>
  <c r="I141" i="5"/>
  <c r="G141" i="5"/>
  <c r="F141" i="5"/>
  <c r="D141" i="5"/>
  <c r="C141" i="5"/>
  <c r="B141" i="5"/>
  <c r="A141" i="5"/>
  <c r="AP140" i="5"/>
  <c r="AO140" i="5"/>
  <c r="AM140" i="5"/>
  <c r="AL140" i="5"/>
  <c r="AF140" i="5"/>
  <c r="AE140" i="5"/>
  <c r="AA140" i="5"/>
  <c r="Z140" i="5"/>
  <c r="X140" i="5"/>
  <c r="V140" i="5"/>
  <c r="R140" i="5" s="1"/>
  <c r="S140" i="5"/>
  <c r="Q140" i="5"/>
  <c r="P140" i="5"/>
  <c r="J140" i="5"/>
  <c r="I140" i="5"/>
  <c r="G140" i="5"/>
  <c r="F140" i="5"/>
  <c r="D140" i="5"/>
  <c r="C140" i="5"/>
  <c r="B140" i="5"/>
  <c r="AN140" i="5" s="1"/>
  <c r="A140" i="5"/>
  <c r="Z139" i="5"/>
  <c r="X139" i="5"/>
  <c r="W139" i="5"/>
  <c r="V139" i="5"/>
  <c r="S139" i="5"/>
  <c r="R139" i="5"/>
  <c r="Q139" i="5"/>
  <c r="P139" i="5"/>
  <c r="O139" i="5"/>
  <c r="N139" i="5"/>
  <c r="K139" i="5"/>
  <c r="D139" i="5"/>
  <c r="C139" i="5"/>
  <c r="B139" i="5"/>
  <c r="AG139" i="5" s="1"/>
  <c r="A139" i="5"/>
  <c r="V138" i="5"/>
  <c r="S138" i="5"/>
  <c r="R138" i="5"/>
  <c r="P138" i="5"/>
  <c r="O138" i="5"/>
  <c r="N138" i="5"/>
  <c r="K138" i="5"/>
  <c r="D138" i="5"/>
  <c r="C138" i="5"/>
  <c r="B138" i="5"/>
  <c r="A138" i="5"/>
  <c r="AO137" i="5"/>
  <c r="AN137" i="5"/>
  <c r="AL137" i="5"/>
  <c r="AI137" i="5"/>
  <c r="AE137" i="5"/>
  <c r="AD137" i="5"/>
  <c r="Z137" i="5"/>
  <c r="Y137" i="5"/>
  <c r="V137" i="5"/>
  <c r="Q137" i="5" s="1"/>
  <c r="S137" i="5"/>
  <c r="R137" i="5"/>
  <c r="P137" i="5"/>
  <c r="O137" i="5"/>
  <c r="K137" i="5"/>
  <c r="I137" i="5"/>
  <c r="H137" i="5"/>
  <c r="F137" i="5"/>
  <c r="D137" i="5"/>
  <c r="C137" i="5"/>
  <c r="B137" i="5"/>
  <c r="AP137" i="5" s="1"/>
  <c r="A137" i="5"/>
  <c r="Y136" i="5"/>
  <c r="W136" i="5"/>
  <c r="V136" i="5"/>
  <c r="O136" i="5" s="1"/>
  <c r="K136" i="5"/>
  <c r="D136" i="5"/>
  <c r="C136" i="5"/>
  <c r="B136" i="5"/>
  <c r="A136" i="5"/>
  <c r="AP135" i="5"/>
  <c r="AN135" i="5"/>
  <c r="AM135" i="5"/>
  <c r="AF135" i="5"/>
  <c r="AD135" i="5"/>
  <c r="AA135" i="5"/>
  <c r="V135" i="5"/>
  <c r="J135" i="5"/>
  <c r="H135" i="5"/>
  <c r="G135" i="5"/>
  <c r="D135" i="5"/>
  <c r="C135" i="5"/>
  <c r="B135" i="5"/>
  <c r="AO135" i="5" s="1"/>
  <c r="A135" i="5"/>
  <c r="AT134" i="5"/>
  <c r="AP134" i="5"/>
  <c r="AO134" i="5"/>
  <c r="AN134" i="5"/>
  <c r="AM134" i="5"/>
  <c r="AL134" i="5"/>
  <c r="AI134" i="5"/>
  <c r="AH134" i="5"/>
  <c r="AF134" i="5"/>
  <c r="AE134" i="5"/>
  <c r="AD134" i="5"/>
  <c r="AA134" i="5"/>
  <c r="Z134" i="5"/>
  <c r="Y134" i="5"/>
  <c r="X134" i="5"/>
  <c r="V134" i="5"/>
  <c r="S134" i="5" s="1"/>
  <c r="R134" i="5"/>
  <c r="Q134" i="5"/>
  <c r="O134" i="5"/>
  <c r="N134" i="5"/>
  <c r="J134" i="5"/>
  <c r="I134" i="5"/>
  <c r="H134" i="5"/>
  <c r="G134" i="5"/>
  <c r="F134" i="5"/>
  <c r="D134" i="5"/>
  <c r="C134" i="5"/>
  <c r="B134" i="5"/>
  <c r="A134" i="5"/>
  <c r="AT133" i="5"/>
  <c r="AP133" i="5"/>
  <c r="AO133" i="5"/>
  <c r="AM133" i="5"/>
  <c r="AL133" i="5"/>
  <c r="AI133" i="5"/>
  <c r="AH133" i="5"/>
  <c r="AF133" i="5"/>
  <c r="AE133" i="5"/>
  <c r="AA133" i="5"/>
  <c r="Z133" i="5"/>
  <c r="Y133" i="5"/>
  <c r="X133" i="5"/>
  <c r="V133" i="5"/>
  <c r="S133" i="5" s="1"/>
  <c r="N133" i="5"/>
  <c r="J133" i="5"/>
  <c r="I133" i="5"/>
  <c r="G133" i="5"/>
  <c r="F133" i="5"/>
  <c r="D133" i="5"/>
  <c r="C133" i="5"/>
  <c r="B133" i="5"/>
  <c r="A133" i="5"/>
  <c r="AT132" i="5"/>
  <c r="AP132" i="5"/>
  <c r="AO132" i="5"/>
  <c r="AM132" i="5"/>
  <c r="AL132" i="5"/>
  <c r="AH132" i="5"/>
  <c r="AF132" i="5"/>
  <c r="AE132" i="5"/>
  <c r="AA132" i="5"/>
  <c r="Z132" i="5"/>
  <c r="X132" i="5"/>
  <c r="V132" i="5"/>
  <c r="R132" i="5" s="1"/>
  <c r="S132" i="5"/>
  <c r="Q132" i="5"/>
  <c r="P132" i="5"/>
  <c r="J132" i="5"/>
  <c r="I132" i="5"/>
  <c r="G132" i="5"/>
  <c r="F132" i="5"/>
  <c r="D132" i="5"/>
  <c r="C132" i="5"/>
  <c r="B132" i="5"/>
  <c r="AN132" i="5" s="1"/>
  <c r="A132" i="5"/>
  <c r="AT131" i="5"/>
  <c r="AG131" i="5"/>
  <c r="X131" i="5"/>
  <c r="W131" i="5"/>
  <c r="V131" i="5"/>
  <c r="S131" i="5"/>
  <c r="R131" i="5"/>
  <c r="Q131" i="5"/>
  <c r="P131" i="5"/>
  <c r="O131" i="5"/>
  <c r="N131" i="5"/>
  <c r="K131" i="5"/>
  <c r="F131" i="5"/>
  <c r="D131" i="5"/>
  <c r="C131" i="5"/>
  <c r="B131" i="5"/>
  <c r="Z131" i="5" s="1"/>
  <c r="A131" i="5"/>
  <c r="AG130" i="5"/>
  <c r="V130" i="5"/>
  <c r="S130" i="5"/>
  <c r="R130" i="5"/>
  <c r="P130" i="5"/>
  <c r="O130" i="5"/>
  <c r="N130" i="5"/>
  <c r="K130" i="5"/>
  <c r="D130" i="5"/>
  <c r="C130" i="5"/>
  <c r="B130" i="5"/>
  <c r="A130" i="5"/>
  <c r="AQ129" i="5"/>
  <c r="AO129" i="5"/>
  <c r="AN129" i="5"/>
  <c r="AL129" i="5"/>
  <c r="AI129" i="5"/>
  <c r="AG129" i="5"/>
  <c r="AE129" i="5"/>
  <c r="AD129" i="5"/>
  <c r="Z129" i="5"/>
  <c r="Y129" i="5"/>
  <c r="W129" i="5"/>
  <c r="V129" i="5"/>
  <c r="Q129" i="5" s="1"/>
  <c r="S129" i="5"/>
  <c r="R129" i="5"/>
  <c r="P129" i="5"/>
  <c r="O129" i="5"/>
  <c r="L129" i="5"/>
  <c r="K129" i="5"/>
  <c r="J129" i="5"/>
  <c r="I129" i="5"/>
  <c r="G129" i="5"/>
  <c r="F129" i="5"/>
  <c r="D129" i="5"/>
  <c r="C129" i="5"/>
  <c r="B129" i="5"/>
  <c r="AM129" i="5" s="1"/>
  <c r="A129" i="5"/>
  <c r="AT128" i="5"/>
  <c r="AR128" i="5"/>
  <c r="AP128" i="5"/>
  <c r="AO128" i="5"/>
  <c r="AN128" i="5"/>
  <c r="AM128" i="5"/>
  <c r="AL128" i="5"/>
  <c r="AJ128" i="5"/>
  <c r="AI128" i="5"/>
  <c r="AG128" i="5"/>
  <c r="AF128" i="5"/>
  <c r="AE128" i="5"/>
  <c r="AD128" i="5"/>
  <c r="AC128" i="5"/>
  <c r="AB128" i="5"/>
  <c r="AA128" i="5"/>
  <c r="Y128" i="5"/>
  <c r="X128" i="5"/>
  <c r="W128" i="5"/>
  <c r="V128" i="5"/>
  <c r="T128" i="5"/>
  <c r="S128" i="5"/>
  <c r="N128" i="5"/>
  <c r="L128" i="5"/>
  <c r="K128" i="5"/>
  <c r="I128" i="5"/>
  <c r="H128" i="5"/>
  <c r="G128" i="5"/>
  <c r="F128" i="5"/>
  <c r="E128" i="5"/>
  <c r="D128" i="5"/>
  <c r="C128" i="5"/>
  <c r="B128" i="5"/>
  <c r="A128" i="5"/>
  <c r="AU127" i="5"/>
  <c r="AV127" i="5" s="1"/>
  <c r="AT127" i="5"/>
  <c r="AS127" i="5"/>
  <c r="AR127" i="5"/>
  <c r="AQ127" i="5"/>
  <c r="AO127" i="5"/>
  <c r="AN127" i="5"/>
  <c r="AM127" i="5"/>
  <c r="AL127" i="5"/>
  <c r="AK127" i="5"/>
  <c r="AJ127" i="5"/>
  <c r="AI127" i="5"/>
  <c r="AG127" i="5"/>
  <c r="AF127" i="5"/>
  <c r="AE127" i="5"/>
  <c r="AD127" i="5"/>
  <c r="AC127" i="5"/>
  <c r="AB127" i="5"/>
  <c r="AA127" i="5"/>
  <c r="Y127" i="5"/>
  <c r="X127" i="5"/>
  <c r="W127" i="5"/>
  <c r="V127" i="5"/>
  <c r="T127" i="5"/>
  <c r="U127" i="5" s="1"/>
  <c r="S127" i="5"/>
  <c r="I127" i="5"/>
  <c r="H127" i="5"/>
  <c r="G127" i="5"/>
  <c r="F127" i="5"/>
  <c r="E127" i="5"/>
  <c r="D127" i="5"/>
  <c r="C127" i="5"/>
  <c r="B127" i="5"/>
  <c r="AP127" i="5" s="1"/>
  <c r="A127" i="5"/>
  <c r="AT126" i="5"/>
  <c r="AS126" i="5"/>
  <c r="AR126" i="5"/>
  <c r="AQ126" i="5"/>
  <c r="AO126" i="5"/>
  <c r="AN126" i="5"/>
  <c r="AM126" i="5"/>
  <c r="AL126" i="5"/>
  <c r="AK126" i="5"/>
  <c r="AJ126" i="5"/>
  <c r="AI126" i="5"/>
  <c r="AG126" i="5"/>
  <c r="AF126" i="5"/>
  <c r="AE126" i="5"/>
  <c r="AD126" i="5"/>
  <c r="AC126" i="5"/>
  <c r="AB126" i="5"/>
  <c r="AA126" i="5"/>
  <c r="Y126" i="5"/>
  <c r="X126" i="5"/>
  <c r="W126" i="5"/>
  <c r="V126" i="5"/>
  <c r="T126" i="5" s="1"/>
  <c r="S126" i="5"/>
  <c r="O126" i="5"/>
  <c r="N126" i="5"/>
  <c r="I126" i="5"/>
  <c r="H126" i="5"/>
  <c r="G126" i="5"/>
  <c r="F126" i="5"/>
  <c r="E126" i="5"/>
  <c r="D126" i="5"/>
  <c r="C126" i="5"/>
  <c r="B126" i="5"/>
  <c r="AP126" i="5" s="1"/>
  <c r="A126" i="5"/>
  <c r="AU125" i="5"/>
  <c r="AV125" i="5" s="1"/>
  <c r="AT125" i="5"/>
  <c r="AS125" i="5"/>
  <c r="AR125" i="5"/>
  <c r="AQ125" i="5"/>
  <c r="AO125" i="5"/>
  <c r="AN125" i="5"/>
  <c r="AM125" i="5"/>
  <c r="AL125" i="5"/>
  <c r="AK125" i="5"/>
  <c r="AJ125" i="5"/>
  <c r="AI125" i="5"/>
  <c r="AG125" i="5"/>
  <c r="AF125" i="5"/>
  <c r="AE125" i="5"/>
  <c r="AD125" i="5"/>
  <c r="AC125" i="5"/>
  <c r="AB125" i="5"/>
  <c r="AA125" i="5"/>
  <c r="Y125" i="5"/>
  <c r="X125" i="5"/>
  <c r="W125" i="5"/>
  <c r="V125" i="5"/>
  <c r="T125" i="5"/>
  <c r="U125" i="5" s="1"/>
  <c r="S125" i="5"/>
  <c r="O125" i="5"/>
  <c r="N125" i="5"/>
  <c r="L125" i="5"/>
  <c r="K125" i="5"/>
  <c r="I125" i="5"/>
  <c r="H125" i="5"/>
  <c r="G125" i="5"/>
  <c r="F125" i="5"/>
  <c r="E125" i="5"/>
  <c r="D125" i="5"/>
  <c r="C125" i="5"/>
  <c r="B125" i="5"/>
  <c r="AP125" i="5" s="1"/>
  <c r="A125" i="5"/>
  <c r="AT124" i="5"/>
  <c r="AS124" i="5"/>
  <c r="AR124" i="5"/>
  <c r="AQ124" i="5"/>
  <c r="AO124" i="5"/>
  <c r="AN124" i="5"/>
  <c r="AM124" i="5"/>
  <c r="AL124" i="5"/>
  <c r="AK124" i="5"/>
  <c r="AJ124" i="5"/>
  <c r="AI124" i="5"/>
  <c r="AG124" i="5"/>
  <c r="AF124" i="5"/>
  <c r="AE124" i="5"/>
  <c r="AD124" i="5"/>
  <c r="AC124" i="5"/>
  <c r="AB124" i="5"/>
  <c r="AA124" i="5"/>
  <c r="Y124" i="5"/>
  <c r="X124" i="5"/>
  <c r="W124" i="5"/>
  <c r="V124" i="5"/>
  <c r="I124" i="5"/>
  <c r="H124" i="5"/>
  <c r="G124" i="5"/>
  <c r="F124" i="5"/>
  <c r="E124" i="5"/>
  <c r="D124" i="5"/>
  <c r="C124" i="5"/>
  <c r="B124" i="5"/>
  <c r="AP124" i="5" s="1"/>
  <c r="A124" i="5"/>
  <c r="AT123" i="5"/>
  <c r="AS123" i="5"/>
  <c r="AR123" i="5"/>
  <c r="AQ123" i="5"/>
  <c r="AO123" i="5"/>
  <c r="AN123" i="5"/>
  <c r="AM123" i="5"/>
  <c r="AL123" i="5"/>
  <c r="AK123" i="5"/>
  <c r="AJ123" i="5"/>
  <c r="AI123" i="5"/>
  <c r="AG123" i="5"/>
  <c r="AF123" i="5"/>
  <c r="AE123" i="5"/>
  <c r="AD123" i="5"/>
  <c r="AC123" i="5"/>
  <c r="AB123" i="5"/>
  <c r="AA123" i="5"/>
  <c r="Y123" i="5"/>
  <c r="X123" i="5"/>
  <c r="W123" i="5"/>
  <c r="V123" i="5"/>
  <c r="T123" i="5"/>
  <c r="S123" i="5"/>
  <c r="I123" i="5"/>
  <c r="H123" i="5"/>
  <c r="G123" i="5"/>
  <c r="F123" i="5"/>
  <c r="E123" i="5"/>
  <c r="D123" i="5"/>
  <c r="C123" i="5"/>
  <c r="B123" i="5"/>
  <c r="AP123" i="5" s="1"/>
  <c r="A123" i="5"/>
  <c r="AT122" i="5"/>
  <c r="AS122" i="5"/>
  <c r="AR122" i="5"/>
  <c r="AQ122" i="5"/>
  <c r="AO122" i="5"/>
  <c r="AN122" i="5"/>
  <c r="AM122" i="5"/>
  <c r="AL122" i="5"/>
  <c r="AK122" i="5"/>
  <c r="AJ122" i="5"/>
  <c r="AI122" i="5"/>
  <c r="AG122" i="5"/>
  <c r="AF122" i="5"/>
  <c r="AE122" i="5"/>
  <c r="AD122" i="5"/>
  <c r="AC122" i="5"/>
  <c r="AB122" i="5"/>
  <c r="AA122" i="5"/>
  <c r="Y122" i="5"/>
  <c r="X122" i="5"/>
  <c r="W122" i="5"/>
  <c r="V122" i="5"/>
  <c r="T122" i="5" s="1"/>
  <c r="S122" i="5"/>
  <c r="O122" i="5"/>
  <c r="N122" i="5"/>
  <c r="I122" i="5"/>
  <c r="H122" i="5"/>
  <c r="G122" i="5"/>
  <c r="F122" i="5"/>
  <c r="E122" i="5"/>
  <c r="D122" i="5"/>
  <c r="C122" i="5"/>
  <c r="B122" i="5"/>
  <c r="AP122" i="5" s="1"/>
  <c r="A122" i="5"/>
  <c r="AU121" i="5"/>
  <c r="AV121" i="5" s="1"/>
  <c r="AT121" i="5"/>
  <c r="AS121" i="5"/>
  <c r="AR121" i="5"/>
  <c r="AQ121" i="5"/>
  <c r="AO121" i="5"/>
  <c r="AN121" i="5"/>
  <c r="AM121" i="5"/>
  <c r="AL121" i="5"/>
  <c r="AK121" i="5"/>
  <c r="AJ121" i="5"/>
  <c r="AI121" i="5"/>
  <c r="AG121" i="5"/>
  <c r="AF121" i="5"/>
  <c r="AE121" i="5"/>
  <c r="AD121" i="5"/>
  <c r="AC121" i="5"/>
  <c r="AB121" i="5"/>
  <c r="AA121" i="5"/>
  <c r="Y121" i="5"/>
  <c r="X121" i="5"/>
  <c r="W121" i="5"/>
  <c r="V121" i="5"/>
  <c r="T121" i="5"/>
  <c r="U121" i="5" s="1"/>
  <c r="S121" i="5"/>
  <c r="O121" i="5"/>
  <c r="N121" i="5"/>
  <c r="L121" i="5"/>
  <c r="K121" i="5"/>
  <c r="I121" i="5"/>
  <c r="H121" i="5"/>
  <c r="G121" i="5"/>
  <c r="F121" i="5"/>
  <c r="E121" i="5"/>
  <c r="D121" i="5"/>
  <c r="C121" i="5"/>
  <c r="B121" i="5"/>
  <c r="AP121" i="5" s="1"/>
  <c r="A121" i="5"/>
  <c r="AT120" i="5"/>
  <c r="AS120" i="5"/>
  <c r="AR120" i="5"/>
  <c r="AQ120" i="5"/>
  <c r="AO120" i="5"/>
  <c r="AN120" i="5"/>
  <c r="AM120" i="5"/>
  <c r="AL120" i="5"/>
  <c r="AK120" i="5"/>
  <c r="AJ120" i="5"/>
  <c r="AI120" i="5"/>
  <c r="AG120" i="5"/>
  <c r="AF120" i="5"/>
  <c r="AE120" i="5"/>
  <c r="AD120" i="5"/>
  <c r="AC120" i="5"/>
  <c r="AB120" i="5"/>
  <c r="AA120" i="5"/>
  <c r="Y120" i="5"/>
  <c r="X120" i="5"/>
  <c r="W120" i="5"/>
  <c r="V120" i="5"/>
  <c r="I120" i="5"/>
  <c r="H120" i="5"/>
  <c r="G120" i="5"/>
  <c r="F120" i="5"/>
  <c r="E120" i="5"/>
  <c r="D120" i="5"/>
  <c r="C120" i="5"/>
  <c r="B120" i="5"/>
  <c r="AP120" i="5" s="1"/>
  <c r="A120" i="5"/>
  <c r="AT119" i="5"/>
  <c r="AS119" i="5"/>
  <c r="AR119" i="5"/>
  <c r="AQ119" i="5"/>
  <c r="AO119" i="5"/>
  <c r="AN119" i="5"/>
  <c r="AM119" i="5"/>
  <c r="AL119" i="5"/>
  <c r="AK119" i="5"/>
  <c r="AJ119" i="5"/>
  <c r="AI119" i="5"/>
  <c r="AG119" i="5"/>
  <c r="AF119" i="5"/>
  <c r="AE119" i="5"/>
  <c r="AD119" i="5"/>
  <c r="AC119" i="5"/>
  <c r="AB119" i="5"/>
  <c r="AA119" i="5"/>
  <c r="Y119" i="5"/>
  <c r="X119" i="5"/>
  <c r="W119" i="5"/>
  <c r="V119" i="5"/>
  <c r="K119" i="5"/>
  <c r="I119" i="5"/>
  <c r="H119" i="5"/>
  <c r="G119" i="5"/>
  <c r="F119" i="5"/>
  <c r="E119" i="5"/>
  <c r="D119" i="5"/>
  <c r="C119" i="5"/>
  <c r="B119" i="5"/>
  <c r="AP119" i="5" s="1"/>
  <c r="A119" i="5"/>
  <c r="AT118" i="5"/>
  <c r="AS118" i="5"/>
  <c r="AR118" i="5"/>
  <c r="AQ118" i="5"/>
  <c r="AO118" i="5"/>
  <c r="AN118" i="5"/>
  <c r="AM118" i="5"/>
  <c r="AL118" i="5"/>
  <c r="AK118" i="5"/>
  <c r="AJ118" i="5"/>
  <c r="AI118" i="5"/>
  <c r="AG118" i="5"/>
  <c r="AF118" i="5"/>
  <c r="AE118" i="5"/>
  <c r="AD118" i="5"/>
  <c r="AC118" i="5"/>
  <c r="AB118" i="5"/>
  <c r="AA118" i="5"/>
  <c r="Y118" i="5"/>
  <c r="X118" i="5"/>
  <c r="W118" i="5"/>
  <c r="V118" i="5"/>
  <c r="R118" i="5" s="1"/>
  <c r="S118" i="5"/>
  <c r="Q118" i="5"/>
  <c r="P118" i="5"/>
  <c r="O118" i="5"/>
  <c r="N118" i="5"/>
  <c r="M118" i="5"/>
  <c r="L118" i="5"/>
  <c r="I118" i="5"/>
  <c r="H118" i="5"/>
  <c r="G118" i="5"/>
  <c r="F118" i="5"/>
  <c r="E118" i="5"/>
  <c r="D118" i="5"/>
  <c r="C118" i="5"/>
  <c r="B118" i="5"/>
  <c r="AP118" i="5" s="1"/>
  <c r="A118" i="5"/>
  <c r="AT117" i="5"/>
  <c r="AS117" i="5"/>
  <c r="AR117" i="5"/>
  <c r="AQ117" i="5"/>
  <c r="AO117" i="5"/>
  <c r="AN117" i="5"/>
  <c r="AM117" i="5"/>
  <c r="AL117" i="5"/>
  <c r="AK117" i="5"/>
  <c r="AJ117" i="5"/>
  <c r="AI117" i="5"/>
  <c r="AG117" i="5"/>
  <c r="AF117" i="5"/>
  <c r="AE117" i="5"/>
  <c r="AD117" i="5"/>
  <c r="AC117" i="5"/>
  <c r="AB117" i="5"/>
  <c r="AA117" i="5"/>
  <c r="Y117" i="5"/>
  <c r="X117" i="5"/>
  <c r="W117" i="5"/>
  <c r="V117" i="5"/>
  <c r="R117" i="5" s="1"/>
  <c r="S117" i="5"/>
  <c r="Q117" i="5"/>
  <c r="P117" i="5"/>
  <c r="M117" i="5"/>
  <c r="L117" i="5"/>
  <c r="I117" i="5"/>
  <c r="H117" i="5"/>
  <c r="G117" i="5"/>
  <c r="F117" i="5"/>
  <c r="E117" i="5"/>
  <c r="D117" i="5"/>
  <c r="C117" i="5"/>
  <c r="B117" i="5"/>
  <c r="AP117" i="5" s="1"/>
  <c r="A117" i="5"/>
  <c r="AT116" i="5"/>
  <c r="AS116" i="5"/>
  <c r="AR116" i="5"/>
  <c r="AQ116" i="5"/>
  <c r="AO116" i="5"/>
  <c r="AN116" i="5"/>
  <c r="AM116" i="5"/>
  <c r="AL116" i="5"/>
  <c r="AK116" i="5"/>
  <c r="AJ116" i="5"/>
  <c r="AI116" i="5"/>
  <c r="AG116" i="5"/>
  <c r="AF116" i="5"/>
  <c r="AE116" i="5"/>
  <c r="AD116" i="5"/>
  <c r="AC116" i="5"/>
  <c r="AB116" i="5"/>
  <c r="AA116" i="5"/>
  <c r="Y116" i="5"/>
  <c r="X116" i="5"/>
  <c r="W116" i="5"/>
  <c r="V116" i="5"/>
  <c r="T116" i="5"/>
  <c r="U116" i="5" s="1"/>
  <c r="M116" i="5"/>
  <c r="L116" i="5"/>
  <c r="K116" i="5"/>
  <c r="I116" i="5"/>
  <c r="H116" i="5"/>
  <c r="G116" i="5"/>
  <c r="F116" i="5"/>
  <c r="E116" i="5"/>
  <c r="D116" i="5"/>
  <c r="C116" i="5"/>
  <c r="B116" i="5"/>
  <c r="AP116" i="5" s="1"/>
  <c r="A116" i="5"/>
  <c r="AT115" i="5"/>
  <c r="AS115" i="5"/>
  <c r="AR115" i="5"/>
  <c r="AQ115" i="5"/>
  <c r="AO115" i="5"/>
  <c r="AN115" i="5"/>
  <c r="AM115" i="5"/>
  <c r="AL115" i="5"/>
  <c r="AK115" i="5"/>
  <c r="AJ115" i="5"/>
  <c r="AI115" i="5"/>
  <c r="AG115" i="5"/>
  <c r="AF115" i="5"/>
  <c r="AE115" i="5"/>
  <c r="AD115" i="5"/>
  <c r="AC115" i="5"/>
  <c r="AB115" i="5"/>
  <c r="AA115" i="5"/>
  <c r="Y115" i="5"/>
  <c r="X115" i="5"/>
  <c r="W115" i="5"/>
  <c r="V115" i="5"/>
  <c r="R115" i="5" s="1"/>
  <c r="T115" i="5"/>
  <c r="U115" i="5" s="1"/>
  <c r="S115" i="5"/>
  <c r="Q115" i="5"/>
  <c r="P115" i="5"/>
  <c r="O115" i="5"/>
  <c r="N115" i="5"/>
  <c r="M115" i="5"/>
  <c r="K115" i="5"/>
  <c r="I115" i="5"/>
  <c r="H115" i="5"/>
  <c r="G115" i="5"/>
  <c r="F115" i="5"/>
  <c r="E115" i="5"/>
  <c r="D115" i="5"/>
  <c r="C115" i="5"/>
  <c r="B115" i="5"/>
  <c r="AP115" i="5" s="1"/>
  <c r="A115" i="5"/>
  <c r="AU114" i="5"/>
  <c r="AV114" i="5" s="1"/>
  <c r="AL114" i="5"/>
  <c r="AK114" i="5"/>
  <c r="AE114" i="5"/>
  <c r="AC114" i="5"/>
  <c r="V114" i="5"/>
  <c r="T114" i="5"/>
  <c r="U114" i="5" s="1"/>
  <c r="S114" i="5"/>
  <c r="R114" i="5"/>
  <c r="N114" i="5"/>
  <c r="L114" i="5"/>
  <c r="D114" i="5"/>
  <c r="C114" i="5"/>
  <c r="B114" i="5"/>
  <c r="A114" i="5"/>
  <c r="AJ113" i="5"/>
  <c r="AD113" i="5"/>
  <c r="V113" i="5"/>
  <c r="S113" i="5" s="1"/>
  <c r="T113" i="5"/>
  <c r="R113" i="5"/>
  <c r="N113" i="5"/>
  <c r="D113" i="5"/>
  <c r="C113" i="5"/>
  <c r="B113" i="5"/>
  <c r="A113" i="5"/>
  <c r="AL112" i="5"/>
  <c r="AH112" i="5"/>
  <c r="V112" i="5"/>
  <c r="S112" i="5" s="1"/>
  <c r="R112" i="5"/>
  <c r="F112" i="5"/>
  <c r="D112" i="5"/>
  <c r="C112" i="5"/>
  <c r="B112" i="5"/>
  <c r="A112" i="5"/>
  <c r="AT111" i="5"/>
  <c r="AR111" i="5"/>
  <c r="AQ111" i="5"/>
  <c r="AP111" i="5"/>
  <c r="AL111" i="5"/>
  <c r="AJ111" i="5"/>
  <c r="AI111" i="5"/>
  <c r="AD111" i="5"/>
  <c r="AB111" i="5"/>
  <c r="AA111" i="5"/>
  <c r="Z111" i="5"/>
  <c r="V111" i="5"/>
  <c r="T111" i="5"/>
  <c r="S111" i="5"/>
  <c r="K111" i="5"/>
  <c r="J111" i="5"/>
  <c r="F111" i="5"/>
  <c r="D111" i="5"/>
  <c r="C111" i="5"/>
  <c r="B111" i="5"/>
  <c r="A111" i="5"/>
  <c r="AR110" i="5"/>
  <c r="AQ110" i="5"/>
  <c r="AP110" i="5"/>
  <c r="AL110" i="5"/>
  <c r="AJ110" i="5"/>
  <c r="AB110" i="5"/>
  <c r="AA110" i="5"/>
  <c r="Z110" i="5"/>
  <c r="V110" i="5"/>
  <c r="J110" i="5"/>
  <c r="F110" i="5"/>
  <c r="D110" i="5"/>
  <c r="C110" i="5"/>
  <c r="B110" i="5"/>
  <c r="AT110" i="5" s="1"/>
  <c r="A110" i="5"/>
  <c r="AT109" i="5"/>
  <c r="AR109" i="5"/>
  <c r="AQ109" i="5"/>
  <c r="AP109" i="5"/>
  <c r="AL109" i="5"/>
  <c r="AI109" i="5"/>
  <c r="AD109" i="5"/>
  <c r="AB109" i="5"/>
  <c r="AA109" i="5"/>
  <c r="Z109" i="5"/>
  <c r="V109" i="5"/>
  <c r="L109" i="5" s="1"/>
  <c r="J109" i="5"/>
  <c r="F109" i="5"/>
  <c r="D109" i="5"/>
  <c r="C109" i="5"/>
  <c r="B109" i="5"/>
  <c r="A109" i="5"/>
  <c r="AT108" i="5"/>
  <c r="AQ108" i="5"/>
  <c r="AP108" i="5"/>
  <c r="AD108" i="5"/>
  <c r="AA108" i="5"/>
  <c r="Z108" i="5"/>
  <c r="V108" i="5"/>
  <c r="T108" i="5"/>
  <c r="S108" i="5"/>
  <c r="R108" i="5"/>
  <c r="N108" i="5"/>
  <c r="L108" i="5"/>
  <c r="K108" i="5"/>
  <c r="J108" i="5"/>
  <c r="D108" i="5"/>
  <c r="C108" i="5"/>
  <c r="B108" i="5"/>
  <c r="AR108" i="5" s="1"/>
  <c r="A108" i="5"/>
  <c r="AR107" i="5"/>
  <c r="AQ107" i="5"/>
  <c r="AH107" i="5"/>
  <c r="AB107" i="5"/>
  <c r="V107" i="5"/>
  <c r="T107" i="5" s="1"/>
  <c r="S107" i="5"/>
  <c r="R107" i="5"/>
  <c r="L107" i="5"/>
  <c r="K107" i="5"/>
  <c r="D107" i="5"/>
  <c r="C107" i="5"/>
  <c r="B107" i="5"/>
  <c r="A107" i="5"/>
  <c r="AT106" i="5"/>
  <c r="AR106" i="5"/>
  <c r="AJ106" i="5"/>
  <c r="AI106" i="5"/>
  <c r="AD106" i="5"/>
  <c r="AB106" i="5"/>
  <c r="V106" i="5"/>
  <c r="T106" i="5"/>
  <c r="S106" i="5"/>
  <c r="R106" i="5"/>
  <c r="N106" i="5"/>
  <c r="L106" i="5"/>
  <c r="D106" i="5"/>
  <c r="C106" i="5"/>
  <c r="B106" i="5"/>
  <c r="A106" i="5"/>
  <c r="V105" i="5"/>
  <c r="S105" i="5" s="1"/>
  <c r="T105" i="5"/>
  <c r="R105" i="5"/>
  <c r="N105" i="5"/>
  <c r="D105" i="5"/>
  <c r="C105" i="5"/>
  <c r="B105" i="5"/>
  <c r="AH105" i="5" s="1"/>
  <c r="A105" i="5"/>
  <c r="AL104" i="5"/>
  <c r="AI104" i="5"/>
  <c r="V104" i="5"/>
  <c r="S104" i="5" s="1"/>
  <c r="F104" i="5"/>
  <c r="D104" i="5"/>
  <c r="C104" i="5"/>
  <c r="B104" i="5"/>
  <c r="A104" i="5"/>
  <c r="AP103" i="5"/>
  <c r="AJ103" i="5"/>
  <c r="AI103" i="5"/>
  <c r="AB103" i="5"/>
  <c r="Z103" i="5"/>
  <c r="W103" i="5"/>
  <c r="V103" i="5"/>
  <c r="U103" i="5"/>
  <c r="T103" i="5"/>
  <c r="AU103" i="5" s="1"/>
  <c r="AV103" i="5" s="1"/>
  <c r="S103" i="5"/>
  <c r="R103" i="5"/>
  <c r="Q103" i="5"/>
  <c r="P103" i="5"/>
  <c r="O103" i="5"/>
  <c r="N103" i="5"/>
  <c r="M103" i="5"/>
  <c r="L103" i="5"/>
  <c r="K103" i="5"/>
  <c r="J103" i="5"/>
  <c r="H103" i="5"/>
  <c r="G103" i="5"/>
  <c r="D103" i="5"/>
  <c r="C103" i="5"/>
  <c r="B103" i="5"/>
  <c r="A103" i="5"/>
  <c r="AV102" i="5"/>
  <c r="AU102" i="5"/>
  <c r="AP102" i="5"/>
  <c r="AM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D102" i="5"/>
  <c r="C102" i="5"/>
  <c r="B102" i="5"/>
  <c r="W102" i="5" s="1"/>
  <c r="A102" i="5"/>
  <c r="AU101" i="5"/>
  <c r="AV101" i="5" s="1"/>
  <c r="V101" i="5"/>
  <c r="U101" i="5"/>
  <c r="T101" i="5"/>
  <c r="S101" i="5"/>
  <c r="R101" i="5"/>
  <c r="Q101" i="5"/>
  <c r="P101" i="5"/>
  <c r="O101" i="5"/>
  <c r="N101" i="5"/>
  <c r="M101" i="5"/>
  <c r="L101" i="5"/>
  <c r="K101" i="5"/>
  <c r="D101" i="5"/>
  <c r="C101" i="5"/>
  <c r="B101" i="5"/>
  <c r="A101" i="5"/>
  <c r="AV100" i="5"/>
  <c r="AU100" i="5"/>
  <c r="AN100" i="5"/>
  <c r="AF100" i="5"/>
  <c r="AE100" i="5"/>
  <c r="Z100" i="5"/>
  <c r="X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H100" i="5"/>
  <c r="G100" i="5"/>
  <c r="D100" i="5"/>
  <c r="C100" i="5"/>
  <c r="B100" i="5"/>
  <c r="AH100" i="5" s="1"/>
  <c r="A100" i="5"/>
  <c r="AV99" i="5"/>
  <c r="AU99" i="5"/>
  <c r="AP99" i="5"/>
  <c r="AN99" i="5"/>
  <c r="AH99" i="5"/>
  <c r="AF99" i="5"/>
  <c r="AE99" i="5"/>
  <c r="Z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H99" i="5"/>
  <c r="G99" i="5"/>
  <c r="D99" i="5"/>
  <c r="C99" i="5"/>
  <c r="B99" i="5"/>
  <c r="A99" i="5"/>
  <c r="AV98" i="5"/>
  <c r="AU98" i="5"/>
  <c r="AP98" i="5"/>
  <c r="V98" i="5"/>
  <c r="U98" i="5"/>
  <c r="T98" i="5"/>
  <c r="S98" i="5"/>
  <c r="R98" i="5"/>
  <c r="Q98" i="5"/>
  <c r="P98" i="5"/>
  <c r="O98" i="5"/>
  <c r="N98" i="5"/>
  <c r="M98" i="5"/>
  <c r="L98" i="5"/>
  <c r="K98" i="5"/>
  <c r="D98" i="5"/>
  <c r="C98" i="5"/>
  <c r="B98" i="5"/>
  <c r="W98" i="5" s="1"/>
  <c r="A98" i="5"/>
  <c r="AU97" i="5"/>
  <c r="AV97" i="5" s="1"/>
  <c r="AF97" i="5"/>
  <c r="V97" i="5"/>
  <c r="U97" i="5"/>
  <c r="T97" i="5"/>
  <c r="S97" i="5"/>
  <c r="R97" i="5"/>
  <c r="Q97" i="5"/>
  <c r="P97" i="5"/>
  <c r="O97" i="5"/>
  <c r="N97" i="5"/>
  <c r="M97" i="5"/>
  <c r="L97" i="5"/>
  <c r="K97" i="5"/>
  <c r="D97" i="5"/>
  <c r="C97" i="5"/>
  <c r="B97" i="5"/>
  <c r="A97" i="5"/>
  <c r="AU96" i="5"/>
  <c r="AV96" i="5" s="1"/>
  <c r="AN96" i="5"/>
  <c r="AF96" i="5"/>
  <c r="AE96" i="5"/>
  <c r="Z96" i="5"/>
  <c r="X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H96" i="5"/>
  <c r="G96" i="5"/>
  <c r="D96" i="5"/>
  <c r="C96" i="5"/>
  <c r="B96" i="5"/>
  <c r="AH96" i="5" s="1"/>
  <c r="A96" i="5"/>
  <c r="AV95" i="5"/>
  <c r="AU95" i="5"/>
  <c r="AP95" i="5"/>
  <c r="AN95" i="5"/>
  <c r="AH95" i="5"/>
  <c r="AF95" i="5"/>
  <c r="AE95" i="5"/>
  <c r="Z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H95" i="5"/>
  <c r="G95" i="5"/>
  <c r="D95" i="5"/>
  <c r="C95" i="5"/>
  <c r="B95" i="5"/>
  <c r="A95" i="5"/>
  <c r="AV94" i="5"/>
  <c r="AU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D94" i="5"/>
  <c r="C94" i="5"/>
  <c r="B94" i="5"/>
  <c r="A94" i="5"/>
  <c r="AU93" i="5"/>
  <c r="AV93" i="5" s="1"/>
  <c r="AM93" i="5"/>
  <c r="AF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D93" i="5"/>
  <c r="C93" i="5"/>
  <c r="B93" i="5"/>
  <c r="A93" i="5"/>
  <c r="AU92" i="5"/>
  <c r="AV92" i="5" s="1"/>
  <c r="AF92" i="5"/>
  <c r="Z92" i="5"/>
  <c r="X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H92" i="5"/>
  <c r="G92" i="5"/>
  <c r="D92" i="5"/>
  <c r="C92" i="5"/>
  <c r="B92" i="5"/>
  <c r="AH92" i="5" s="1"/>
  <c r="A92" i="5"/>
  <c r="AV91" i="5"/>
  <c r="AU91" i="5"/>
  <c r="AP91" i="5"/>
  <c r="AN91" i="5"/>
  <c r="AH91" i="5"/>
  <c r="AF91" i="5"/>
  <c r="AE91" i="5"/>
  <c r="Z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H91" i="5"/>
  <c r="G91" i="5"/>
  <c r="D91" i="5"/>
  <c r="C91" i="5"/>
  <c r="B91" i="5"/>
  <c r="A91" i="5"/>
  <c r="AV90" i="5"/>
  <c r="AU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D90" i="5"/>
  <c r="C90" i="5"/>
  <c r="B90" i="5"/>
  <c r="A90" i="5"/>
  <c r="AU89" i="5"/>
  <c r="AV89" i="5" s="1"/>
  <c r="AM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D89" i="5"/>
  <c r="C89" i="5"/>
  <c r="B89" i="5"/>
  <c r="A89" i="5"/>
  <c r="AU88" i="5"/>
  <c r="AV88" i="5" s="1"/>
  <c r="AF88" i="5"/>
  <c r="Z88" i="5"/>
  <c r="X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H88" i="5"/>
  <c r="G88" i="5"/>
  <c r="D88" i="5"/>
  <c r="C88" i="5"/>
  <c r="B88" i="5"/>
  <c r="AH88" i="5" s="1"/>
  <c r="A88" i="5"/>
  <c r="AV87" i="5"/>
  <c r="AU87" i="5"/>
  <c r="AQ87" i="5"/>
  <c r="AP87" i="5"/>
  <c r="AM87" i="5"/>
  <c r="AI87" i="5"/>
  <c r="AF87" i="5"/>
  <c r="AE87" i="5"/>
  <c r="AA87" i="5"/>
  <c r="Z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H87" i="5"/>
  <c r="D87" i="5"/>
  <c r="C87" i="5"/>
  <c r="B87" i="5"/>
  <c r="A87" i="5"/>
  <c r="AU86" i="5"/>
  <c r="AV86" i="5" s="1"/>
  <c r="AQ86" i="5"/>
  <c r="AH86" i="5"/>
  <c r="AF86" i="5"/>
  <c r="AE86" i="5"/>
  <c r="AA86" i="5"/>
  <c r="V86" i="5"/>
  <c r="T86" i="5" s="1"/>
  <c r="U86" i="5" s="1"/>
  <c r="S86" i="5"/>
  <c r="R86" i="5"/>
  <c r="Q86" i="5"/>
  <c r="P86" i="5"/>
  <c r="O86" i="5"/>
  <c r="N86" i="5"/>
  <c r="M86" i="5"/>
  <c r="L86" i="5"/>
  <c r="K86" i="5"/>
  <c r="J86" i="5"/>
  <c r="H86" i="5"/>
  <c r="G86" i="5"/>
  <c r="D86" i="5"/>
  <c r="C86" i="5"/>
  <c r="B86" i="5"/>
  <c r="AI86" i="5" s="1"/>
  <c r="A86" i="5"/>
  <c r="AV85" i="5"/>
  <c r="AU85" i="5"/>
  <c r="AQ85" i="5"/>
  <c r="AP85" i="5"/>
  <c r="AM85" i="5"/>
  <c r="AI85" i="5"/>
  <c r="AH85" i="5"/>
  <c r="AF85" i="5"/>
  <c r="AE85" i="5"/>
  <c r="AA85" i="5"/>
  <c r="Z85" i="5"/>
  <c r="W85" i="5"/>
  <c r="V85" i="5"/>
  <c r="T85" i="5" s="1"/>
  <c r="U85" i="5" s="1"/>
  <c r="S85" i="5"/>
  <c r="R85" i="5"/>
  <c r="Q85" i="5"/>
  <c r="P85" i="5"/>
  <c r="O85" i="5"/>
  <c r="N85" i="5"/>
  <c r="M85" i="5"/>
  <c r="K85" i="5"/>
  <c r="J85" i="5"/>
  <c r="H85" i="5"/>
  <c r="G85" i="5"/>
  <c r="D85" i="5"/>
  <c r="C85" i="5"/>
  <c r="B85" i="5"/>
  <c r="A85" i="5"/>
  <c r="AV84" i="5"/>
  <c r="AU84" i="5"/>
  <c r="V84" i="5"/>
  <c r="T84" i="5" s="1"/>
  <c r="U84" i="5" s="1"/>
  <c r="S84" i="5"/>
  <c r="R84" i="5"/>
  <c r="Q84" i="5"/>
  <c r="P84" i="5"/>
  <c r="O84" i="5"/>
  <c r="N84" i="5"/>
  <c r="M84" i="5"/>
  <c r="K84" i="5"/>
  <c r="D84" i="5"/>
  <c r="C84" i="5"/>
  <c r="B84" i="5"/>
  <c r="AM84" i="5" s="1"/>
  <c r="A84" i="5"/>
  <c r="AN83" i="5"/>
  <c r="AI83" i="5"/>
  <c r="AH83" i="5"/>
  <c r="X83" i="5"/>
  <c r="V83" i="5"/>
  <c r="T83" i="5" s="1"/>
  <c r="S83" i="5"/>
  <c r="R83" i="5"/>
  <c r="Q83" i="5"/>
  <c r="P83" i="5"/>
  <c r="O83" i="5"/>
  <c r="N83" i="5"/>
  <c r="M83" i="5"/>
  <c r="L83" i="5"/>
  <c r="K83" i="5"/>
  <c r="D83" i="5"/>
  <c r="C83" i="5"/>
  <c r="B83" i="5"/>
  <c r="A83" i="5"/>
  <c r="AF82" i="5"/>
  <c r="W82" i="5"/>
  <c r="V82" i="5"/>
  <c r="T82" i="5" s="1"/>
  <c r="U82" i="5" s="1"/>
  <c r="S82" i="5"/>
  <c r="R82" i="5"/>
  <c r="Q82" i="5"/>
  <c r="P82" i="5"/>
  <c r="O82" i="5"/>
  <c r="N82" i="5"/>
  <c r="M82" i="5"/>
  <c r="L82" i="5"/>
  <c r="K82" i="5"/>
  <c r="D82" i="5"/>
  <c r="C82" i="5"/>
  <c r="B82" i="5"/>
  <c r="A82" i="5"/>
  <c r="AV81" i="5"/>
  <c r="AU81" i="5"/>
  <c r="AP81" i="5"/>
  <c r="AN81" i="5"/>
  <c r="AI81" i="5"/>
  <c r="AH81" i="5"/>
  <c r="AF81" i="5"/>
  <c r="AE81" i="5"/>
  <c r="Z81" i="5"/>
  <c r="X81" i="5"/>
  <c r="V81" i="5"/>
  <c r="T81" i="5" s="1"/>
  <c r="U81" i="5" s="1"/>
  <c r="S81" i="5"/>
  <c r="R81" i="5"/>
  <c r="Q81" i="5"/>
  <c r="P81" i="5"/>
  <c r="O81" i="5"/>
  <c r="N81" i="5"/>
  <c r="M81" i="5"/>
  <c r="L81" i="5"/>
  <c r="K81" i="5"/>
  <c r="J81" i="5"/>
  <c r="H81" i="5"/>
  <c r="D81" i="5"/>
  <c r="C81" i="5"/>
  <c r="B81" i="5"/>
  <c r="A81" i="5"/>
  <c r="AU80" i="5"/>
  <c r="AV80" i="5" s="1"/>
  <c r="AQ80" i="5"/>
  <c r="AH80" i="5"/>
  <c r="AF80" i="5"/>
  <c r="AE80" i="5"/>
  <c r="AA80" i="5"/>
  <c r="V80" i="5"/>
  <c r="T80" i="5" s="1"/>
  <c r="U80" i="5" s="1"/>
  <c r="S80" i="5"/>
  <c r="R80" i="5"/>
  <c r="Q80" i="5"/>
  <c r="P80" i="5"/>
  <c r="O80" i="5"/>
  <c r="N80" i="5"/>
  <c r="M80" i="5"/>
  <c r="K80" i="5"/>
  <c r="J80" i="5"/>
  <c r="H80" i="5"/>
  <c r="G80" i="5"/>
  <c r="D80" i="5"/>
  <c r="C80" i="5"/>
  <c r="B80" i="5"/>
  <c r="AM80" i="5" s="1"/>
  <c r="A80" i="5"/>
  <c r="AU79" i="5"/>
  <c r="AV79" i="5" s="1"/>
  <c r="AP79" i="5"/>
  <c r="V79" i="5"/>
  <c r="T79" i="5" s="1"/>
  <c r="U79" i="5" s="1"/>
  <c r="S79" i="5"/>
  <c r="R79" i="5"/>
  <c r="Q79" i="5"/>
  <c r="P79" i="5"/>
  <c r="O79" i="5"/>
  <c r="N79" i="5"/>
  <c r="M79" i="5"/>
  <c r="K79" i="5"/>
  <c r="G79" i="5"/>
  <c r="D79" i="5"/>
  <c r="C79" i="5"/>
  <c r="B79" i="5"/>
  <c r="AE79" i="5" s="1"/>
  <c r="A79" i="5"/>
  <c r="AP78" i="5"/>
  <c r="AM78" i="5"/>
  <c r="AI78" i="5"/>
  <c r="Z78" i="5"/>
  <c r="W78" i="5"/>
  <c r="V78" i="5"/>
  <c r="T78" i="5" s="1"/>
  <c r="S78" i="5"/>
  <c r="R78" i="5"/>
  <c r="Q78" i="5"/>
  <c r="P78" i="5"/>
  <c r="O78" i="5"/>
  <c r="N78" i="5"/>
  <c r="M78" i="5"/>
  <c r="K78" i="5"/>
  <c r="D78" i="5"/>
  <c r="C78" i="5"/>
  <c r="B78" i="5"/>
  <c r="A78" i="5"/>
  <c r="AQ77" i="5"/>
  <c r="AP77" i="5"/>
  <c r="AM77" i="5"/>
  <c r="AI77" i="5"/>
  <c r="AH77" i="5"/>
  <c r="AF77" i="5"/>
  <c r="AA77" i="5"/>
  <c r="Z77" i="5"/>
  <c r="W77" i="5"/>
  <c r="V77" i="5"/>
  <c r="T77" i="5" s="1"/>
  <c r="U77" i="5" s="1"/>
  <c r="S77" i="5"/>
  <c r="R77" i="5"/>
  <c r="Q77" i="5"/>
  <c r="P77" i="5"/>
  <c r="O77" i="5"/>
  <c r="N77" i="5"/>
  <c r="M77" i="5"/>
  <c r="K77" i="5"/>
  <c r="J77" i="5"/>
  <c r="H77" i="5"/>
  <c r="D77" i="5"/>
  <c r="C77" i="5"/>
  <c r="B77" i="5"/>
  <c r="A77" i="5"/>
  <c r="AU76" i="5"/>
  <c r="AV76" i="5" s="1"/>
  <c r="AQ76" i="5"/>
  <c r="AH76" i="5"/>
  <c r="AE76" i="5"/>
  <c r="AA76" i="5"/>
  <c r="V76" i="5"/>
  <c r="T76" i="5" s="1"/>
  <c r="U76" i="5" s="1"/>
  <c r="S76" i="5"/>
  <c r="R76" i="5"/>
  <c r="Q76" i="5"/>
  <c r="P76" i="5"/>
  <c r="O76" i="5"/>
  <c r="N76" i="5"/>
  <c r="M76" i="5"/>
  <c r="K76" i="5"/>
  <c r="J76" i="5"/>
  <c r="H76" i="5"/>
  <c r="G76" i="5"/>
  <c r="D76" i="5"/>
  <c r="C76" i="5"/>
  <c r="B76" i="5"/>
  <c r="AM76" i="5" s="1"/>
  <c r="A76" i="5"/>
  <c r="AU75" i="5"/>
  <c r="AV75" i="5" s="1"/>
  <c r="AE75" i="5"/>
  <c r="Z75" i="5"/>
  <c r="X75" i="5"/>
  <c r="V75" i="5"/>
  <c r="T75" i="5" s="1"/>
  <c r="U75" i="5" s="1"/>
  <c r="S75" i="5"/>
  <c r="R75" i="5"/>
  <c r="Q75" i="5"/>
  <c r="P75" i="5"/>
  <c r="O75" i="5"/>
  <c r="N75" i="5"/>
  <c r="M75" i="5"/>
  <c r="K75" i="5"/>
  <c r="D75" i="5"/>
  <c r="C75" i="5"/>
  <c r="B75" i="5"/>
  <c r="A75" i="5"/>
  <c r="AP74" i="5"/>
  <c r="AM74" i="5"/>
  <c r="AI74" i="5"/>
  <c r="Z74" i="5"/>
  <c r="W74" i="5"/>
  <c r="V74" i="5"/>
  <c r="T74" i="5" s="1"/>
  <c r="S74" i="5"/>
  <c r="R74" i="5"/>
  <c r="Q74" i="5"/>
  <c r="P74" i="5"/>
  <c r="O74" i="5"/>
  <c r="N74" i="5"/>
  <c r="M74" i="5"/>
  <c r="K74" i="5"/>
  <c r="D74" i="5"/>
  <c r="C74" i="5"/>
  <c r="B74" i="5"/>
  <c r="A74" i="5"/>
  <c r="AQ73" i="5"/>
  <c r="AP73" i="5"/>
  <c r="AM73" i="5"/>
  <c r="AI73" i="5"/>
  <c r="AH73" i="5"/>
  <c r="AF73" i="5"/>
  <c r="AA73" i="5"/>
  <c r="Z73" i="5"/>
  <c r="W73" i="5"/>
  <c r="V73" i="5"/>
  <c r="T73" i="5" s="1"/>
  <c r="U73" i="5" s="1"/>
  <c r="S73" i="5"/>
  <c r="R73" i="5"/>
  <c r="Q73" i="5"/>
  <c r="P73" i="5"/>
  <c r="O73" i="5"/>
  <c r="N73" i="5"/>
  <c r="M73" i="5"/>
  <c r="K73" i="5"/>
  <c r="J73" i="5"/>
  <c r="H73" i="5"/>
  <c r="D73" i="5"/>
  <c r="C73" i="5"/>
  <c r="B73" i="5"/>
  <c r="A73" i="5"/>
  <c r="AU72" i="5"/>
  <c r="AV72" i="5" s="1"/>
  <c r="AQ72" i="5"/>
  <c r="AH72" i="5"/>
  <c r="AF72" i="5"/>
  <c r="AE72" i="5"/>
  <c r="AA72" i="5"/>
  <c r="V72" i="5"/>
  <c r="T72" i="5" s="1"/>
  <c r="U72" i="5" s="1"/>
  <c r="S72" i="5"/>
  <c r="R72" i="5"/>
  <c r="Q72" i="5"/>
  <c r="P72" i="5"/>
  <c r="O72" i="5"/>
  <c r="N72" i="5"/>
  <c r="M72" i="5"/>
  <c r="K72" i="5"/>
  <c r="J72" i="5"/>
  <c r="H72" i="5"/>
  <c r="G72" i="5"/>
  <c r="D72" i="5"/>
  <c r="C72" i="5"/>
  <c r="B72" i="5"/>
  <c r="AM72" i="5" s="1"/>
  <c r="A72" i="5"/>
  <c r="AQ71" i="5"/>
  <c r="AP71" i="5"/>
  <c r="AI71" i="5"/>
  <c r="AG71" i="5"/>
  <c r="AF71" i="5"/>
  <c r="AA71" i="5"/>
  <c r="Y71" i="5"/>
  <c r="X71" i="5"/>
  <c r="V71" i="5"/>
  <c r="O71" i="5" s="1"/>
  <c r="S71" i="5"/>
  <c r="R71" i="5"/>
  <c r="Q71" i="5"/>
  <c r="P71" i="5"/>
  <c r="N71" i="5"/>
  <c r="K71" i="5"/>
  <c r="I71" i="5"/>
  <c r="H71" i="5"/>
  <c r="D71" i="5"/>
  <c r="C71" i="5"/>
  <c r="B71" i="5"/>
  <c r="A71" i="5"/>
  <c r="AQ70" i="5"/>
  <c r="AO70" i="5"/>
  <c r="AN70" i="5"/>
  <c r="AI70" i="5"/>
  <c r="AG70" i="5"/>
  <c r="AF70" i="5"/>
  <c r="AA70" i="5"/>
  <c r="Y70" i="5"/>
  <c r="X70" i="5"/>
  <c r="V70" i="5"/>
  <c r="O70" i="5" s="1"/>
  <c r="S70" i="5"/>
  <c r="R70" i="5"/>
  <c r="Q70" i="5"/>
  <c r="P70" i="5"/>
  <c r="N70" i="5"/>
  <c r="K70" i="5"/>
  <c r="I70" i="5"/>
  <c r="H70" i="5"/>
  <c r="D70" i="5"/>
  <c r="C70" i="5"/>
  <c r="B70" i="5"/>
  <c r="AM70" i="5" s="1"/>
  <c r="A70" i="5"/>
  <c r="AQ69" i="5"/>
  <c r="AO69" i="5"/>
  <c r="AN69" i="5"/>
  <c r="AI69" i="5"/>
  <c r="AG69" i="5"/>
  <c r="AF69" i="5"/>
  <c r="AA69" i="5"/>
  <c r="Y69" i="5"/>
  <c r="X69" i="5"/>
  <c r="V69" i="5"/>
  <c r="O69" i="5" s="1"/>
  <c r="S69" i="5"/>
  <c r="R69" i="5"/>
  <c r="Q69" i="5"/>
  <c r="P69" i="5"/>
  <c r="N69" i="5"/>
  <c r="K69" i="5"/>
  <c r="I69" i="5"/>
  <c r="H69" i="5"/>
  <c r="D69" i="5"/>
  <c r="C69" i="5"/>
  <c r="B69" i="5"/>
  <c r="AM69" i="5" s="1"/>
  <c r="A69" i="5"/>
  <c r="AQ68" i="5"/>
  <c r="AO68" i="5"/>
  <c r="AN68" i="5"/>
  <c r="AI68" i="5"/>
  <c r="AG68" i="5"/>
  <c r="AF68" i="5"/>
  <c r="AA68" i="5"/>
  <c r="Y68" i="5"/>
  <c r="X68" i="5"/>
  <c r="V68" i="5"/>
  <c r="O68" i="5" s="1"/>
  <c r="S68" i="5"/>
  <c r="R68" i="5"/>
  <c r="Q68" i="5"/>
  <c r="P68" i="5"/>
  <c r="N68" i="5"/>
  <c r="K68" i="5"/>
  <c r="I68" i="5"/>
  <c r="H68" i="5"/>
  <c r="D68" i="5"/>
  <c r="C68" i="5"/>
  <c r="B68" i="5"/>
  <c r="AM68" i="5" s="1"/>
  <c r="A68" i="5"/>
  <c r="AQ67" i="5"/>
  <c r="AO67" i="5"/>
  <c r="AN67" i="5"/>
  <c r="AI67" i="5"/>
  <c r="AG67" i="5"/>
  <c r="AF67" i="5"/>
  <c r="AA67" i="5"/>
  <c r="Y67" i="5"/>
  <c r="X67" i="5"/>
  <c r="V67" i="5"/>
  <c r="O67" i="5" s="1"/>
  <c r="S67" i="5"/>
  <c r="R67" i="5"/>
  <c r="Q67" i="5"/>
  <c r="P67" i="5"/>
  <c r="N67" i="5"/>
  <c r="K67" i="5"/>
  <c r="I67" i="5"/>
  <c r="H67" i="5"/>
  <c r="D67" i="5"/>
  <c r="C67" i="5"/>
  <c r="B67" i="5"/>
  <c r="AM67" i="5" s="1"/>
  <c r="A67" i="5"/>
  <c r="AQ66" i="5"/>
  <c r="AO66" i="5"/>
  <c r="AN66" i="5"/>
  <c r="AI66" i="5"/>
  <c r="AG66" i="5"/>
  <c r="AF66" i="5"/>
  <c r="AA66" i="5"/>
  <c r="Y66" i="5"/>
  <c r="X66" i="5"/>
  <c r="V66" i="5"/>
  <c r="O66" i="5" s="1"/>
  <c r="S66" i="5"/>
  <c r="R66" i="5"/>
  <c r="Q66" i="5"/>
  <c r="P66" i="5"/>
  <c r="N66" i="5"/>
  <c r="K66" i="5"/>
  <c r="I66" i="5"/>
  <c r="H66" i="5"/>
  <c r="D66" i="5"/>
  <c r="C66" i="5"/>
  <c r="B66" i="5"/>
  <c r="AM66" i="5" s="1"/>
  <c r="A66" i="5"/>
  <c r="AQ65" i="5"/>
  <c r="AO65" i="5"/>
  <c r="AN65" i="5"/>
  <c r="AI65" i="5"/>
  <c r="AG65" i="5"/>
  <c r="AF65" i="5"/>
  <c r="AA65" i="5"/>
  <c r="Y65" i="5"/>
  <c r="X65" i="5"/>
  <c r="V65" i="5"/>
  <c r="O65" i="5" s="1"/>
  <c r="S65" i="5"/>
  <c r="Q65" i="5"/>
  <c r="P65" i="5"/>
  <c r="N65" i="5"/>
  <c r="K65" i="5"/>
  <c r="I65" i="5"/>
  <c r="H65" i="5"/>
  <c r="D65" i="5"/>
  <c r="C65" i="5"/>
  <c r="B65" i="5"/>
  <c r="AM65" i="5" s="1"/>
  <c r="A65" i="5"/>
  <c r="AQ64" i="5"/>
  <c r="AH64" i="5"/>
  <c r="AG64" i="5"/>
  <c r="AF64" i="5"/>
  <c r="AD64" i="5"/>
  <c r="V64" i="5"/>
  <c r="S64" i="5"/>
  <c r="R64" i="5"/>
  <c r="Q64" i="5"/>
  <c r="I64" i="5"/>
  <c r="H64" i="5"/>
  <c r="F64" i="5"/>
  <c r="D64" i="5"/>
  <c r="C64" i="5"/>
  <c r="B64" i="5"/>
  <c r="AL64" i="5" s="1"/>
  <c r="A64" i="5"/>
  <c r="AT63" i="5"/>
  <c r="AQ63" i="5"/>
  <c r="AP63" i="5"/>
  <c r="AO63" i="5"/>
  <c r="AG63" i="5"/>
  <c r="AF63" i="5"/>
  <c r="AD63" i="5"/>
  <c r="AA63" i="5"/>
  <c r="V63" i="5"/>
  <c r="S63" i="5"/>
  <c r="R63" i="5"/>
  <c r="Q63" i="5"/>
  <c r="P63" i="5"/>
  <c r="N63" i="5"/>
  <c r="K63" i="5"/>
  <c r="H63" i="5"/>
  <c r="F63" i="5"/>
  <c r="D63" i="5"/>
  <c r="C63" i="5"/>
  <c r="B63" i="5"/>
  <c r="AL63" i="5" s="1"/>
  <c r="A63" i="5"/>
  <c r="V62" i="5"/>
  <c r="S62" i="5" s="1"/>
  <c r="R62" i="5"/>
  <c r="Q62" i="5"/>
  <c r="P62" i="5"/>
  <c r="N62" i="5"/>
  <c r="K62" i="5"/>
  <c r="D62" i="5"/>
  <c r="C62" i="5"/>
  <c r="B62" i="5"/>
  <c r="A62" i="5"/>
  <c r="V61" i="5"/>
  <c r="S61" i="5" s="1"/>
  <c r="Q61" i="5"/>
  <c r="P61" i="5"/>
  <c r="N61" i="5"/>
  <c r="K61" i="5"/>
  <c r="D61" i="5"/>
  <c r="C61" i="5"/>
  <c r="B61" i="5"/>
  <c r="A61" i="5"/>
  <c r="AP60" i="5"/>
  <c r="AO60" i="5"/>
  <c r="AN60" i="5"/>
  <c r="AF60" i="5"/>
  <c r="AD60" i="5"/>
  <c r="AC60" i="5"/>
  <c r="V60" i="5"/>
  <c r="S60" i="5"/>
  <c r="R60" i="5"/>
  <c r="K60" i="5"/>
  <c r="J60" i="5"/>
  <c r="I60" i="5"/>
  <c r="H60" i="5"/>
  <c r="D60" i="5"/>
  <c r="C60" i="5"/>
  <c r="B60" i="5"/>
  <c r="A60" i="5"/>
  <c r="AT59" i="5"/>
  <c r="AN59" i="5"/>
  <c r="AL59" i="5"/>
  <c r="AK59" i="5"/>
  <c r="AI59" i="5"/>
  <c r="AC59" i="5"/>
  <c r="AA59" i="5"/>
  <c r="Z59" i="5"/>
  <c r="Y59" i="5"/>
  <c r="V59" i="5"/>
  <c r="S59" i="5" s="1"/>
  <c r="R59" i="5"/>
  <c r="Q59" i="5"/>
  <c r="P59" i="5"/>
  <c r="N59" i="5"/>
  <c r="K59" i="5"/>
  <c r="H59" i="5"/>
  <c r="F59" i="5"/>
  <c r="E59" i="5"/>
  <c r="D59" i="5"/>
  <c r="C59" i="5"/>
  <c r="B59" i="5"/>
  <c r="AP59" i="5" s="1"/>
  <c r="A59" i="5"/>
  <c r="AP58" i="5"/>
  <c r="AF58" i="5"/>
  <c r="V58" i="5"/>
  <c r="K58" i="5"/>
  <c r="J58" i="5"/>
  <c r="D58" i="5"/>
  <c r="C58" i="5"/>
  <c r="B58" i="5"/>
  <c r="A58" i="5"/>
  <c r="AT57" i="5"/>
  <c r="AS57" i="5"/>
  <c r="AP57" i="5"/>
  <c r="AO57" i="5"/>
  <c r="AN57" i="5"/>
  <c r="AL57" i="5"/>
  <c r="AK57" i="5"/>
  <c r="AI57" i="5"/>
  <c r="AH57" i="5"/>
  <c r="AF57" i="5"/>
  <c r="AD57" i="5"/>
  <c r="AC57" i="5"/>
  <c r="AA57" i="5"/>
  <c r="Z57" i="5"/>
  <c r="Y57" i="5"/>
  <c r="X57" i="5"/>
  <c r="V57" i="5"/>
  <c r="S57" i="5"/>
  <c r="R57" i="5"/>
  <c r="Q57" i="5"/>
  <c r="P57" i="5"/>
  <c r="N57" i="5"/>
  <c r="M57" i="5"/>
  <c r="K57" i="5"/>
  <c r="J57" i="5"/>
  <c r="I57" i="5"/>
  <c r="H57" i="5"/>
  <c r="F57" i="5"/>
  <c r="E57" i="5"/>
  <c r="D57" i="5"/>
  <c r="C57" i="5"/>
  <c r="B57" i="5"/>
  <c r="A57" i="5"/>
  <c r="AT56" i="5"/>
  <c r="AS56" i="5"/>
  <c r="AP56" i="5"/>
  <c r="AL56" i="5"/>
  <c r="AK56" i="5"/>
  <c r="AI56" i="5"/>
  <c r="AH56" i="5"/>
  <c r="AF56" i="5"/>
  <c r="AA56" i="5"/>
  <c r="Z56" i="5"/>
  <c r="Y56" i="5"/>
  <c r="X56" i="5"/>
  <c r="V56" i="5"/>
  <c r="S56" i="5" s="1"/>
  <c r="Q56" i="5"/>
  <c r="P56" i="5"/>
  <c r="N56" i="5"/>
  <c r="M56" i="5"/>
  <c r="K56" i="5"/>
  <c r="J56" i="5"/>
  <c r="F56" i="5"/>
  <c r="E56" i="5"/>
  <c r="D56" i="5"/>
  <c r="C56" i="5"/>
  <c r="B56" i="5"/>
  <c r="AO56" i="5" s="1"/>
  <c r="A56" i="5"/>
  <c r="AP55" i="5"/>
  <c r="AO55" i="5"/>
  <c r="AF55" i="5"/>
  <c r="AD55" i="5"/>
  <c r="V55" i="5"/>
  <c r="S55" i="5"/>
  <c r="K55" i="5"/>
  <c r="J55" i="5"/>
  <c r="I55" i="5"/>
  <c r="D55" i="5"/>
  <c r="C55" i="5"/>
  <c r="B55" i="5"/>
  <c r="A55" i="5"/>
  <c r="AS54" i="5"/>
  <c r="AO54" i="5"/>
  <c r="AN54" i="5"/>
  <c r="AL54" i="5"/>
  <c r="AK54" i="5"/>
  <c r="AH54" i="5"/>
  <c r="AD54" i="5"/>
  <c r="AC54" i="5"/>
  <c r="AA54" i="5"/>
  <c r="Z54" i="5"/>
  <c r="X54" i="5"/>
  <c r="V54" i="5"/>
  <c r="S54" i="5"/>
  <c r="R54" i="5"/>
  <c r="Q54" i="5"/>
  <c r="P54" i="5"/>
  <c r="M54" i="5"/>
  <c r="K54" i="5"/>
  <c r="I54" i="5"/>
  <c r="H54" i="5"/>
  <c r="F54" i="5"/>
  <c r="E54" i="5"/>
  <c r="D54" i="5"/>
  <c r="C54" i="5"/>
  <c r="B54" i="5"/>
  <c r="AP54" i="5" s="1"/>
  <c r="A54" i="5"/>
  <c r="V53" i="5"/>
  <c r="K53" i="5"/>
  <c r="D53" i="5"/>
  <c r="C53" i="5"/>
  <c r="B53" i="5"/>
  <c r="A53" i="5"/>
  <c r="AP52" i="5"/>
  <c r="AO52" i="5"/>
  <c r="AN52" i="5"/>
  <c r="AF52" i="5"/>
  <c r="AD52" i="5"/>
  <c r="AC52" i="5"/>
  <c r="V52" i="5"/>
  <c r="S52" i="5"/>
  <c r="R52" i="5"/>
  <c r="K52" i="5"/>
  <c r="J52" i="5"/>
  <c r="I52" i="5"/>
  <c r="H52" i="5"/>
  <c r="D52" i="5"/>
  <c r="C52" i="5"/>
  <c r="B52" i="5"/>
  <c r="A52" i="5"/>
  <c r="AT51" i="5"/>
  <c r="AN51" i="5"/>
  <c r="AL51" i="5"/>
  <c r="AK51" i="5"/>
  <c r="AI51" i="5"/>
  <c r="AC51" i="5"/>
  <c r="AA51" i="5"/>
  <c r="Z51" i="5"/>
  <c r="Y51" i="5"/>
  <c r="V51" i="5"/>
  <c r="S51" i="5" s="1"/>
  <c r="R51" i="5"/>
  <c r="Q51" i="5"/>
  <c r="P51" i="5"/>
  <c r="N51" i="5"/>
  <c r="K51" i="5"/>
  <c r="H51" i="5"/>
  <c r="F51" i="5"/>
  <c r="E51" i="5"/>
  <c r="D51" i="5"/>
  <c r="C51" i="5"/>
  <c r="B51" i="5"/>
  <c r="AP51" i="5" s="1"/>
  <c r="A51" i="5"/>
  <c r="AP50" i="5"/>
  <c r="AF50" i="5"/>
  <c r="V50" i="5"/>
  <c r="K50" i="5"/>
  <c r="J50" i="5"/>
  <c r="D50" i="5"/>
  <c r="C50" i="5"/>
  <c r="B50" i="5"/>
  <c r="A50" i="5"/>
  <c r="AT49" i="5"/>
  <c r="AS49" i="5"/>
  <c r="AP49" i="5"/>
  <c r="AO49" i="5"/>
  <c r="AN49" i="5"/>
  <c r="AL49" i="5"/>
  <c r="AK49" i="5"/>
  <c r="AI49" i="5"/>
  <c r="AH49" i="5"/>
  <c r="AF49" i="5"/>
  <c r="AD49" i="5"/>
  <c r="AC49" i="5"/>
  <c r="AA49" i="5"/>
  <c r="Z49" i="5"/>
  <c r="Y49" i="5"/>
  <c r="X49" i="5"/>
  <c r="V49" i="5"/>
  <c r="S49" i="5"/>
  <c r="R49" i="5"/>
  <c r="Q49" i="5"/>
  <c r="P49" i="5"/>
  <c r="N49" i="5"/>
  <c r="M49" i="5"/>
  <c r="K49" i="5"/>
  <c r="J49" i="5"/>
  <c r="I49" i="5"/>
  <c r="H49" i="5"/>
  <c r="F49" i="5"/>
  <c r="E49" i="5"/>
  <c r="D49" i="5"/>
  <c r="C49" i="5"/>
  <c r="B49" i="5"/>
  <c r="A49" i="5"/>
  <c r="AT48" i="5"/>
  <c r="AS48" i="5"/>
  <c r="AP48" i="5"/>
  <c r="AL48" i="5"/>
  <c r="AK48" i="5"/>
  <c r="AI48" i="5"/>
  <c r="AH48" i="5"/>
  <c r="AF48" i="5"/>
  <c r="AA48" i="5"/>
  <c r="Z48" i="5"/>
  <c r="Y48" i="5"/>
  <c r="X48" i="5"/>
  <c r="V48" i="5"/>
  <c r="S48" i="5" s="1"/>
  <c r="Q48" i="5"/>
  <c r="P48" i="5"/>
  <c r="N48" i="5"/>
  <c r="M48" i="5"/>
  <c r="K48" i="5"/>
  <c r="J48" i="5"/>
  <c r="F48" i="5"/>
  <c r="E48" i="5"/>
  <c r="D48" i="5"/>
  <c r="C48" i="5"/>
  <c r="B48" i="5"/>
  <c r="AO48" i="5" s="1"/>
  <c r="A48" i="5"/>
  <c r="AS47" i="5"/>
  <c r="AR47" i="5"/>
  <c r="AQ47" i="5"/>
  <c r="AP47" i="5"/>
  <c r="AN47" i="5"/>
  <c r="AJ47" i="5"/>
  <c r="AI47" i="5"/>
  <c r="AH47" i="5"/>
  <c r="AG47" i="5"/>
  <c r="AD47" i="5"/>
  <c r="AA47" i="5"/>
  <c r="Z47" i="5"/>
  <c r="Y47" i="5"/>
  <c r="X47" i="5"/>
  <c r="V47" i="5"/>
  <c r="O47" i="5" s="1"/>
  <c r="R47" i="5"/>
  <c r="Q47" i="5"/>
  <c r="P47" i="5"/>
  <c r="N47" i="5"/>
  <c r="M47" i="5"/>
  <c r="L47" i="5"/>
  <c r="I47" i="5"/>
  <c r="H47" i="5"/>
  <c r="F47" i="5"/>
  <c r="E47" i="5"/>
  <c r="D47" i="5"/>
  <c r="C47" i="5"/>
  <c r="B47" i="5"/>
  <c r="AT47" i="5" s="1"/>
  <c r="A47" i="5"/>
  <c r="AT46" i="5"/>
  <c r="AS46" i="5"/>
  <c r="AR46" i="5"/>
  <c r="AK46" i="5"/>
  <c r="AJ46" i="5"/>
  <c r="AI46" i="5"/>
  <c r="AB46" i="5"/>
  <c r="AA46" i="5"/>
  <c r="Z46" i="5"/>
  <c r="V46" i="5"/>
  <c r="O46" i="5" s="1"/>
  <c r="T46" i="5"/>
  <c r="AU46" i="5" s="1"/>
  <c r="AV46" i="5" s="1"/>
  <c r="S46" i="5"/>
  <c r="R46" i="5"/>
  <c r="Q46" i="5"/>
  <c r="P46" i="5"/>
  <c r="N46" i="5"/>
  <c r="M46" i="5"/>
  <c r="K46" i="5"/>
  <c r="J46" i="5"/>
  <c r="I46" i="5"/>
  <c r="H46" i="5"/>
  <c r="D46" i="5"/>
  <c r="C46" i="5"/>
  <c r="B46" i="5"/>
  <c r="A46" i="5"/>
  <c r="AT45" i="5"/>
  <c r="AS45" i="5"/>
  <c r="AR45" i="5"/>
  <c r="AQ45" i="5"/>
  <c r="AO45" i="5"/>
  <c r="AN45" i="5"/>
  <c r="AM45" i="5"/>
  <c r="AL45" i="5"/>
  <c r="AK45" i="5"/>
  <c r="AJ45" i="5"/>
  <c r="AI45" i="5"/>
  <c r="AG45" i="5"/>
  <c r="AF45" i="5"/>
  <c r="AE45" i="5"/>
  <c r="AD45" i="5"/>
  <c r="AC45" i="5"/>
  <c r="AB45" i="5"/>
  <c r="AA45" i="5"/>
  <c r="Y45" i="5"/>
  <c r="X45" i="5"/>
  <c r="W45" i="5"/>
  <c r="V45" i="5"/>
  <c r="M45" i="5" s="1"/>
  <c r="N45" i="5"/>
  <c r="I45" i="5"/>
  <c r="H45" i="5"/>
  <c r="G45" i="5"/>
  <c r="F45" i="5"/>
  <c r="E45" i="5"/>
  <c r="D45" i="5"/>
  <c r="C45" i="5"/>
  <c r="B45" i="5"/>
  <c r="AP45" i="5" s="1"/>
  <c r="A45" i="5"/>
  <c r="AT44" i="5"/>
  <c r="AS44" i="5"/>
  <c r="AR44" i="5"/>
  <c r="AQ44" i="5"/>
  <c r="AO44" i="5"/>
  <c r="AN44" i="5"/>
  <c r="AM44" i="5"/>
  <c r="AL44" i="5"/>
  <c r="AK44" i="5"/>
  <c r="AJ44" i="5"/>
  <c r="AI44" i="5"/>
  <c r="AG44" i="5"/>
  <c r="AF44" i="5"/>
  <c r="AE44" i="5"/>
  <c r="AD44" i="5"/>
  <c r="AC44" i="5"/>
  <c r="AB44" i="5"/>
  <c r="AA44" i="5"/>
  <c r="Y44" i="5"/>
  <c r="X44" i="5"/>
  <c r="W44" i="5"/>
  <c r="V44" i="5"/>
  <c r="M44" i="5" s="1"/>
  <c r="N44" i="5"/>
  <c r="I44" i="5"/>
  <c r="H44" i="5"/>
  <c r="G44" i="5"/>
  <c r="F44" i="5"/>
  <c r="E44" i="5"/>
  <c r="D44" i="5"/>
  <c r="C44" i="5"/>
  <c r="B44" i="5"/>
  <c r="AP44" i="5" s="1"/>
  <c r="A44" i="5"/>
  <c r="AT43" i="5"/>
  <c r="AS43" i="5"/>
  <c r="AR43" i="5"/>
  <c r="AQ43" i="5"/>
  <c r="AO43" i="5"/>
  <c r="AN43" i="5"/>
  <c r="AM43" i="5"/>
  <c r="AL43" i="5"/>
  <c r="AK43" i="5"/>
  <c r="AJ43" i="5"/>
  <c r="AI43" i="5"/>
  <c r="AG43" i="5"/>
  <c r="AF43" i="5"/>
  <c r="AE43" i="5"/>
  <c r="AD43" i="5"/>
  <c r="AC43" i="5"/>
  <c r="AB43" i="5"/>
  <c r="AA43" i="5"/>
  <c r="Y43" i="5"/>
  <c r="X43" i="5"/>
  <c r="W43" i="5"/>
  <c r="V43" i="5"/>
  <c r="M43" i="5" s="1"/>
  <c r="N43" i="5"/>
  <c r="I43" i="5"/>
  <c r="H43" i="5"/>
  <c r="G43" i="5"/>
  <c r="F43" i="5"/>
  <c r="E43" i="5"/>
  <c r="D43" i="5"/>
  <c r="C43" i="5"/>
  <c r="B43" i="5"/>
  <c r="AP43" i="5" s="1"/>
  <c r="A43" i="5"/>
  <c r="AT42" i="5"/>
  <c r="AS42" i="5"/>
  <c r="AR42" i="5"/>
  <c r="AQ42" i="5"/>
  <c r="AO42" i="5"/>
  <c r="AN42" i="5"/>
  <c r="AM42" i="5"/>
  <c r="AL42" i="5"/>
  <c r="AK42" i="5"/>
  <c r="AJ42" i="5"/>
  <c r="AI42" i="5"/>
  <c r="AG42" i="5"/>
  <c r="AF42" i="5"/>
  <c r="AE42" i="5"/>
  <c r="AD42" i="5"/>
  <c r="AC42" i="5"/>
  <c r="AB42" i="5"/>
  <c r="AA42" i="5"/>
  <c r="Y42" i="5"/>
  <c r="X42" i="5"/>
  <c r="W42" i="5"/>
  <c r="V42" i="5"/>
  <c r="M42" i="5" s="1"/>
  <c r="N42" i="5"/>
  <c r="I42" i="5"/>
  <c r="H42" i="5"/>
  <c r="G42" i="5"/>
  <c r="F42" i="5"/>
  <c r="E42" i="5"/>
  <c r="D42" i="5"/>
  <c r="C42" i="5"/>
  <c r="B42" i="5"/>
  <c r="AP42" i="5" s="1"/>
  <c r="A42" i="5"/>
  <c r="AT41" i="5"/>
  <c r="AS41" i="5"/>
  <c r="AR41" i="5"/>
  <c r="AQ41" i="5"/>
  <c r="AO41" i="5"/>
  <c r="AN41" i="5"/>
  <c r="AM41" i="5"/>
  <c r="AL41" i="5"/>
  <c r="AK41" i="5"/>
  <c r="AJ41" i="5"/>
  <c r="AI41" i="5"/>
  <c r="AG41" i="5"/>
  <c r="AF41" i="5"/>
  <c r="AE41" i="5"/>
  <c r="AD41" i="5"/>
  <c r="AC41" i="5"/>
  <c r="AB41" i="5"/>
  <c r="AA41" i="5"/>
  <c r="Y41" i="5"/>
  <c r="G41" i="5" s="1"/>
  <c r="X41" i="5"/>
  <c r="W41" i="5"/>
  <c r="I41" i="5"/>
  <c r="E41" i="5"/>
  <c r="D41" i="5"/>
  <c r="C41" i="5"/>
  <c r="B41" i="5"/>
  <c r="AP41" i="5" s="1"/>
  <c r="F41" i="5" s="1"/>
  <c r="F51" i="4" s="1"/>
  <c r="A41" i="5"/>
  <c r="AT40" i="5"/>
  <c r="AS40" i="5"/>
  <c r="AR40" i="5"/>
  <c r="AQ40" i="5"/>
  <c r="AO40" i="5"/>
  <c r="AN40" i="5"/>
  <c r="AM40" i="5"/>
  <c r="I40" i="5" s="1"/>
  <c r="AL40" i="5"/>
  <c r="AK40" i="5"/>
  <c r="AJ40" i="5"/>
  <c r="AI40" i="5"/>
  <c r="AG40" i="5"/>
  <c r="AF40" i="5"/>
  <c r="AE40" i="5"/>
  <c r="AD40" i="5"/>
  <c r="AC40" i="5"/>
  <c r="AB40" i="5"/>
  <c r="AA40" i="5"/>
  <c r="Y40" i="5"/>
  <c r="X40" i="5"/>
  <c r="F40" i="5" s="1"/>
  <c r="F50" i="4" s="1"/>
  <c r="W40" i="5"/>
  <c r="E40" i="5" s="1"/>
  <c r="E50" i="4" s="1"/>
  <c r="G40" i="5"/>
  <c r="D40" i="5"/>
  <c r="C40" i="5"/>
  <c r="B40" i="5"/>
  <c r="AP40" i="5" s="1"/>
  <c r="A40" i="5"/>
  <c r="A50" i="4" s="1"/>
  <c r="AT39" i="5"/>
  <c r="AS39" i="5"/>
  <c r="AR39" i="5"/>
  <c r="AQ39" i="5"/>
  <c r="AO39" i="5"/>
  <c r="AN39" i="5"/>
  <c r="AM39" i="5"/>
  <c r="AL39" i="5"/>
  <c r="AK39" i="5"/>
  <c r="AJ39" i="5"/>
  <c r="AI39" i="5"/>
  <c r="AG39" i="5"/>
  <c r="AF39" i="5"/>
  <c r="AE39" i="5"/>
  <c r="AD39" i="5"/>
  <c r="AC39" i="5"/>
  <c r="E39" i="5" s="1"/>
  <c r="E49" i="4" s="1"/>
  <c r="AB39" i="5"/>
  <c r="AA39" i="5"/>
  <c r="Y39" i="5"/>
  <c r="X39" i="5"/>
  <c r="W39" i="5"/>
  <c r="Q39" i="5"/>
  <c r="P39" i="5"/>
  <c r="I39" i="5"/>
  <c r="D39" i="5"/>
  <c r="C39" i="5"/>
  <c r="B39" i="5"/>
  <c r="AP39" i="5" s="1"/>
  <c r="A39" i="5"/>
  <c r="A49" i="4" s="1"/>
  <c r="AT38" i="5"/>
  <c r="AS38" i="5"/>
  <c r="AR38" i="5"/>
  <c r="AQ38" i="5"/>
  <c r="AO38" i="5"/>
  <c r="AN38" i="5"/>
  <c r="AM38" i="5"/>
  <c r="AL38" i="5"/>
  <c r="AK38" i="5"/>
  <c r="AJ38" i="5"/>
  <c r="AI38" i="5"/>
  <c r="AG38" i="5"/>
  <c r="AF38" i="5"/>
  <c r="AE38" i="5"/>
  <c r="AD38" i="5"/>
  <c r="AC38" i="5"/>
  <c r="E38" i="5" s="1"/>
  <c r="E48" i="4" s="1"/>
  <c r="AB38" i="5"/>
  <c r="AA38" i="5"/>
  <c r="Y38" i="5"/>
  <c r="X38" i="5"/>
  <c r="W38" i="5"/>
  <c r="Q38" i="5"/>
  <c r="I38" i="5"/>
  <c r="D38" i="5"/>
  <c r="C38" i="5"/>
  <c r="B38" i="5"/>
  <c r="AP38" i="5" s="1"/>
  <c r="A38" i="5"/>
  <c r="AT37" i="5"/>
  <c r="AS37" i="5"/>
  <c r="AR37" i="5"/>
  <c r="AQ37" i="5"/>
  <c r="AO37" i="5"/>
  <c r="E37" i="5" s="1"/>
  <c r="E47" i="4" s="1"/>
  <c r="AN37" i="5"/>
  <c r="AM37" i="5"/>
  <c r="AL37" i="5"/>
  <c r="AK37" i="5"/>
  <c r="AJ37" i="5"/>
  <c r="AI37" i="5"/>
  <c r="AG37" i="5"/>
  <c r="I37" i="5" s="1"/>
  <c r="I47" i="4" s="1"/>
  <c r="AF37" i="5"/>
  <c r="AE37" i="5"/>
  <c r="AD37" i="5"/>
  <c r="AC37" i="5"/>
  <c r="AB37" i="5"/>
  <c r="AA37" i="5"/>
  <c r="Y37" i="5"/>
  <c r="X37" i="5"/>
  <c r="F37" i="5" s="1"/>
  <c r="F47" i="4" s="1"/>
  <c r="W37" i="5"/>
  <c r="D37" i="5"/>
  <c r="C37" i="5"/>
  <c r="B37" i="5"/>
  <c r="AP37" i="5" s="1"/>
  <c r="A37" i="5"/>
  <c r="AT36" i="5"/>
  <c r="AS36" i="5"/>
  <c r="AR36" i="5"/>
  <c r="AQ36" i="5"/>
  <c r="AO36" i="5"/>
  <c r="AN36" i="5"/>
  <c r="AM36" i="5"/>
  <c r="AL36" i="5"/>
  <c r="AK36" i="5"/>
  <c r="AJ36" i="5"/>
  <c r="AI36" i="5"/>
  <c r="AG36" i="5"/>
  <c r="I36" i="5" s="1"/>
  <c r="I46" i="4" s="1"/>
  <c r="AF36" i="5"/>
  <c r="AE36" i="5"/>
  <c r="AD36" i="5"/>
  <c r="AC36" i="5"/>
  <c r="AB36" i="5"/>
  <c r="AA36" i="5"/>
  <c r="Y36" i="5"/>
  <c r="G36" i="5" s="1"/>
  <c r="X36" i="5"/>
  <c r="F36" i="5" s="1"/>
  <c r="F46" i="4" s="1"/>
  <c r="W36" i="5"/>
  <c r="E36" i="5"/>
  <c r="D36" i="5"/>
  <c r="C36" i="5"/>
  <c r="B36" i="5"/>
  <c r="AP36" i="5" s="1"/>
  <c r="A36" i="5"/>
  <c r="AT35" i="5"/>
  <c r="AS35" i="5"/>
  <c r="AR35" i="5"/>
  <c r="AQ35" i="5"/>
  <c r="AO35" i="5"/>
  <c r="AN35" i="5"/>
  <c r="AM35" i="5"/>
  <c r="AL35" i="5"/>
  <c r="AK35" i="5"/>
  <c r="AJ35" i="5"/>
  <c r="AI35" i="5"/>
  <c r="AG35" i="5"/>
  <c r="I35" i="5" s="1"/>
  <c r="I45" i="4" s="1"/>
  <c r="AF35" i="5"/>
  <c r="AE35" i="5"/>
  <c r="AD35" i="5"/>
  <c r="AC35" i="5"/>
  <c r="AB35" i="5"/>
  <c r="AA35" i="5"/>
  <c r="Y35" i="5"/>
  <c r="G35" i="5" s="1"/>
  <c r="G45" i="4" s="1"/>
  <c r="X35" i="5"/>
  <c r="F35" i="5" s="1"/>
  <c r="F45" i="4" s="1"/>
  <c r="W35" i="5"/>
  <c r="E35" i="5"/>
  <c r="E45" i="4" s="1"/>
  <c r="D35" i="5"/>
  <c r="C35" i="5"/>
  <c r="B35" i="5"/>
  <c r="AP35" i="5" s="1"/>
  <c r="A35" i="5"/>
  <c r="AT34" i="5"/>
  <c r="AS34" i="5"/>
  <c r="AR34" i="5"/>
  <c r="AQ34" i="5"/>
  <c r="AO34" i="5"/>
  <c r="AN34" i="5"/>
  <c r="AM34" i="5"/>
  <c r="AL34" i="5"/>
  <c r="AK34" i="5"/>
  <c r="AJ34" i="5"/>
  <c r="AI34" i="5"/>
  <c r="AG34" i="5"/>
  <c r="AF34" i="5"/>
  <c r="AE34" i="5"/>
  <c r="AD34" i="5"/>
  <c r="AC34" i="5"/>
  <c r="AB34" i="5"/>
  <c r="AA34" i="5"/>
  <c r="Y34" i="5"/>
  <c r="G34" i="5" s="1"/>
  <c r="G44" i="4" s="1"/>
  <c r="X34" i="5"/>
  <c r="F34" i="5" s="1"/>
  <c r="W34" i="5"/>
  <c r="I34" i="5"/>
  <c r="I44" i="4" s="1"/>
  <c r="E34" i="5"/>
  <c r="D34" i="5"/>
  <c r="C34" i="5"/>
  <c r="B34" i="5"/>
  <c r="AP34" i="5" s="1"/>
  <c r="A34" i="5"/>
  <c r="AT33" i="5"/>
  <c r="AS33" i="5"/>
  <c r="AR33" i="5"/>
  <c r="AQ33" i="5"/>
  <c r="AO33" i="5"/>
  <c r="AN33" i="5"/>
  <c r="AM33" i="5"/>
  <c r="AL33" i="5"/>
  <c r="AK33" i="5"/>
  <c r="AJ33" i="5"/>
  <c r="AI33" i="5"/>
  <c r="AG33" i="5"/>
  <c r="AF33" i="5"/>
  <c r="AE33" i="5"/>
  <c r="AD33" i="5"/>
  <c r="AC33" i="5"/>
  <c r="E33" i="5" s="1"/>
  <c r="E43" i="4" s="1"/>
  <c r="AB33" i="5"/>
  <c r="AA33" i="5"/>
  <c r="Y33" i="5"/>
  <c r="X33" i="5"/>
  <c r="F33" i="5" s="1"/>
  <c r="F43" i="4" s="1"/>
  <c r="W33" i="5"/>
  <c r="I33" i="5"/>
  <c r="D33" i="5"/>
  <c r="C33" i="5"/>
  <c r="B33" i="5"/>
  <c r="AP33" i="5" s="1"/>
  <c r="A33" i="5"/>
  <c r="AT32" i="5"/>
  <c r="AS32" i="5"/>
  <c r="AR32" i="5"/>
  <c r="AQ32" i="5"/>
  <c r="AO32" i="5"/>
  <c r="AN32" i="5"/>
  <c r="AM32" i="5"/>
  <c r="AL32" i="5"/>
  <c r="AK32" i="5"/>
  <c r="AJ32" i="5"/>
  <c r="AI32" i="5"/>
  <c r="AG32" i="5"/>
  <c r="AF32" i="5"/>
  <c r="AE32" i="5"/>
  <c r="AD32" i="5"/>
  <c r="AC32" i="5"/>
  <c r="E32" i="5" s="1"/>
  <c r="E42" i="4" s="1"/>
  <c r="AB32" i="5"/>
  <c r="AA32" i="5"/>
  <c r="Y32" i="5"/>
  <c r="X32" i="5"/>
  <c r="W32" i="5"/>
  <c r="I32" i="5"/>
  <c r="D32" i="5"/>
  <c r="C32" i="5"/>
  <c r="B32" i="5"/>
  <c r="AP32" i="5" s="1"/>
  <c r="A32" i="5"/>
  <c r="A42" i="4" s="1"/>
  <c r="AT31" i="5"/>
  <c r="AS31" i="5"/>
  <c r="AR31" i="5"/>
  <c r="AQ31" i="5"/>
  <c r="AO31" i="5"/>
  <c r="AN31" i="5"/>
  <c r="AM31" i="5"/>
  <c r="AL31" i="5"/>
  <c r="AK31" i="5"/>
  <c r="AJ31" i="5"/>
  <c r="AI31" i="5"/>
  <c r="AG31" i="5"/>
  <c r="AF31" i="5"/>
  <c r="AE31" i="5"/>
  <c r="AD31" i="5"/>
  <c r="AC31" i="5"/>
  <c r="E31" i="5" s="1"/>
  <c r="E41" i="4" s="1"/>
  <c r="AB31" i="5"/>
  <c r="AA31" i="5"/>
  <c r="Y31" i="5"/>
  <c r="G31" i="5" s="1"/>
  <c r="X31" i="5"/>
  <c r="W31" i="5"/>
  <c r="Q31" i="5"/>
  <c r="P31" i="5"/>
  <c r="I31" i="5"/>
  <c r="D31" i="5"/>
  <c r="C31" i="5"/>
  <c r="B31" i="5"/>
  <c r="AP31" i="5" s="1"/>
  <c r="A31" i="5"/>
  <c r="A41" i="4" s="1"/>
  <c r="AT30" i="5"/>
  <c r="AS30" i="5"/>
  <c r="AR30" i="5"/>
  <c r="AQ30" i="5"/>
  <c r="AO30" i="5"/>
  <c r="AN30" i="5"/>
  <c r="AM30" i="5"/>
  <c r="AL30" i="5"/>
  <c r="AK30" i="5"/>
  <c r="AJ30" i="5"/>
  <c r="AI30" i="5"/>
  <c r="AG30" i="5"/>
  <c r="AF30" i="5"/>
  <c r="AE30" i="5"/>
  <c r="AD30" i="5"/>
  <c r="AC30" i="5"/>
  <c r="E30" i="5" s="1"/>
  <c r="E40" i="4" s="1"/>
  <c r="AB30" i="5"/>
  <c r="AA30" i="5"/>
  <c r="Y30" i="5"/>
  <c r="X30" i="5"/>
  <c r="W30" i="5"/>
  <c r="Q30" i="5"/>
  <c r="I30" i="5"/>
  <c r="D30" i="5"/>
  <c r="C30" i="5"/>
  <c r="B30" i="5"/>
  <c r="AP30" i="5" s="1"/>
  <c r="A30" i="5"/>
  <c r="AT29" i="5"/>
  <c r="AS29" i="5"/>
  <c r="AR29" i="5"/>
  <c r="AQ29" i="5"/>
  <c r="AO29" i="5"/>
  <c r="E29" i="5" s="1"/>
  <c r="E39" i="4" s="1"/>
  <c r="AN29" i="5"/>
  <c r="AM29" i="5"/>
  <c r="AL29" i="5"/>
  <c r="AK29" i="5"/>
  <c r="AJ29" i="5"/>
  <c r="AI29" i="5"/>
  <c r="AG29" i="5"/>
  <c r="I29" i="5" s="1"/>
  <c r="I39" i="4" s="1"/>
  <c r="AF29" i="5"/>
  <c r="AE29" i="5"/>
  <c r="AD29" i="5"/>
  <c r="AC29" i="5"/>
  <c r="AB29" i="5"/>
  <c r="AA29" i="5"/>
  <c r="Y29" i="5"/>
  <c r="X29" i="5"/>
  <c r="F29" i="5" s="1"/>
  <c r="F39" i="4" s="1"/>
  <c r="W29" i="5"/>
  <c r="D29" i="5"/>
  <c r="C29" i="5"/>
  <c r="B29" i="5"/>
  <c r="AP29" i="5" s="1"/>
  <c r="A29" i="5"/>
  <c r="AT28" i="5"/>
  <c r="AS28" i="5"/>
  <c r="AR28" i="5"/>
  <c r="AQ28" i="5"/>
  <c r="AO28" i="5"/>
  <c r="AN28" i="5"/>
  <c r="AM28" i="5"/>
  <c r="AL28" i="5"/>
  <c r="AK28" i="5"/>
  <c r="AJ28" i="5"/>
  <c r="AI28" i="5"/>
  <c r="AG28" i="5"/>
  <c r="I28" i="5" s="1"/>
  <c r="I38" i="4" s="1"/>
  <c r="AF28" i="5"/>
  <c r="AE28" i="5"/>
  <c r="AD28" i="5"/>
  <c r="AC28" i="5"/>
  <c r="AB28" i="5"/>
  <c r="AA28" i="5"/>
  <c r="Y28" i="5"/>
  <c r="G28" i="5" s="1"/>
  <c r="X28" i="5"/>
  <c r="F28" i="5" s="1"/>
  <c r="F38" i="4" s="1"/>
  <c r="W28" i="5"/>
  <c r="E28" i="5"/>
  <c r="E38" i="4" s="1"/>
  <c r="D28" i="5"/>
  <c r="C28" i="5"/>
  <c r="B28" i="5"/>
  <c r="AP28" i="5" s="1"/>
  <c r="A28" i="5"/>
  <c r="AT27" i="5"/>
  <c r="AS27" i="5"/>
  <c r="AR27" i="5"/>
  <c r="AQ27" i="5"/>
  <c r="AO27" i="5"/>
  <c r="AN27" i="5"/>
  <c r="AM27" i="5"/>
  <c r="AL27" i="5"/>
  <c r="AK27" i="5"/>
  <c r="AJ27" i="5"/>
  <c r="AI27" i="5"/>
  <c r="AG27" i="5"/>
  <c r="I27" i="5" s="1"/>
  <c r="I37" i="4" s="1"/>
  <c r="AF27" i="5"/>
  <c r="AE27" i="5"/>
  <c r="AD27" i="5"/>
  <c r="AC27" i="5"/>
  <c r="AB27" i="5"/>
  <c r="AA27" i="5"/>
  <c r="Y27" i="5"/>
  <c r="G27" i="5" s="1"/>
  <c r="G37" i="4" s="1"/>
  <c r="X27" i="5"/>
  <c r="F27" i="5" s="1"/>
  <c r="F37" i="4" s="1"/>
  <c r="W27" i="5"/>
  <c r="E27" i="5"/>
  <c r="D27" i="5"/>
  <c r="C27" i="5"/>
  <c r="B27" i="5"/>
  <c r="AP27" i="5" s="1"/>
  <c r="A27" i="5"/>
  <c r="AT26" i="5"/>
  <c r="AS26" i="5"/>
  <c r="AR26" i="5"/>
  <c r="AQ26" i="5"/>
  <c r="AO26" i="5"/>
  <c r="E26" i="5" s="1"/>
  <c r="E36" i="4" s="1"/>
  <c r="AN26" i="5"/>
  <c r="AM26" i="5"/>
  <c r="AL26" i="5"/>
  <c r="AK26" i="5"/>
  <c r="AJ26" i="5"/>
  <c r="AI26" i="5"/>
  <c r="AG26" i="5"/>
  <c r="AF26" i="5"/>
  <c r="AE26" i="5"/>
  <c r="AD26" i="5"/>
  <c r="AC26" i="5"/>
  <c r="AB26" i="5"/>
  <c r="AA26" i="5"/>
  <c r="Y26" i="5"/>
  <c r="G26" i="5" s="1"/>
  <c r="G36" i="4" s="1"/>
  <c r="X26" i="5"/>
  <c r="W26" i="5"/>
  <c r="M26" i="5"/>
  <c r="I26" i="5"/>
  <c r="D26" i="5"/>
  <c r="C26" i="5"/>
  <c r="B26" i="5"/>
  <c r="AP26" i="5" s="1"/>
  <c r="F26" i="5" s="1"/>
  <c r="F36" i="4" s="1"/>
  <c r="A26" i="5"/>
  <c r="AT25" i="5"/>
  <c r="AS25" i="5"/>
  <c r="I25" i="5" s="1"/>
  <c r="I35" i="4" s="1"/>
  <c r="AR25" i="5"/>
  <c r="AQ25" i="5"/>
  <c r="AO25" i="5"/>
  <c r="AN25" i="5"/>
  <c r="AM25" i="5"/>
  <c r="AL25" i="5"/>
  <c r="AK25" i="5"/>
  <c r="AJ25" i="5"/>
  <c r="AI25" i="5"/>
  <c r="AG25" i="5"/>
  <c r="AF25" i="5"/>
  <c r="AE25" i="5"/>
  <c r="AD25" i="5"/>
  <c r="F25" i="5" s="1"/>
  <c r="F35" i="4" s="1"/>
  <c r="AC25" i="5"/>
  <c r="AB25" i="5"/>
  <c r="AA25" i="5"/>
  <c r="Y25" i="5"/>
  <c r="G25" i="5" s="1"/>
  <c r="X25" i="5"/>
  <c r="W25" i="5"/>
  <c r="E25" i="5"/>
  <c r="E35" i="4" s="1"/>
  <c r="D25" i="5"/>
  <c r="C25" i="5"/>
  <c r="B25" i="5"/>
  <c r="AP25" i="5" s="1"/>
  <c r="A25" i="5"/>
  <c r="AT24" i="5"/>
  <c r="AS24" i="5"/>
  <c r="AR24" i="5"/>
  <c r="AQ24" i="5"/>
  <c r="AO24" i="5"/>
  <c r="AN24" i="5"/>
  <c r="AM24" i="5"/>
  <c r="AL24" i="5"/>
  <c r="AK24" i="5"/>
  <c r="AJ24" i="5"/>
  <c r="AI24" i="5"/>
  <c r="AG24" i="5"/>
  <c r="AF24" i="5"/>
  <c r="AE24" i="5"/>
  <c r="AD24" i="5"/>
  <c r="AC24" i="5"/>
  <c r="AB24" i="5"/>
  <c r="AA24" i="5"/>
  <c r="Y24" i="5"/>
  <c r="G24" i="5" s="1"/>
  <c r="X24" i="5"/>
  <c r="F24" i="5" s="1"/>
  <c r="F34" i="4" s="1"/>
  <c r="W24" i="5"/>
  <c r="I24" i="5"/>
  <c r="I34" i="4" s="1"/>
  <c r="E24" i="5"/>
  <c r="D24" i="5"/>
  <c r="C24" i="5"/>
  <c r="B24" i="5"/>
  <c r="AP24" i="5" s="1"/>
  <c r="A24" i="5"/>
  <c r="A34" i="4" s="1"/>
  <c r="AT23" i="5"/>
  <c r="AS23" i="5"/>
  <c r="I23" i="5" s="1"/>
  <c r="I33" i="4" s="1"/>
  <c r="AR23" i="5"/>
  <c r="AQ23" i="5"/>
  <c r="AO23" i="5"/>
  <c r="AN23" i="5"/>
  <c r="AM23" i="5"/>
  <c r="AL23" i="5"/>
  <c r="AK23" i="5"/>
  <c r="AJ23" i="5"/>
  <c r="AI23" i="5"/>
  <c r="AG23" i="5"/>
  <c r="AF23" i="5"/>
  <c r="AE23" i="5"/>
  <c r="AD23" i="5"/>
  <c r="F23" i="5" s="1"/>
  <c r="F33" i="4" s="1"/>
  <c r="AC23" i="5"/>
  <c r="AB23" i="5"/>
  <c r="AA23" i="5"/>
  <c r="Y23" i="5"/>
  <c r="G23" i="5" s="1"/>
  <c r="X23" i="5"/>
  <c r="W23" i="5"/>
  <c r="E23" i="5"/>
  <c r="E33" i="4" s="1"/>
  <c r="D23" i="5"/>
  <c r="C23" i="5"/>
  <c r="B23" i="5"/>
  <c r="AP23" i="5" s="1"/>
  <c r="A23" i="5"/>
  <c r="AT22" i="5"/>
  <c r="AS22" i="5"/>
  <c r="I22" i="5" s="1"/>
  <c r="I32" i="4" s="1"/>
  <c r="AR22" i="5"/>
  <c r="AQ22" i="5"/>
  <c r="AO22" i="5"/>
  <c r="AN22" i="5"/>
  <c r="AM22" i="5"/>
  <c r="AL22" i="5"/>
  <c r="AK22" i="5"/>
  <c r="AJ22" i="5"/>
  <c r="AI22" i="5"/>
  <c r="AG22" i="5"/>
  <c r="AF22" i="5"/>
  <c r="AE22" i="5"/>
  <c r="AD22" i="5"/>
  <c r="AC22" i="5"/>
  <c r="AB22" i="5"/>
  <c r="AA22" i="5"/>
  <c r="Y22" i="5"/>
  <c r="G22" i="5" s="1"/>
  <c r="G32" i="4" s="1"/>
  <c r="X22" i="5"/>
  <c r="F22" i="5" s="1"/>
  <c r="F32" i="4" s="1"/>
  <c r="W22" i="5"/>
  <c r="E22" i="5"/>
  <c r="D22" i="5"/>
  <c r="C22" i="5"/>
  <c r="B22" i="5"/>
  <c r="AP22" i="5" s="1"/>
  <c r="A22" i="5"/>
  <c r="AT21" i="5"/>
  <c r="AS21" i="5"/>
  <c r="AR21" i="5"/>
  <c r="AQ21" i="5"/>
  <c r="AO21" i="5"/>
  <c r="AN21" i="5"/>
  <c r="AM21" i="5"/>
  <c r="AL21" i="5"/>
  <c r="AK21" i="5"/>
  <c r="AJ21" i="5"/>
  <c r="AI21" i="5"/>
  <c r="AG21" i="5"/>
  <c r="I21" i="5" s="1"/>
  <c r="I31" i="4" s="1"/>
  <c r="AF21" i="5"/>
  <c r="AE21" i="5"/>
  <c r="AD21" i="5"/>
  <c r="AC21" i="5"/>
  <c r="AB21" i="5"/>
  <c r="AA21" i="5"/>
  <c r="Y21" i="5"/>
  <c r="G21" i="5" s="1"/>
  <c r="G31" i="4" s="1"/>
  <c r="X21" i="5"/>
  <c r="F21" i="5" s="1"/>
  <c r="F31" i="4" s="1"/>
  <c r="W21" i="5"/>
  <c r="E21" i="5" s="1"/>
  <c r="E31" i="4" s="1"/>
  <c r="D21" i="5"/>
  <c r="C21" i="5"/>
  <c r="B21" i="5"/>
  <c r="AP21" i="5" s="1"/>
  <c r="A21" i="5"/>
  <c r="AT20" i="5"/>
  <c r="AS20" i="5"/>
  <c r="AR20" i="5"/>
  <c r="AQ20" i="5"/>
  <c r="AO20" i="5"/>
  <c r="AN20" i="5"/>
  <c r="AM20" i="5"/>
  <c r="AL20" i="5"/>
  <c r="AK20" i="5"/>
  <c r="AJ20" i="5"/>
  <c r="AI20" i="5"/>
  <c r="AG20" i="5"/>
  <c r="AF20" i="5"/>
  <c r="AE20" i="5"/>
  <c r="AD20" i="5"/>
  <c r="AC20" i="5"/>
  <c r="AB20" i="5"/>
  <c r="AA20" i="5"/>
  <c r="Y20" i="5"/>
  <c r="X20" i="5"/>
  <c r="F20" i="5" s="1"/>
  <c r="F30" i="4" s="1"/>
  <c r="W20" i="5"/>
  <c r="E20" i="5" s="1"/>
  <c r="E30" i="4" s="1"/>
  <c r="I20" i="5"/>
  <c r="I30" i="4" s="1"/>
  <c r="G20" i="5"/>
  <c r="D20" i="5"/>
  <c r="C20" i="5"/>
  <c r="B20" i="5"/>
  <c r="AP20" i="5" s="1"/>
  <c r="A20" i="5"/>
  <c r="A30" i="4" s="1"/>
  <c r="AT19" i="5"/>
  <c r="AS19" i="5"/>
  <c r="AR19" i="5"/>
  <c r="AQ19" i="5"/>
  <c r="AO19" i="5"/>
  <c r="AN19" i="5"/>
  <c r="AM19" i="5"/>
  <c r="AL19" i="5"/>
  <c r="AK19" i="5"/>
  <c r="AJ19" i="5"/>
  <c r="AI19" i="5"/>
  <c r="AG19" i="5"/>
  <c r="AF19" i="5"/>
  <c r="AE19" i="5"/>
  <c r="G19" i="5" s="1"/>
  <c r="G29" i="4" s="1"/>
  <c r="AD19" i="5"/>
  <c r="AC19" i="5"/>
  <c r="AB19" i="5"/>
  <c r="AA19" i="5"/>
  <c r="Y19" i="5"/>
  <c r="X19" i="5"/>
  <c r="W19" i="5"/>
  <c r="E19" i="5" s="1"/>
  <c r="E29" i="4" s="1"/>
  <c r="I19" i="5"/>
  <c r="F19" i="5"/>
  <c r="D19" i="5"/>
  <c r="C19" i="5"/>
  <c r="B19" i="5"/>
  <c r="AP19" i="5" s="1"/>
  <c r="A19" i="5"/>
  <c r="AT18" i="5"/>
  <c r="AS18" i="5"/>
  <c r="AR18" i="5"/>
  <c r="AQ18" i="5"/>
  <c r="AO18" i="5"/>
  <c r="AN18" i="5"/>
  <c r="AM18" i="5"/>
  <c r="I18" i="5" s="1"/>
  <c r="I28" i="4" s="1"/>
  <c r="AL18" i="5"/>
  <c r="AK18" i="5"/>
  <c r="AJ18" i="5"/>
  <c r="AI18" i="5"/>
  <c r="AG18" i="5"/>
  <c r="AF18" i="5"/>
  <c r="AE18" i="5"/>
  <c r="AD18" i="5"/>
  <c r="F18" i="5" s="1"/>
  <c r="F28" i="4" s="1"/>
  <c r="AC18" i="5"/>
  <c r="AB18" i="5"/>
  <c r="AA18" i="5"/>
  <c r="Y18" i="5"/>
  <c r="X18" i="5"/>
  <c r="W18" i="5"/>
  <c r="V18" i="5"/>
  <c r="G18" i="5"/>
  <c r="G28" i="4" s="1"/>
  <c r="E18" i="5"/>
  <c r="D18" i="5"/>
  <c r="C18" i="5"/>
  <c r="B18" i="5"/>
  <c r="AP18" i="5" s="1"/>
  <c r="A18" i="5"/>
  <c r="AT17" i="5"/>
  <c r="AS17" i="5"/>
  <c r="AR17" i="5"/>
  <c r="AQ17" i="5"/>
  <c r="AO17" i="5"/>
  <c r="AN17" i="5"/>
  <c r="AM17" i="5"/>
  <c r="I17" i="5" s="1"/>
  <c r="I27" i="4" s="1"/>
  <c r="AL17" i="5"/>
  <c r="AK17" i="5"/>
  <c r="AJ17" i="5"/>
  <c r="AI17" i="5"/>
  <c r="AG17" i="5"/>
  <c r="AF17" i="5"/>
  <c r="AE17" i="5"/>
  <c r="AD17" i="5"/>
  <c r="AC17" i="5"/>
  <c r="E17" i="5" s="1"/>
  <c r="E27" i="4" s="1"/>
  <c r="AB17" i="5"/>
  <c r="AA17" i="5"/>
  <c r="Y17" i="5"/>
  <c r="X17" i="5"/>
  <c r="W17" i="5"/>
  <c r="G17" i="5"/>
  <c r="G27" i="4" s="1"/>
  <c r="F17" i="5"/>
  <c r="F27" i="4" s="1"/>
  <c r="D17" i="5"/>
  <c r="C17" i="5"/>
  <c r="B17" i="5"/>
  <c r="AP17" i="5" s="1"/>
  <c r="A17" i="5"/>
  <c r="AT16" i="5"/>
  <c r="AS16" i="5"/>
  <c r="AR16" i="5"/>
  <c r="AQ16" i="5"/>
  <c r="AO16" i="5"/>
  <c r="AN16" i="5"/>
  <c r="AM16" i="5"/>
  <c r="AL16" i="5"/>
  <c r="AK16" i="5"/>
  <c r="G16" i="5" s="1"/>
  <c r="G26" i="4" s="1"/>
  <c r="AJ16" i="5"/>
  <c r="AI16" i="5"/>
  <c r="AG16" i="5"/>
  <c r="I16" i="5" s="1"/>
  <c r="I26" i="4" s="1"/>
  <c r="AF16" i="5"/>
  <c r="AE16" i="5"/>
  <c r="AD16" i="5"/>
  <c r="AC16" i="5"/>
  <c r="AB16" i="5"/>
  <c r="AA16" i="5"/>
  <c r="Y16" i="5"/>
  <c r="X16" i="5"/>
  <c r="W16" i="5"/>
  <c r="F16" i="5"/>
  <c r="F26" i="4" s="1"/>
  <c r="E16" i="5"/>
  <c r="E26" i="4" s="1"/>
  <c r="D16" i="5"/>
  <c r="C16" i="5"/>
  <c r="B16" i="5"/>
  <c r="AP16" i="5" s="1"/>
  <c r="A16" i="5"/>
  <c r="AT15" i="5"/>
  <c r="AS15" i="5"/>
  <c r="AR15" i="5"/>
  <c r="AQ15" i="5"/>
  <c r="AO15" i="5"/>
  <c r="AN15" i="5"/>
  <c r="AM15" i="5"/>
  <c r="AL15" i="5"/>
  <c r="AK15" i="5"/>
  <c r="AJ15" i="5"/>
  <c r="AI15" i="5"/>
  <c r="AG15" i="5"/>
  <c r="I15" i="5" s="1"/>
  <c r="I25" i="4" s="1"/>
  <c r="AF15" i="5"/>
  <c r="AE15" i="5"/>
  <c r="AD15" i="5"/>
  <c r="AC15" i="5"/>
  <c r="AB15" i="5"/>
  <c r="AA15" i="5"/>
  <c r="Y15" i="5"/>
  <c r="G15" i="5" s="1"/>
  <c r="G25" i="4" s="1"/>
  <c r="X15" i="5"/>
  <c r="W15" i="5"/>
  <c r="F15" i="5"/>
  <c r="E15" i="5"/>
  <c r="E25" i="4" s="1"/>
  <c r="D15" i="5"/>
  <c r="C15" i="5"/>
  <c r="B15" i="5"/>
  <c r="AP15" i="5" s="1"/>
  <c r="A15" i="5"/>
  <c r="AT14" i="5"/>
  <c r="AS14" i="5"/>
  <c r="I14" i="5" s="1"/>
  <c r="I24" i="4" s="1"/>
  <c r="AR14" i="5"/>
  <c r="AQ14" i="5"/>
  <c r="AO14" i="5"/>
  <c r="AN14" i="5"/>
  <c r="AM14" i="5"/>
  <c r="AL14" i="5"/>
  <c r="AK14" i="5"/>
  <c r="AJ14" i="5"/>
  <c r="AI14" i="5"/>
  <c r="AG14" i="5"/>
  <c r="AF14" i="5"/>
  <c r="AE14" i="5"/>
  <c r="AD14" i="5"/>
  <c r="AC14" i="5"/>
  <c r="AB14" i="5"/>
  <c r="AA14" i="5"/>
  <c r="Y14" i="5"/>
  <c r="G14" i="5" s="1"/>
  <c r="G24" i="4" s="1"/>
  <c r="X14" i="5"/>
  <c r="F14" i="5" s="1"/>
  <c r="F24" i="4" s="1"/>
  <c r="W14" i="5"/>
  <c r="E14" i="5"/>
  <c r="D14" i="5"/>
  <c r="C14" i="5"/>
  <c r="B14" i="5"/>
  <c r="AP14" i="5" s="1"/>
  <c r="A14" i="5"/>
  <c r="AT13" i="5"/>
  <c r="AS13" i="5"/>
  <c r="AR13" i="5"/>
  <c r="AQ13" i="5"/>
  <c r="AO13" i="5"/>
  <c r="AN13" i="5"/>
  <c r="AM13" i="5"/>
  <c r="AL13" i="5"/>
  <c r="AK13" i="5"/>
  <c r="AJ13" i="5"/>
  <c r="AI13" i="5"/>
  <c r="AG13" i="5"/>
  <c r="I13" i="5" s="1"/>
  <c r="I23" i="4" s="1"/>
  <c r="AF13" i="5"/>
  <c r="AE13" i="5"/>
  <c r="AD13" i="5"/>
  <c r="AC13" i="5"/>
  <c r="AB13" i="5"/>
  <c r="AA13" i="5"/>
  <c r="Y13" i="5"/>
  <c r="G13" i="5" s="1"/>
  <c r="G23" i="4" s="1"/>
  <c r="X13" i="5"/>
  <c r="F13" i="5" s="1"/>
  <c r="F23" i="4" s="1"/>
  <c r="W13" i="5"/>
  <c r="E13" i="5" s="1"/>
  <c r="E23" i="4" s="1"/>
  <c r="D13" i="5"/>
  <c r="C13" i="5"/>
  <c r="B13" i="5"/>
  <c r="AP13" i="5" s="1"/>
  <c r="A13" i="5"/>
  <c r="AT12" i="5"/>
  <c r="AS12" i="5"/>
  <c r="AR12" i="5"/>
  <c r="AQ12" i="5"/>
  <c r="AO12" i="5"/>
  <c r="AN12" i="5"/>
  <c r="AM12" i="5"/>
  <c r="AL12" i="5"/>
  <c r="AK12" i="5"/>
  <c r="AJ12" i="5"/>
  <c r="AI12" i="5"/>
  <c r="AG12" i="5"/>
  <c r="AF12" i="5"/>
  <c r="AE12" i="5"/>
  <c r="AD12" i="5"/>
  <c r="AC12" i="5"/>
  <c r="AB12" i="5"/>
  <c r="AA12" i="5"/>
  <c r="Y12" i="5"/>
  <c r="X12" i="5"/>
  <c r="F12" i="5" s="1"/>
  <c r="F22" i="4" s="1"/>
  <c r="W12" i="5"/>
  <c r="E12" i="5" s="1"/>
  <c r="E22" i="4" s="1"/>
  <c r="I12" i="5"/>
  <c r="G12" i="5"/>
  <c r="D12" i="5"/>
  <c r="C12" i="5"/>
  <c r="B12" i="5"/>
  <c r="AP12" i="5" s="1"/>
  <c r="A12" i="5"/>
  <c r="AT11" i="5"/>
  <c r="AS11" i="5"/>
  <c r="AR11" i="5"/>
  <c r="AQ11" i="5"/>
  <c r="AO11" i="5"/>
  <c r="AN11" i="5"/>
  <c r="AM11" i="5"/>
  <c r="AL11" i="5"/>
  <c r="AK11" i="5"/>
  <c r="AJ11" i="5"/>
  <c r="AI11" i="5"/>
  <c r="AG11" i="5"/>
  <c r="AF11" i="5"/>
  <c r="AE11" i="5"/>
  <c r="G11" i="5" s="1"/>
  <c r="G21" i="4" s="1"/>
  <c r="AD11" i="5"/>
  <c r="AC11" i="5"/>
  <c r="AB11" i="5"/>
  <c r="AA11" i="5"/>
  <c r="Y11" i="5"/>
  <c r="X11" i="5"/>
  <c r="W11" i="5"/>
  <c r="E11" i="5" s="1"/>
  <c r="E21" i="4" s="1"/>
  <c r="I11" i="5"/>
  <c r="I21" i="4" s="1"/>
  <c r="F11" i="5"/>
  <c r="D11" i="5"/>
  <c r="C11" i="5"/>
  <c r="B11" i="5"/>
  <c r="AP11" i="5" s="1"/>
  <c r="A11" i="5"/>
  <c r="A21" i="4" s="1"/>
  <c r="AT10" i="5"/>
  <c r="AS10" i="5"/>
  <c r="AR10" i="5"/>
  <c r="AQ10" i="5"/>
  <c r="AO10" i="5"/>
  <c r="AN10" i="5"/>
  <c r="AM10" i="5"/>
  <c r="I10" i="5" s="1"/>
  <c r="I20" i="4" s="1"/>
  <c r="AL10" i="5"/>
  <c r="AK10" i="5"/>
  <c r="AJ10" i="5"/>
  <c r="AI10" i="5"/>
  <c r="AG10" i="5"/>
  <c r="AF10" i="5"/>
  <c r="AE10" i="5"/>
  <c r="AD10" i="5"/>
  <c r="F10" i="5" s="1"/>
  <c r="F20" i="4" s="1"/>
  <c r="AC10" i="5"/>
  <c r="AB10" i="5"/>
  <c r="AA10" i="5"/>
  <c r="Y10" i="5"/>
  <c r="X10" i="5"/>
  <c r="W10" i="5"/>
  <c r="V10" i="5"/>
  <c r="G10" i="5"/>
  <c r="G20" i="4" s="1"/>
  <c r="E10" i="5"/>
  <c r="D10" i="5"/>
  <c r="C10" i="5"/>
  <c r="B10" i="5"/>
  <c r="AP10" i="5" s="1"/>
  <c r="A10" i="5"/>
  <c r="AT9" i="5"/>
  <c r="AS9" i="5"/>
  <c r="AR9" i="5"/>
  <c r="AQ9" i="5"/>
  <c r="AO9" i="5"/>
  <c r="AN9" i="5"/>
  <c r="AM9" i="5"/>
  <c r="I9" i="5" s="1"/>
  <c r="I19" i="4" s="1"/>
  <c r="AL9" i="5"/>
  <c r="AK9" i="5"/>
  <c r="AJ9" i="5"/>
  <c r="AI9" i="5"/>
  <c r="AG9" i="5"/>
  <c r="AF9" i="5"/>
  <c r="AE9" i="5"/>
  <c r="AD9" i="5"/>
  <c r="AC9" i="5"/>
  <c r="E9" i="5" s="1"/>
  <c r="E19" i="4" s="1"/>
  <c r="AB9" i="5"/>
  <c r="AA9" i="5"/>
  <c r="Y9" i="5"/>
  <c r="X9" i="5"/>
  <c r="W9" i="5"/>
  <c r="G9" i="5"/>
  <c r="G19" i="4" s="1"/>
  <c r="F9" i="5"/>
  <c r="F19" i="4" s="1"/>
  <c r="D9" i="5"/>
  <c r="C9" i="5"/>
  <c r="B9" i="5"/>
  <c r="AP9" i="5" s="1"/>
  <c r="A9" i="5"/>
  <c r="AT8" i="5"/>
  <c r="AS8" i="5"/>
  <c r="AR8" i="5"/>
  <c r="AQ8" i="5"/>
  <c r="AO8" i="5"/>
  <c r="AN8" i="5"/>
  <c r="AM8" i="5"/>
  <c r="AL8" i="5"/>
  <c r="AK8" i="5"/>
  <c r="G8" i="5" s="1"/>
  <c r="G18" i="4" s="1"/>
  <c r="AJ8" i="5"/>
  <c r="AI8" i="5"/>
  <c r="AG8" i="5"/>
  <c r="I8" i="5" s="1"/>
  <c r="I18" i="4" s="1"/>
  <c r="AF8" i="5"/>
  <c r="AE8" i="5"/>
  <c r="AD8" i="5"/>
  <c r="AC8" i="5"/>
  <c r="AB8" i="5"/>
  <c r="AA8" i="5"/>
  <c r="Y8" i="5"/>
  <c r="X8" i="5"/>
  <c r="W8" i="5"/>
  <c r="F8" i="5"/>
  <c r="F18" i="4" s="1"/>
  <c r="E8" i="5"/>
  <c r="D8" i="5"/>
  <c r="C8" i="5"/>
  <c r="B8" i="5"/>
  <c r="AP8" i="5" s="1"/>
  <c r="A8" i="5"/>
  <c r="AT7" i="5"/>
  <c r="AS7" i="5"/>
  <c r="AR7" i="5"/>
  <c r="AQ7" i="5"/>
  <c r="AO7" i="5"/>
  <c r="AN7" i="5"/>
  <c r="AM7" i="5"/>
  <c r="AL7" i="5"/>
  <c r="AK7" i="5"/>
  <c r="AJ7" i="5"/>
  <c r="AI7" i="5"/>
  <c r="AG7" i="5"/>
  <c r="I7" i="5" s="1"/>
  <c r="I17" i="4" s="1"/>
  <c r="AF7" i="5"/>
  <c r="AE7" i="5"/>
  <c r="AD7" i="5"/>
  <c r="AC7" i="5"/>
  <c r="AB7" i="5"/>
  <c r="AA7" i="5"/>
  <c r="Y7" i="5"/>
  <c r="G7" i="5" s="1"/>
  <c r="G17" i="4" s="1"/>
  <c r="X7" i="5"/>
  <c r="W7" i="5"/>
  <c r="F7" i="5"/>
  <c r="E7" i="5"/>
  <c r="E17" i="4" s="1"/>
  <c r="D7" i="5"/>
  <c r="C7" i="5"/>
  <c r="B7" i="5"/>
  <c r="AP7" i="5" s="1"/>
  <c r="A7" i="5"/>
  <c r="AT6" i="5"/>
  <c r="AS6" i="5"/>
  <c r="I6" i="5" s="1"/>
  <c r="I16" i="4" s="1"/>
  <c r="AR6" i="5"/>
  <c r="AQ6" i="5"/>
  <c r="AO6" i="5"/>
  <c r="AN6" i="5"/>
  <c r="AM6" i="5"/>
  <c r="AL6" i="5"/>
  <c r="AK6" i="5"/>
  <c r="AJ6" i="5"/>
  <c r="AI6" i="5"/>
  <c r="AG6" i="5"/>
  <c r="AF6" i="5"/>
  <c r="AE6" i="5"/>
  <c r="AD6" i="5"/>
  <c r="AC6" i="5"/>
  <c r="AB6" i="5"/>
  <c r="AA6" i="5"/>
  <c r="Y6" i="5"/>
  <c r="G6" i="5" s="1"/>
  <c r="G16" i="4" s="1"/>
  <c r="X6" i="5"/>
  <c r="F6" i="5" s="1"/>
  <c r="F16" i="4" s="1"/>
  <c r="W6" i="5"/>
  <c r="E6" i="5"/>
  <c r="D6" i="5"/>
  <c r="C6" i="5"/>
  <c r="B6" i="5"/>
  <c r="AP6" i="5" s="1"/>
  <c r="A6" i="5"/>
  <c r="AT5" i="5"/>
  <c r="AS5" i="5"/>
  <c r="AR5" i="5"/>
  <c r="AQ5" i="5"/>
  <c r="AO5" i="5"/>
  <c r="AN5" i="5"/>
  <c r="AM5" i="5"/>
  <c r="AL5" i="5"/>
  <c r="AK5" i="5"/>
  <c r="AJ5" i="5"/>
  <c r="AI5" i="5"/>
  <c r="AG5" i="5"/>
  <c r="I5" i="5" s="1"/>
  <c r="AF5" i="5"/>
  <c r="AE5" i="5"/>
  <c r="AD5" i="5"/>
  <c r="AC5" i="5"/>
  <c r="AB5" i="5"/>
  <c r="AA5" i="5"/>
  <c r="Y5" i="5"/>
  <c r="G5" i="5" s="1"/>
  <c r="X5" i="5"/>
  <c r="F5" i="5" s="1"/>
  <c r="W5" i="5"/>
  <c r="E5" i="5" s="1"/>
  <c r="D5" i="5"/>
  <c r="C5" i="5"/>
  <c r="B5" i="5"/>
  <c r="AP5" i="5" s="1"/>
  <c r="C38" i="3" s="1"/>
  <c r="A5" i="5"/>
  <c r="L214" i="4"/>
  <c r="K214" i="4"/>
  <c r="J214" i="4"/>
  <c r="I214" i="4"/>
  <c r="H214" i="4"/>
  <c r="G214" i="4"/>
  <c r="F214" i="4"/>
  <c r="E214" i="4"/>
  <c r="D214" i="4"/>
  <c r="C214" i="4"/>
  <c r="B214" i="4"/>
  <c r="A214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I51" i="4"/>
  <c r="G51" i="4"/>
  <c r="E51" i="4"/>
  <c r="D51" i="4"/>
  <c r="C51" i="4"/>
  <c r="B51" i="4"/>
  <c r="A51" i="4"/>
  <c r="I50" i="4"/>
  <c r="G50" i="4"/>
  <c r="D50" i="4"/>
  <c r="C50" i="4"/>
  <c r="B50" i="4"/>
  <c r="I49" i="4"/>
  <c r="D49" i="4"/>
  <c r="C49" i="4"/>
  <c r="B49" i="4"/>
  <c r="I48" i="4"/>
  <c r="D48" i="4"/>
  <c r="C48" i="4"/>
  <c r="B48" i="4"/>
  <c r="A48" i="4"/>
  <c r="L47" i="4"/>
  <c r="D47" i="4"/>
  <c r="C47" i="4"/>
  <c r="B47" i="4"/>
  <c r="A47" i="4"/>
  <c r="G46" i="4"/>
  <c r="E46" i="4"/>
  <c r="D46" i="4"/>
  <c r="C46" i="4"/>
  <c r="B46" i="4"/>
  <c r="A46" i="4"/>
  <c r="D45" i="4"/>
  <c r="C45" i="4"/>
  <c r="B45" i="4"/>
  <c r="A45" i="4"/>
  <c r="F44" i="4"/>
  <c r="E44" i="4"/>
  <c r="D44" i="4"/>
  <c r="C44" i="4"/>
  <c r="B44" i="4"/>
  <c r="A44" i="4"/>
  <c r="I43" i="4"/>
  <c r="D43" i="4"/>
  <c r="C43" i="4"/>
  <c r="B43" i="4"/>
  <c r="A43" i="4"/>
  <c r="I42" i="4"/>
  <c r="D42" i="4"/>
  <c r="C42" i="4"/>
  <c r="B42" i="4"/>
  <c r="I41" i="4"/>
  <c r="G41" i="4"/>
  <c r="D41" i="4"/>
  <c r="C41" i="4"/>
  <c r="B41" i="4"/>
  <c r="L40" i="4"/>
  <c r="I40" i="4"/>
  <c r="D40" i="4"/>
  <c r="C40" i="4"/>
  <c r="B40" i="4"/>
  <c r="A40" i="4"/>
  <c r="D39" i="4"/>
  <c r="C39" i="4"/>
  <c r="B39" i="4"/>
  <c r="A39" i="4"/>
  <c r="G38" i="4"/>
  <c r="D38" i="4"/>
  <c r="C38" i="4"/>
  <c r="B38" i="4"/>
  <c r="A38" i="4"/>
  <c r="E37" i="4"/>
  <c r="D37" i="4"/>
  <c r="C37" i="4"/>
  <c r="B37" i="4"/>
  <c r="A37" i="4"/>
  <c r="I36" i="4"/>
  <c r="D36" i="4"/>
  <c r="C36" i="4"/>
  <c r="B36" i="4"/>
  <c r="A36" i="4"/>
  <c r="G35" i="4"/>
  <c r="D35" i="4"/>
  <c r="C35" i="4"/>
  <c r="B35" i="4"/>
  <c r="A35" i="4"/>
  <c r="G34" i="4"/>
  <c r="E34" i="4"/>
  <c r="D34" i="4"/>
  <c r="C34" i="4"/>
  <c r="B34" i="4"/>
  <c r="G33" i="4"/>
  <c r="D33" i="4"/>
  <c r="C33" i="4"/>
  <c r="B33" i="4"/>
  <c r="A33" i="4"/>
  <c r="E32" i="4"/>
  <c r="D32" i="4"/>
  <c r="C32" i="4"/>
  <c r="B32" i="4"/>
  <c r="A32" i="4"/>
  <c r="D31" i="4"/>
  <c r="C31" i="4"/>
  <c r="B31" i="4"/>
  <c r="A31" i="4"/>
  <c r="G30" i="4"/>
  <c r="D30" i="4"/>
  <c r="C30" i="4"/>
  <c r="B30" i="4"/>
  <c r="I29" i="4"/>
  <c r="F29" i="4"/>
  <c r="D29" i="4"/>
  <c r="C29" i="4"/>
  <c r="B29" i="4"/>
  <c r="A29" i="4"/>
  <c r="E28" i="4"/>
  <c r="D28" i="4"/>
  <c r="C28" i="4"/>
  <c r="B28" i="4"/>
  <c r="A28" i="4"/>
  <c r="D27" i="4"/>
  <c r="C27" i="4"/>
  <c r="B27" i="4"/>
  <c r="A27" i="4"/>
  <c r="D26" i="4"/>
  <c r="C26" i="4"/>
  <c r="B26" i="4"/>
  <c r="A26" i="4"/>
  <c r="F25" i="4"/>
  <c r="D25" i="4"/>
  <c r="C25" i="4"/>
  <c r="B25" i="4"/>
  <c r="A25" i="4"/>
  <c r="E24" i="4"/>
  <c r="D24" i="4"/>
  <c r="C24" i="4"/>
  <c r="B24" i="4"/>
  <c r="A24" i="4"/>
  <c r="D23" i="4"/>
  <c r="C23" i="4"/>
  <c r="B23" i="4"/>
  <c r="A23" i="4"/>
  <c r="I22" i="4"/>
  <c r="G22" i="4"/>
  <c r="D22" i="4"/>
  <c r="C22" i="4"/>
  <c r="B22" i="4"/>
  <c r="A22" i="4"/>
  <c r="F21" i="4"/>
  <c r="D21" i="4"/>
  <c r="C21" i="4"/>
  <c r="B21" i="4"/>
  <c r="L20" i="4"/>
  <c r="E20" i="4"/>
  <c r="D20" i="4"/>
  <c r="C20" i="4"/>
  <c r="B20" i="4"/>
  <c r="A20" i="4"/>
  <c r="D19" i="4"/>
  <c r="C19" i="4"/>
  <c r="B19" i="4"/>
  <c r="A19" i="4"/>
  <c r="E18" i="4"/>
  <c r="D18" i="4"/>
  <c r="C18" i="4"/>
  <c r="B18" i="4"/>
  <c r="A18" i="4"/>
  <c r="F17" i="4"/>
  <c r="D17" i="4"/>
  <c r="C17" i="4"/>
  <c r="B17" i="4"/>
  <c r="A17" i="4"/>
  <c r="E16" i="4"/>
  <c r="D16" i="4"/>
  <c r="C16" i="4"/>
  <c r="B16" i="4"/>
  <c r="A16" i="4"/>
  <c r="D15" i="4"/>
  <c r="C15" i="4"/>
  <c r="B15" i="4"/>
  <c r="A15" i="4"/>
  <c r="K3" i="4"/>
  <c r="G38" i="3"/>
  <c r="F38" i="3"/>
  <c r="E38" i="3"/>
  <c r="D38" i="3"/>
  <c r="B38" i="3"/>
  <c r="G37" i="3"/>
  <c r="F37" i="3"/>
  <c r="E37" i="3"/>
  <c r="D37" i="3"/>
  <c r="C37" i="3"/>
  <c r="B37" i="3"/>
  <c r="E36" i="3"/>
  <c r="D36" i="3"/>
  <c r="C36" i="3"/>
  <c r="B36" i="3"/>
  <c r="G35" i="3"/>
  <c r="F35" i="3"/>
  <c r="B35" i="3"/>
  <c r="B6" i="3"/>
  <c r="B5" i="3"/>
  <c r="IA204" i="2"/>
  <c r="HZ204" i="2"/>
  <c r="HY204" i="2"/>
  <c r="HY203" i="2"/>
  <c r="IA203" i="2" s="1"/>
  <c r="IA202" i="2"/>
  <c r="HZ202" i="2"/>
  <c r="HY202" i="2"/>
  <c r="IA201" i="2"/>
  <c r="HZ201" i="2"/>
  <c r="HY201" i="2"/>
  <c r="HY200" i="2"/>
  <c r="IA200" i="2" s="1"/>
  <c r="IA199" i="2"/>
  <c r="HZ199" i="2"/>
  <c r="HY199" i="2"/>
  <c r="IA198" i="2"/>
  <c r="HZ198" i="2"/>
  <c r="HY198" i="2"/>
  <c r="IA197" i="2"/>
  <c r="HZ197" i="2"/>
  <c r="HY197" i="2"/>
  <c r="IA196" i="2"/>
  <c r="HZ196" i="2"/>
  <c r="HY196" i="2"/>
  <c r="HY195" i="2"/>
  <c r="IA195" i="2" s="1"/>
  <c r="IA194" i="2"/>
  <c r="HZ194" i="2"/>
  <c r="HY194" i="2"/>
  <c r="IA193" i="2"/>
  <c r="HZ193" i="2"/>
  <c r="HY193" i="2"/>
  <c r="HY192" i="2"/>
  <c r="IA192" i="2" s="1"/>
  <c r="IA191" i="2"/>
  <c r="HZ191" i="2"/>
  <c r="HY191" i="2"/>
  <c r="IA190" i="2"/>
  <c r="HZ190" i="2"/>
  <c r="HY190" i="2"/>
  <c r="IA189" i="2"/>
  <c r="HZ189" i="2"/>
  <c r="HY189" i="2"/>
  <c r="IA188" i="2"/>
  <c r="HZ188" i="2"/>
  <c r="HY188" i="2"/>
  <c r="HY187" i="2"/>
  <c r="IA187" i="2" s="1"/>
  <c r="IA186" i="2"/>
  <c r="HZ186" i="2"/>
  <c r="HY186" i="2"/>
  <c r="IA185" i="2"/>
  <c r="HZ185" i="2"/>
  <c r="HY185" i="2"/>
  <c r="HY184" i="2"/>
  <c r="IA184" i="2" s="1"/>
  <c r="IA183" i="2"/>
  <c r="HZ183" i="2"/>
  <c r="HY183" i="2"/>
  <c r="IA182" i="2"/>
  <c r="HZ182" i="2"/>
  <c r="HY182" i="2"/>
  <c r="IA181" i="2"/>
  <c r="HZ181" i="2"/>
  <c r="HY181" i="2"/>
  <c r="IA180" i="2"/>
  <c r="HZ180" i="2"/>
  <c r="HY180" i="2"/>
  <c r="HY179" i="2"/>
  <c r="IA179" i="2" s="1"/>
  <c r="IA178" i="2"/>
  <c r="HZ178" i="2"/>
  <c r="HY178" i="2"/>
  <c r="IA177" i="2"/>
  <c r="HZ177" i="2"/>
  <c r="HY177" i="2"/>
  <c r="HY176" i="2"/>
  <c r="HZ176" i="2" s="1"/>
  <c r="IA175" i="2"/>
  <c r="HZ175" i="2"/>
  <c r="HY175" i="2"/>
  <c r="IA174" i="2"/>
  <c r="HZ174" i="2"/>
  <c r="HY174" i="2"/>
  <c r="IA173" i="2"/>
  <c r="HZ173" i="2"/>
  <c r="HY173" i="2"/>
  <c r="IA172" i="2"/>
  <c r="HZ172" i="2"/>
  <c r="HY172" i="2"/>
  <c r="HY171" i="2"/>
  <c r="IA171" i="2" s="1"/>
  <c r="IA170" i="2"/>
  <c r="HZ170" i="2"/>
  <c r="HY170" i="2"/>
  <c r="IA169" i="2"/>
  <c r="HZ169" i="2"/>
  <c r="HY169" i="2"/>
  <c r="HY168" i="2"/>
  <c r="IA168" i="2" s="1"/>
  <c r="IA167" i="2"/>
  <c r="HZ167" i="2"/>
  <c r="HY167" i="2"/>
  <c r="IA166" i="2"/>
  <c r="HZ166" i="2"/>
  <c r="HY166" i="2"/>
  <c r="IA165" i="2"/>
  <c r="HZ165" i="2"/>
  <c r="HY165" i="2"/>
  <c r="IA164" i="2"/>
  <c r="HZ164" i="2"/>
  <c r="HY164" i="2"/>
  <c r="HY163" i="2"/>
  <c r="IA163" i="2" s="1"/>
  <c r="IA162" i="2"/>
  <c r="HZ162" i="2"/>
  <c r="HY162" i="2"/>
  <c r="IA161" i="2"/>
  <c r="HZ161" i="2"/>
  <c r="HY161" i="2"/>
  <c r="HY160" i="2"/>
  <c r="HZ160" i="2" s="1"/>
  <c r="IA159" i="2"/>
  <c r="HZ159" i="2"/>
  <c r="HY159" i="2"/>
  <c r="IA158" i="2"/>
  <c r="HZ158" i="2"/>
  <c r="HY158" i="2"/>
  <c r="IA157" i="2"/>
  <c r="HZ157" i="2"/>
  <c r="HY157" i="2"/>
  <c r="IA156" i="2"/>
  <c r="HZ156" i="2"/>
  <c r="HY156" i="2"/>
  <c r="HY155" i="2"/>
  <c r="IA155" i="2" s="1"/>
  <c r="IA154" i="2"/>
  <c r="HZ154" i="2"/>
  <c r="HY154" i="2"/>
  <c r="IA153" i="2"/>
  <c r="HZ153" i="2"/>
  <c r="HY153" i="2"/>
  <c r="HY152" i="2"/>
  <c r="HZ152" i="2" s="1"/>
  <c r="IA151" i="2"/>
  <c r="HZ151" i="2"/>
  <c r="HY151" i="2"/>
  <c r="IA150" i="2"/>
  <c r="HZ150" i="2"/>
  <c r="HY150" i="2"/>
  <c r="IA149" i="2"/>
  <c r="HZ149" i="2"/>
  <c r="HY149" i="2"/>
  <c r="IA148" i="2"/>
  <c r="HZ148" i="2"/>
  <c r="HY148" i="2"/>
  <c r="HY147" i="2"/>
  <c r="IA147" i="2" s="1"/>
  <c r="IA146" i="2"/>
  <c r="HZ146" i="2"/>
  <c r="HY146" i="2"/>
  <c r="IA145" i="2"/>
  <c r="HZ145" i="2"/>
  <c r="HY145" i="2"/>
  <c r="HY144" i="2"/>
  <c r="HZ144" i="2" s="1"/>
  <c r="IA143" i="2"/>
  <c r="HZ143" i="2"/>
  <c r="HY143" i="2"/>
  <c r="IA142" i="2"/>
  <c r="HZ142" i="2"/>
  <c r="HY142" i="2"/>
  <c r="IA141" i="2"/>
  <c r="HZ141" i="2"/>
  <c r="HY141" i="2"/>
  <c r="IA140" i="2"/>
  <c r="HZ140" i="2"/>
  <c r="HY140" i="2"/>
  <c r="HY139" i="2"/>
  <c r="IA139" i="2" s="1"/>
  <c r="IA138" i="2"/>
  <c r="HZ138" i="2"/>
  <c r="HY138" i="2"/>
  <c r="IA137" i="2"/>
  <c r="HZ137" i="2"/>
  <c r="HY137" i="2"/>
  <c r="HY136" i="2"/>
  <c r="IA136" i="2" s="1"/>
  <c r="IA135" i="2"/>
  <c r="HZ135" i="2"/>
  <c r="HY135" i="2"/>
  <c r="IA134" i="2"/>
  <c r="HZ134" i="2"/>
  <c r="HY134" i="2"/>
  <c r="IA133" i="2"/>
  <c r="HZ133" i="2"/>
  <c r="HY133" i="2"/>
  <c r="IA132" i="2"/>
  <c r="HZ132" i="2"/>
  <c r="HY132" i="2"/>
  <c r="HY131" i="2"/>
  <c r="IA131" i="2" s="1"/>
  <c r="IA130" i="2"/>
  <c r="HZ130" i="2"/>
  <c r="HY130" i="2"/>
  <c r="IA129" i="2"/>
  <c r="HZ129" i="2"/>
  <c r="HY129" i="2"/>
  <c r="HY128" i="2"/>
  <c r="IA128" i="2" s="1"/>
  <c r="IA127" i="2"/>
  <c r="HZ127" i="2"/>
  <c r="HY127" i="2"/>
  <c r="IA126" i="2"/>
  <c r="HZ126" i="2"/>
  <c r="HY126" i="2"/>
  <c r="IA125" i="2"/>
  <c r="HZ125" i="2"/>
  <c r="HY125" i="2"/>
  <c r="IA124" i="2"/>
  <c r="HZ124" i="2"/>
  <c r="HY124" i="2"/>
  <c r="HY123" i="2"/>
  <c r="IA123" i="2" s="1"/>
  <c r="IA122" i="2"/>
  <c r="HZ122" i="2"/>
  <c r="HY122" i="2"/>
  <c r="IA121" i="2"/>
  <c r="HZ121" i="2"/>
  <c r="HY121" i="2"/>
  <c r="HY120" i="2"/>
  <c r="IA120" i="2" s="1"/>
  <c r="IA119" i="2"/>
  <c r="HZ119" i="2"/>
  <c r="HY119" i="2"/>
  <c r="IA118" i="2"/>
  <c r="HZ118" i="2"/>
  <c r="HY118" i="2"/>
  <c r="IA117" i="2"/>
  <c r="HZ117" i="2"/>
  <c r="HY117" i="2"/>
  <c r="IA116" i="2"/>
  <c r="HZ116" i="2"/>
  <c r="HY116" i="2"/>
  <c r="HY115" i="2"/>
  <c r="IA115" i="2" s="1"/>
  <c r="IA114" i="2"/>
  <c r="HZ114" i="2"/>
  <c r="HY114" i="2"/>
  <c r="IA113" i="2"/>
  <c r="HZ113" i="2"/>
  <c r="HY113" i="2"/>
  <c r="HY112" i="2"/>
  <c r="IA112" i="2" s="1"/>
  <c r="IA111" i="2"/>
  <c r="HZ111" i="2"/>
  <c r="HY111" i="2"/>
  <c r="IA110" i="2"/>
  <c r="HZ110" i="2"/>
  <c r="HY110" i="2"/>
  <c r="IA109" i="2"/>
  <c r="HZ109" i="2"/>
  <c r="HY109" i="2"/>
  <c r="IA108" i="2"/>
  <c r="HZ108" i="2"/>
  <c r="HY108" i="2"/>
  <c r="HY107" i="2"/>
  <c r="IA107" i="2" s="1"/>
  <c r="IA106" i="2"/>
  <c r="HZ106" i="2"/>
  <c r="HY106" i="2"/>
  <c r="IA105" i="2"/>
  <c r="HZ105" i="2"/>
  <c r="HY105" i="2"/>
  <c r="HY104" i="2"/>
  <c r="HZ104" i="2" s="1"/>
  <c r="IA103" i="2"/>
  <c r="HZ103" i="2"/>
  <c r="HY103" i="2"/>
  <c r="IA102" i="2"/>
  <c r="HZ102" i="2"/>
  <c r="HY102" i="2"/>
  <c r="IA101" i="2"/>
  <c r="HZ101" i="2"/>
  <c r="HY101" i="2"/>
  <c r="IA100" i="2"/>
  <c r="HZ100" i="2"/>
  <c r="HY100" i="2"/>
  <c r="HY99" i="2"/>
  <c r="IA99" i="2" s="1"/>
  <c r="IA98" i="2"/>
  <c r="HZ98" i="2"/>
  <c r="HY98" i="2"/>
  <c r="IA97" i="2"/>
  <c r="HZ97" i="2"/>
  <c r="HY97" i="2"/>
  <c r="HY96" i="2"/>
  <c r="HZ96" i="2" s="1"/>
  <c r="IA95" i="2"/>
  <c r="HZ95" i="2"/>
  <c r="HY95" i="2"/>
  <c r="IA94" i="2"/>
  <c r="HZ94" i="2"/>
  <c r="HY94" i="2"/>
  <c r="IA93" i="2"/>
  <c r="HZ93" i="2"/>
  <c r="HY93" i="2"/>
  <c r="IA92" i="2"/>
  <c r="HZ92" i="2"/>
  <c r="HY92" i="2"/>
  <c r="HY91" i="2"/>
  <c r="IA91" i="2" s="1"/>
  <c r="IA90" i="2"/>
  <c r="HZ90" i="2"/>
  <c r="HY90" i="2"/>
  <c r="IA89" i="2"/>
  <c r="HZ89" i="2"/>
  <c r="HY89" i="2"/>
  <c r="HY88" i="2"/>
  <c r="HZ88" i="2" s="1"/>
  <c r="IA87" i="2"/>
  <c r="HZ87" i="2"/>
  <c r="HY87" i="2"/>
  <c r="IA86" i="2"/>
  <c r="HZ86" i="2"/>
  <c r="HY86" i="2"/>
  <c r="IA85" i="2"/>
  <c r="HZ85" i="2"/>
  <c r="HY85" i="2"/>
  <c r="IA84" i="2"/>
  <c r="HZ84" i="2"/>
  <c r="HY84" i="2"/>
  <c r="HY83" i="2"/>
  <c r="IA83" i="2" s="1"/>
  <c r="IA82" i="2"/>
  <c r="HZ82" i="2"/>
  <c r="HY82" i="2"/>
  <c r="IA81" i="2"/>
  <c r="HZ81" i="2"/>
  <c r="HY81" i="2"/>
  <c r="HY80" i="2"/>
  <c r="HZ80" i="2" s="1"/>
  <c r="IA79" i="2"/>
  <c r="HZ79" i="2"/>
  <c r="HY79" i="2"/>
  <c r="IA78" i="2"/>
  <c r="HZ78" i="2"/>
  <c r="HY78" i="2"/>
  <c r="IA77" i="2"/>
  <c r="HZ77" i="2"/>
  <c r="HY77" i="2"/>
  <c r="IA76" i="2"/>
  <c r="HZ76" i="2"/>
  <c r="HY76" i="2"/>
  <c r="HY75" i="2"/>
  <c r="IA75" i="2" s="1"/>
  <c r="IA74" i="2"/>
  <c r="HZ74" i="2"/>
  <c r="HY74" i="2"/>
  <c r="IA73" i="2"/>
  <c r="HZ73" i="2"/>
  <c r="HY73" i="2"/>
  <c r="HY72" i="2"/>
  <c r="HZ72" i="2" s="1"/>
  <c r="IA71" i="2"/>
  <c r="HZ71" i="2"/>
  <c r="HY71" i="2"/>
  <c r="IA70" i="2"/>
  <c r="HZ70" i="2"/>
  <c r="HY70" i="2"/>
  <c r="IA69" i="2"/>
  <c r="HZ69" i="2"/>
  <c r="HY69" i="2"/>
  <c r="IA68" i="2"/>
  <c r="HZ68" i="2"/>
  <c r="HY68" i="2"/>
  <c r="HY67" i="2"/>
  <c r="IA67" i="2" s="1"/>
  <c r="IA66" i="2"/>
  <c r="HZ66" i="2"/>
  <c r="HY66" i="2"/>
  <c r="IA65" i="2"/>
  <c r="HZ65" i="2"/>
  <c r="HY65" i="2"/>
  <c r="HY64" i="2"/>
  <c r="HZ64" i="2" s="1"/>
  <c r="IA63" i="2"/>
  <c r="HZ63" i="2"/>
  <c r="HY63" i="2"/>
  <c r="IA62" i="2"/>
  <c r="HZ62" i="2"/>
  <c r="HY62" i="2"/>
  <c r="IA61" i="2"/>
  <c r="HZ61" i="2"/>
  <c r="HY61" i="2"/>
  <c r="IA60" i="2"/>
  <c r="HZ60" i="2"/>
  <c r="HY60" i="2"/>
  <c r="HY59" i="2"/>
  <c r="IA59" i="2" s="1"/>
  <c r="IA58" i="2"/>
  <c r="HZ58" i="2"/>
  <c r="HY58" i="2"/>
  <c r="IA57" i="2"/>
  <c r="HZ57" i="2"/>
  <c r="HY57" i="2"/>
  <c r="HY56" i="2"/>
  <c r="HZ56" i="2" s="1"/>
  <c r="IA55" i="2"/>
  <c r="HZ55" i="2"/>
  <c r="HY55" i="2"/>
  <c r="IA54" i="2"/>
  <c r="HZ54" i="2"/>
  <c r="HY54" i="2"/>
  <c r="IA53" i="2"/>
  <c r="HZ53" i="2"/>
  <c r="HY53" i="2"/>
  <c r="IA52" i="2"/>
  <c r="HZ52" i="2"/>
  <c r="HY52" i="2"/>
  <c r="HY51" i="2"/>
  <c r="IA51" i="2" s="1"/>
  <c r="IA50" i="2"/>
  <c r="HZ50" i="2"/>
  <c r="HY50" i="2"/>
  <c r="IA49" i="2"/>
  <c r="HZ49" i="2"/>
  <c r="HY49" i="2"/>
  <c r="HY48" i="2"/>
  <c r="IA48" i="2" s="1"/>
  <c r="IA47" i="2"/>
  <c r="HZ47" i="2"/>
  <c r="HY47" i="2"/>
  <c r="IA46" i="2"/>
  <c r="HZ46" i="2"/>
  <c r="HY46" i="2"/>
  <c r="IA45" i="2"/>
  <c r="HZ45" i="2"/>
  <c r="HY45" i="2"/>
  <c r="IA44" i="2"/>
  <c r="HZ44" i="2"/>
  <c r="HY44" i="2"/>
  <c r="HY43" i="2"/>
  <c r="IA43" i="2" s="1"/>
  <c r="IA42" i="2"/>
  <c r="HZ42" i="2"/>
  <c r="HY42" i="2"/>
  <c r="HY41" i="2"/>
  <c r="V41" i="5" s="1"/>
  <c r="HY40" i="2"/>
  <c r="V40" i="5" s="1"/>
  <c r="HY39" i="2"/>
  <c r="V39" i="5" s="1"/>
  <c r="HZ38" i="2"/>
  <c r="HY38" i="2"/>
  <c r="V38" i="5" s="1"/>
  <c r="IA37" i="2"/>
  <c r="HZ37" i="2"/>
  <c r="HY37" i="2"/>
  <c r="V37" i="5" s="1"/>
  <c r="P37" i="5" s="1"/>
  <c r="HY36" i="2"/>
  <c r="V36" i="5" s="1"/>
  <c r="HY35" i="2"/>
  <c r="V35" i="5" s="1"/>
  <c r="IA34" i="2"/>
  <c r="HZ34" i="2"/>
  <c r="HY34" i="2"/>
  <c r="V34" i="5" s="1"/>
  <c r="Q34" i="5" s="1"/>
  <c r="HY33" i="2"/>
  <c r="V33" i="5" s="1"/>
  <c r="Q33" i="5" s="1"/>
  <c r="HY32" i="2"/>
  <c r="V32" i="5" s="1"/>
  <c r="Q32" i="5" s="1"/>
  <c r="HY31" i="2"/>
  <c r="V31" i="5" s="1"/>
  <c r="IA30" i="2"/>
  <c r="HZ30" i="2"/>
  <c r="HY30" i="2"/>
  <c r="V30" i="5" s="1"/>
  <c r="IA29" i="2"/>
  <c r="HZ29" i="2"/>
  <c r="HY29" i="2"/>
  <c r="V29" i="5" s="1"/>
  <c r="P29" i="5" s="1"/>
  <c r="HY28" i="2"/>
  <c r="V28" i="5" s="1"/>
  <c r="M28" i="5" s="1"/>
  <c r="HY27" i="2"/>
  <c r="V27" i="5" s="1"/>
  <c r="P27" i="5" s="1"/>
  <c r="IA26" i="2"/>
  <c r="HZ26" i="2"/>
  <c r="HY26" i="2"/>
  <c r="V26" i="5" s="1"/>
  <c r="Q26" i="5" s="1"/>
  <c r="HY25" i="2"/>
  <c r="HZ25" i="2" s="1"/>
  <c r="HY24" i="2"/>
  <c r="HZ24" i="2" s="1"/>
  <c r="HY23" i="2"/>
  <c r="IA23" i="2" s="1"/>
  <c r="IA22" i="2"/>
  <c r="HZ22" i="2"/>
  <c r="HY22" i="2"/>
  <c r="V22" i="5" s="1"/>
  <c r="IA21" i="2"/>
  <c r="HZ21" i="2"/>
  <c r="HY21" i="2"/>
  <c r="V21" i="5" s="1"/>
  <c r="HY20" i="2"/>
  <c r="V20" i="5" s="1"/>
  <c r="HY19" i="2"/>
  <c r="IA19" i="2" s="1"/>
  <c r="IA18" i="2"/>
  <c r="HZ18" i="2"/>
  <c r="HY18" i="2"/>
  <c r="HY17" i="2"/>
  <c r="IA17" i="2" s="1"/>
  <c r="HY16" i="2"/>
  <c r="V16" i="5" s="1"/>
  <c r="HY15" i="2"/>
  <c r="IA15" i="2" s="1"/>
  <c r="IA14" i="2"/>
  <c r="HZ14" i="2"/>
  <c r="HY14" i="2"/>
  <c r="V14" i="5" s="1"/>
  <c r="IA13" i="2"/>
  <c r="HZ13" i="2"/>
  <c r="HY13" i="2"/>
  <c r="V13" i="5" s="1"/>
  <c r="HY12" i="2"/>
  <c r="V12" i="5" s="1"/>
  <c r="HY11" i="2"/>
  <c r="HY10" i="2"/>
  <c r="HY9" i="2"/>
  <c r="HY8" i="2"/>
  <c r="V8" i="5" s="1"/>
  <c r="HY7" i="2"/>
  <c r="HY6" i="2"/>
  <c r="V6" i="5" s="1"/>
  <c r="HY5" i="2"/>
  <c r="I3" i="4" s="1"/>
  <c r="G15" i="4" l="1"/>
  <c r="B13" i="3"/>
  <c r="D39" i="3"/>
  <c r="T12" i="5"/>
  <c r="L12" i="5"/>
  <c r="S12" i="5"/>
  <c r="K12" i="5"/>
  <c r="R12" i="5"/>
  <c r="L22" i="4"/>
  <c r="Q12" i="5"/>
  <c r="P12" i="5"/>
  <c r="O12" i="5"/>
  <c r="N12" i="5"/>
  <c r="M12" i="5"/>
  <c r="T13" i="5"/>
  <c r="L13" i="5"/>
  <c r="S13" i="5"/>
  <c r="K13" i="5"/>
  <c r="R13" i="5"/>
  <c r="N13" i="5"/>
  <c r="L23" i="4"/>
  <c r="Q13" i="5"/>
  <c r="P13" i="5"/>
  <c r="O13" i="5"/>
  <c r="M13" i="5"/>
  <c r="F15" i="4"/>
  <c r="B12" i="3"/>
  <c r="C39" i="3"/>
  <c r="L6" i="5"/>
  <c r="L16" i="4"/>
  <c r="T22" i="5"/>
  <c r="L22" i="5"/>
  <c r="S22" i="5"/>
  <c r="K22" i="5"/>
  <c r="R22" i="5"/>
  <c r="M22" i="5"/>
  <c r="L32" i="4"/>
  <c r="Q22" i="5"/>
  <c r="P22" i="5"/>
  <c r="O22" i="5"/>
  <c r="N22" i="5"/>
  <c r="T20" i="5"/>
  <c r="L20" i="5"/>
  <c r="S20" i="5"/>
  <c r="K20" i="5"/>
  <c r="R20" i="5"/>
  <c r="L30" i="4"/>
  <c r="Q20" i="5"/>
  <c r="P20" i="5"/>
  <c r="O20" i="5"/>
  <c r="N20" i="5"/>
  <c r="M20" i="5"/>
  <c r="B11" i="3"/>
  <c r="E15" i="4"/>
  <c r="B39" i="3"/>
  <c r="T16" i="5"/>
  <c r="L16" i="5"/>
  <c r="S16" i="5"/>
  <c r="K16" i="5"/>
  <c r="R16" i="5"/>
  <c r="L26" i="4"/>
  <c r="O16" i="5"/>
  <c r="N16" i="5"/>
  <c r="M16" i="5"/>
  <c r="Q16" i="5"/>
  <c r="P16" i="5"/>
  <c r="I15" i="4"/>
  <c r="F39" i="3"/>
  <c r="B15" i="3"/>
  <c r="L18" i="4"/>
  <c r="T21" i="5"/>
  <c r="L21" i="5"/>
  <c r="S21" i="5"/>
  <c r="K21" i="5"/>
  <c r="R21" i="5"/>
  <c r="L31" i="4"/>
  <c r="Q21" i="5"/>
  <c r="P21" i="5"/>
  <c r="O21" i="5"/>
  <c r="N21" i="5"/>
  <c r="M21" i="5"/>
  <c r="T14" i="5"/>
  <c r="L14" i="5"/>
  <c r="S14" i="5"/>
  <c r="K14" i="5"/>
  <c r="R14" i="5"/>
  <c r="M14" i="5"/>
  <c r="Q14" i="5"/>
  <c r="P14" i="5"/>
  <c r="O14" i="5"/>
  <c r="N14" i="5"/>
  <c r="L24" i="4"/>
  <c r="M40" i="5"/>
  <c r="T40" i="5"/>
  <c r="L40" i="5"/>
  <c r="S40" i="5"/>
  <c r="K40" i="5"/>
  <c r="R40" i="5"/>
  <c r="L50" i="4"/>
  <c r="Q40" i="5"/>
  <c r="O40" i="5"/>
  <c r="N40" i="5"/>
  <c r="V11" i="5"/>
  <c r="V19" i="5"/>
  <c r="M32" i="5"/>
  <c r="T35" i="5"/>
  <c r="L35" i="5"/>
  <c r="L45" i="4"/>
  <c r="S35" i="5"/>
  <c r="K35" i="5"/>
  <c r="R35" i="5"/>
  <c r="O35" i="5"/>
  <c r="N35" i="5"/>
  <c r="HZ112" i="2"/>
  <c r="HZ136" i="2"/>
  <c r="HZ184" i="2"/>
  <c r="HZ200" i="2"/>
  <c r="T18" i="5"/>
  <c r="L18" i="5"/>
  <c r="S18" i="5"/>
  <c r="K18" i="5"/>
  <c r="R18" i="5"/>
  <c r="P32" i="5"/>
  <c r="M33" i="5"/>
  <c r="HZ16" i="2"/>
  <c r="HZ32" i="2"/>
  <c r="HZ40" i="2"/>
  <c r="HZ48" i="2"/>
  <c r="HZ120" i="2"/>
  <c r="HZ128" i="2"/>
  <c r="HZ168" i="2"/>
  <c r="HZ192" i="2"/>
  <c r="IA16" i="2"/>
  <c r="HZ19" i="2"/>
  <c r="IA24" i="2"/>
  <c r="HZ27" i="2"/>
  <c r="T30" i="5"/>
  <c r="L30" i="5"/>
  <c r="S30" i="5"/>
  <c r="K30" i="5"/>
  <c r="R30" i="5"/>
  <c r="O30" i="5"/>
  <c r="N30" i="5"/>
  <c r="IA32" i="2"/>
  <c r="HZ35" i="2"/>
  <c r="T38" i="5"/>
  <c r="L38" i="5"/>
  <c r="S38" i="5"/>
  <c r="K38" i="5"/>
  <c r="R38" i="5"/>
  <c r="O38" i="5"/>
  <c r="N38" i="5"/>
  <c r="IA40" i="2"/>
  <c r="HZ43" i="2"/>
  <c r="HZ51" i="2"/>
  <c r="IA56" i="2"/>
  <c r="HZ59" i="2"/>
  <c r="IA64" i="2"/>
  <c r="HZ67" i="2"/>
  <c r="IA72" i="2"/>
  <c r="HZ75" i="2"/>
  <c r="IA80" i="2"/>
  <c r="HZ83" i="2"/>
  <c r="IA88" i="2"/>
  <c r="HZ91" i="2"/>
  <c r="IA96" i="2"/>
  <c r="HZ99" i="2"/>
  <c r="IA104" i="2"/>
  <c r="HZ107" i="2"/>
  <c r="HZ115" i="2"/>
  <c r="HZ123" i="2"/>
  <c r="HZ131" i="2"/>
  <c r="HZ139" i="2"/>
  <c r="IA144" i="2"/>
  <c r="HZ147" i="2"/>
  <c r="IA152" i="2"/>
  <c r="HZ155" i="2"/>
  <c r="IA160" i="2"/>
  <c r="HZ163" i="2"/>
  <c r="HZ171" i="2"/>
  <c r="IA176" i="2"/>
  <c r="HZ179" i="2"/>
  <c r="HZ187" i="2"/>
  <c r="HZ195" i="2"/>
  <c r="HZ203" i="2"/>
  <c r="C35" i="3"/>
  <c r="L36" i="4"/>
  <c r="V9" i="5"/>
  <c r="V17" i="5"/>
  <c r="V23" i="5"/>
  <c r="V25" i="5"/>
  <c r="N26" i="5"/>
  <c r="P33" i="5"/>
  <c r="M34" i="5"/>
  <c r="M41" i="5"/>
  <c r="T41" i="5"/>
  <c r="L41" i="5"/>
  <c r="S41" i="5"/>
  <c r="K41" i="5"/>
  <c r="R41" i="5"/>
  <c r="Q41" i="5"/>
  <c r="P41" i="5"/>
  <c r="O41" i="5"/>
  <c r="N41" i="5"/>
  <c r="D35" i="3"/>
  <c r="F36" i="3"/>
  <c r="L43" i="4"/>
  <c r="M18" i="5"/>
  <c r="P26" i="5"/>
  <c r="M27" i="5"/>
  <c r="G29" i="5"/>
  <c r="G39" i="4" s="1"/>
  <c r="F30" i="5"/>
  <c r="F40" i="4" s="1"/>
  <c r="P34" i="5"/>
  <c r="M35" i="5"/>
  <c r="G37" i="5"/>
  <c r="G47" i="4" s="1"/>
  <c r="F38" i="5"/>
  <c r="F48" i="4" s="1"/>
  <c r="T36" i="5"/>
  <c r="L36" i="5"/>
  <c r="S36" i="5"/>
  <c r="K36" i="5"/>
  <c r="R36" i="5"/>
  <c r="L46" i="4"/>
  <c r="O36" i="5"/>
  <c r="N36" i="5"/>
  <c r="IA38" i="2"/>
  <c r="HZ41" i="2"/>
  <c r="L48" i="4"/>
  <c r="V7" i="5"/>
  <c r="V15" i="5"/>
  <c r="N18" i="5"/>
  <c r="G30" i="5"/>
  <c r="G40" i="4" s="1"/>
  <c r="F31" i="5"/>
  <c r="F41" i="4" s="1"/>
  <c r="P35" i="5"/>
  <c r="M36" i="5"/>
  <c r="G38" i="5"/>
  <c r="G48" i="4" s="1"/>
  <c r="F39" i="5"/>
  <c r="F49" i="4" s="1"/>
  <c r="T27" i="5"/>
  <c r="L27" i="5"/>
  <c r="L37" i="4"/>
  <c r="S27" i="5"/>
  <c r="K27" i="5"/>
  <c r="R27" i="5"/>
  <c r="O27" i="5"/>
  <c r="N27" i="5"/>
  <c r="HZ17" i="2"/>
  <c r="T28" i="5"/>
  <c r="L28" i="5"/>
  <c r="S28" i="5"/>
  <c r="K28" i="5"/>
  <c r="R28" i="5"/>
  <c r="L38" i="4"/>
  <c r="O28" i="5"/>
  <c r="N28" i="5"/>
  <c r="HZ33" i="2"/>
  <c r="HZ12" i="2"/>
  <c r="HZ20" i="2"/>
  <c r="IA25" i="2"/>
  <c r="HZ28" i="2"/>
  <c r="T31" i="5"/>
  <c r="L31" i="5"/>
  <c r="L41" i="4"/>
  <c r="S31" i="5"/>
  <c r="K31" i="5"/>
  <c r="R31" i="5"/>
  <c r="O31" i="5"/>
  <c r="N31" i="5"/>
  <c r="IA33" i="2"/>
  <c r="HZ36" i="2"/>
  <c r="T39" i="5"/>
  <c r="L39" i="5"/>
  <c r="L49" i="4"/>
  <c r="S39" i="5"/>
  <c r="K39" i="5"/>
  <c r="R39" i="5"/>
  <c r="O39" i="5"/>
  <c r="N39" i="5"/>
  <c r="IA41" i="2"/>
  <c r="L39" i="4"/>
  <c r="O18" i="5"/>
  <c r="Q27" i="5"/>
  <c r="P28" i="5"/>
  <c r="M29" i="5"/>
  <c r="F32" i="5"/>
  <c r="F42" i="4" s="1"/>
  <c r="Q35" i="5"/>
  <c r="P36" i="5"/>
  <c r="M37" i="5"/>
  <c r="G39" i="5"/>
  <c r="G49" i="4" s="1"/>
  <c r="T33" i="5"/>
  <c r="L33" i="5"/>
  <c r="S33" i="5"/>
  <c r="K33" i="5"/>
  <c r="R33" i="5"/>
  <c r="O33" i="5"/>
  <c r="N33" i="5"/>
  <c r="IA12" i="2"/>
  <c r="HZ15" i="2"/>
  <c r="IA20" i="2"/>
  <c r="HZ23" i="2"/>
  <c r="T26" i="5"/>
  <c r="L26" i="5"/>
  <c r="S26" i="5"/>
  <c r="K26" i="5"/>
  <c r="R26" i="5"/>
  <c r="O26" i="5"/>
  <c r="IA28" i="2"/>
  <c r="HZ31" i="2"/>
  <c r="T34" i="5"/>
  <c r="L34" i="5"/>
  <c r="S34" i="5"/>
  <c r="K34" i="5"/>
  <c r="R34" i="5"/>
  <c r="O34" i="5"/>
  <c r="N34" i="5"/>
  <c r="IA36" i="2"/>
  <c r="HZ39" i="2"/>
  <c r="L28" i="4"/>
  <c r="L44" i="4"/>
  <c r="V5" i="5"/>
  <c r="P18" i="5"/>
  <c r="V24" i="5"/>
  <c r="Q28" i="5"/>
  <c r="M30" i="5"/>
  <c r="G32" i="5"/>
  <c r="G42" i="4" s="1"/>
  <c r="Q36" i="5"/>
  <c r="M38" i="5"/>
  <c r="T32" i="5"/>
  <c r="L32" i="5"/>
  <c r="S32" i="5"/>
  <c r="K32" i="5"/>
  <c r="R32" i="5"/>
  <c r="L42" i="4"/>
  <c r="O32" i="5"/>
  <c r="N32" i="5"/>
  <c r="IA27" i="2"/>
  <c r="IA35" i="2"/>
  <c r="T29" i="5"/>
  <c r="L29" i="5"/>
  <c r="S29" i="5"/>
  <c r="K29" i="5"/>
  <c r="R29" i="5"/>
  <c r="O29" i="5"/>
  <c r="N29" i="5"/>
  <c r="IA31" i="2"/>
  <c r="T37" i="5"/>
  <c r="L37" i="5"/>
  <c r="S37" i="5"/>
  <c r="K37" i="5"/>
  <c r="R37" i="5"/>
  <c r="O37" i="5"/>
  <c r="N37" i="5"/>
  <c r="IA39" i="2"/>
  <c r="L51" i="4"/>
  <c r="Q18" i="5"/>
  <c r="Q29" i="5"/>
  <c r="P30" i="5"/>
  <c r="M31" i="5"/>
  <c r="G33" i="5"/>
  <c r="G43" i="4" s="1"/>
  <c r="Q37" i="5"/>
  <c r="P38" i="5"/>
  <c r="M39" i="5"/>
  <c r="P40" i="5"/>
  <c r="AM53" i="5"/>
  <c r="AE53" i="5"/>
  <c r="W53" i="5"/>
  <c r="G53" i="5"/>
  <c r="AR53" i="5"/>
  <c r="AJ53" i="5"/>
  <c r="AB53" i="5"/>
  <c r="O53" i="5"/>
  <c r="T53" i="5"/>
  <c r="L53" i="5"/>
  <c r="AG53" i="5"/>
  <c r="AQ53" i="5"/>
  <c r="AM61" i="5"/>
  <c r="AE61" i="5"/>
  <c r="W61" i="5"/>
  <c r="G61" i="5"/>
  <c r="AS61" i="5"/>
  <c r="AK61" i="5"/>
  <c r="AC61" i="5"/>
  <c r="AR61" i="5"/>
  <c r="AJ61" i="5"/>
  <c r="AB61" i="5"/>
  <c r="Y61" i="5"/>
  <c r="AL61" i="5"/>
  <c r="AM62" i="5"/>
  <c r="AE62" i="5"/>
  <c r="W62" i="5"/>
  <c r="G62" i="5"/>
  <c r="AS62" i="5"/>
  <c r="AK62" i="5"/>
  <c r="AC62" i="5"/>
  <c r="E62" i="5"/>
  <c r="AR62" i="5"/>
  <c r="AJ62" i="5"/>
  <c r="AB62" i="5"/>
  <c r="Z62" i="5"/>
  <c r="AN62" i="5"/>
  <c r="U78" i="5"/>
  <c r="AU78" i="5"/>
  <c r="AV78" i="5" s="1"/>
  <c r="AT97" i="5"/>
  <c r="AL97" i="5"/>
  <c r="AD97" i="5"/>
  <c r="F97" i="5"/>
  <c r="AS97" i="5"/>
  <c r="AK97" i="5"/>
  <c r="AC97" i="5"/>
  <c r="E97" i="5"/>
  <c r="AR97" i="5"/>
  <c r="AJ97" i="5"/>
  <c r="AB97" i="5"/>
  <c r="AQ97" i="5"/>
  <c r="AI97" i="5"/>
  <c r="AA97" i="5"/>
  <c r="AO97" i="5"/>
  <c r="AG97" i="5"/>
  <c r="Y97" i="5"/>
  <c r="I97" i="5"/>
  <c r="Z97" i="5"/>
  <c r="H97" i="5"/>
  <c r="X97" i="5"/>
  <c r="G97" i="5"/>
  <c r="AP97" i="5"/>
  <c r="W97" i="5"/>
  <c r="AN97" i="5"/>
  <c r="AH97" i="5"/>
  <c r="AE97" i="5"/>
  <c r="O42" i="5"/>
  <c r="O43" i="5"/>
  <c r="O44" i="5"/>
  <c r="O45" i="5"/>
  <c r="AM50" i="5"/>
  <c r="AE50" i="5"/>
  <c r="W50" i="5"/>
  <c r="G50" i="5"/>
  <c r="AR50" i="5"/>
  <c r="AJ50" i="5"/>
  <c r="AB50" i="5"/>
  <c r="O50" i="5"/>
  <c r="T50" i="5"/>
  <c r="L50" i="5"/>
  <c r="AG50" i="5"/>
  <c r="AQ50" i="5"/>
  <c r="M53" i="5"/>
  <c r="X53" i="5"/>
  <c r="AH53" i="5"/>
  <c r="AS53" i="5"/>
  <c r="AM58" i="5"/>
  <c r="AE58" i="5"/>
  <c r="W58" i="5"/>
  <c r="G58" i="5"/>
  <c r="AR58" i="5"/>
  <c r="AJ58" i="5"/>
  <c r="AB58" i="5"/>
  <c r="O58" i="5"/>
  <c r="T58" i="5"/>
  <c r="L58" i="5"/>
  <c r="AG58" i="5"/>
  <c r="AQ58" i="5"/>
  <c r="Z61" i="5"/>
  <c r="AN61" i="5"/>
  <c r="AA62" i="5"/>
  <c r="AO62" i="5"/>
  <c r="AT84" i="5"/>
  <c r="AL84" i="5"/>
  <c r="AD84" i="5"/>
  <c r="F84" i="5"/>
  <c r="AS84" i="5"/>
  <c r="AK84" i="5"/>
  <c r="AC84" i="5"/>
  <c r="E84" i="5"/>
  <c r="AR84" i="5"/>
  <c r="AJ84" i="5"/>
  <c r="AB84" i="5"/>
  <c r="AO84" i="5"/>
  <c r="AG84" i="5"/>
  <c r="Y84" i="5"/>
  <c r="I84" i="5"/>
  <c r="AI84" i="5"/>
  <c r="AH84" i="5"/>
  <c r="J84" i="5"/>
  <c r="AF84" i="5"/>
  <c r="H84" i="5"/>
  <c r="AE84" i="5"/>
  <c r="G84" i="5"/>
  <c r="AP84" i="5"/>
  <c r="Z84" i="5"/>
  <c r="AN84" i="5"/>
  <c r="R120" i="5"/>
  <c r="Q120" i="5"/>
  <c r="M120" i="5"/>
  <c r="T120" i="5"/>
  <c r="S120" i="5"/>
  <c r="P120" i="5"/>
  <c r="O120" i="5"/>
  <c r="N120" i="5"/>
  <c r="L120" i="5"/>
  <c r="K120" i="5"/>
  <c r="U122" i="5"/>
  <c r="AU122" i="5"/>
  <c r="AV122" i="5" s="1"/>
  <c r="U123" i="5"/>
  <c r="AU123" i="5"/>
  <c r="AV123" i="5" s="1"/>
  <c r="AS138" i="5"/>
  <c r="AK138" i="5"/>
  <c r="AC138" i="5"/>
  <c r="E138" i="5"/>
  <c r="AR138" i="5"/>
  <c r="AJ138" i="5"/>
  <c r="AB138" i="5"/>
  <c r="AM138" i="5"/>
  <c r="AA138" i="5"/>
  <c r="G138" i="5"/>
  <c r="AL138" i="5"/>
  <c r="Z138" i="5"/>
  <c r="F138" i="5"/>
  <c r="AI138" i="5"/>
  <c r="Y138" i="5"/>
  <c r="AT138" i="5"/>
  <c r="AH138" i="5"/>
  <c r="X138" i="5"/>
  <c r="AP138" i="5"/>
  <c r="AF138" i="5"/>
  <c r="J138" i="5"/>
  <c r="AG138" i="5"/>
  <c r="AE138" i="5"/>
  <c r="AD138" i="5"/>
  <c r="W138" i="5"/>
  <c r="I138" i="5"/>
  <c r="H138" i="5"/>
  <c r="AQ138" i="5"/>
  <c r="AN138" i="5"/>
  <c r="P42" i="5"/>
  <c r="P43" i="5"/>
  <c r="P44" i="5"/>
  <c r="P45" i="5"/>
  <c r="M50" i="5"/>
  <c r="X50" i="5"/>
  <c r="AH50" i="5"/>
  <c r="AS50" i="5"/>
  <c r="N53" i="5"/>
  <c r="Y53" i="5"/>
  <c r="AI53" i="5"/>
  <c r="AT53" i="5"/>
  <c r="AM55" i="5"/>
  <c r="AE55" i="5"/>
  <c r="W55" i="5"/>
  <c r="G55" i="5"/>
  <c r="AR55" i="5"/>
  <c r="AJ55" i="5"/>
  <c r="AB55" i="5"/>
  <c r="O55" i="5"/>
  <c r="T55" i="5"/>
  <c r="L55" i="5"/>
  <c r="AG55" i="5"/>
  <c r="AQ55" i="5"/>
  <c r="M58" i="5"/>
  <c r="X58" i="5"/>
  <c r="AH58" i="5"/>
  <c r="AS58" i="5"/>
  <c r="AA61" i="5"/>
  <c r="AO61" i="5"/>
  <c r="AD62" i="5"/>
  <c r="AP62" i="5"/>
  <c r="AQ84" i="5"/>
  <c r="AM97" i="5"/>
  <c r="AT101" i="5"/>
  <c r="AL101" i="5"/>
  <c r="AD101" i="5"/>
  <c r="F101" i="5"/>
  <c r="AS101" i="5"/>
  <c r="AK101" i="5"/>
  <c r="AC101" i="5"/>
  <c r="E101" i="5"/>
  <c r="AR101" i="5"/>
  <c r="AJ101" i="5"/>
  <c r="AB101" i="5"/>
  <c r="AQ101" i="5"/>
  <c r="AI101" i="5"/>
  <c r="AA101" i="5"/>
  <c r="AO101" i="5"/>
  <c r="AG101" i="5"/>
  <c r="Y101" i="5"/>
  <c r="I101" i="5"/>
  <c r="Z101" i="5"/>
  <c r="H101" i="5"/>
  <c r="X101" i="5"/>
  <c r="G101" i="5"/>
  <c r="AP101" i="5"/>
  <c r="W101" i="5"/>
  <c r="AN101" i="5"/>
  <c r="AH101" i="5"/>
  <c r="AE101" i="5"/>
  <c r="Q42" i="5"/>
  <c r="Q43" i="5"/>
  <c r="Q44" i="5"/>
  <c r="Q45" i="5"/>
  <c r="AM46" i="5"/>
  <c r="AE46" i="5"/>
  <c r="W46" i="5"/>
  <c r="G46" i="5"/>
  <c r="AC46" i="5"/>
  <c r="AL46" i="5"/>
  <c r="N50" i="5"/>
  <c r="Y50" i="5"/>
  <c r="AI50" i="5"/>
  <c r="AT50" i="5"/>
  <c r="AM52" i="5"/>
  <c r="AE52" i="5"/>
  <c r="W52" i="5"/>
  <c r="G52" i="5"/>
  <c r="AR52" i="5"/>
  <c r="AJ52" i="5"/>
  <c r="AB52" i="5"/>
  <c r="O52" i="5"/>
  <c r="T52" i="5"/>
  <c r="L52" i="5"/>
  <c r="AG52" i="5"/>
  <c r="AQ52" i="5"/>
  <c r="E53" i="5"/>
  <c r="P53" i="5"/>
  <c r="Z53" i="5"/>
  <c r="AK53" i="5"/>
  <c r="M55" i="5"/>
  <c r="X55" i="5"/>
  <c r="AH55" i="5"/>
  <c r="AS55" i="5"/>
  <c r="N58" i="5"/>
  <c r="Y58" i="5"/>
  <c r="AI58" i="5"/>
  <c r="AT58" i="5"/>
  <c r="AM60" i="5"/>
  <c r="AE60" i="5"/>
  <c r="W60" i="5"/>
  <c r="G60" i="5"/>
  <c r="AR60" i="5"/>
  <c r="AJ60" i="5"/>
  <c r="AB60" i="5"/>
  <c r="O60" i="5"/>
  <c r="T60" i="5"/>
  <c r="L60" i="5"/>
  <c r="AG60" i="5"/>
  <c r="AQ60" i="5"/>
  <c r="E61" i="5"/>
  <c r="AD61" i="5"/>
  <c r="AP61" i="5"/>
  <c r="F62" i="5"/>
  <c r="AF62" i="5"/>
  <c r="AQ62" i="5"/>
  <c r="O64" i="5"/>
  <c r="M64" i="5"/>
  <c r="T64" i="5"/>
  <c r="L64" i="5"/>
  <c r="AT75" i="5"/>
  <c r="AL75" i="5"/>
  <c r="AD75" i="5"/>
  <c r="F75" i="5"/>
  <c r="AS75" i="5"/>
  <c r="AK75" i="5"/>
  <c r="AC75" i="5"/>
  <c r="E75" i="5"/>
  <c r="AR75" i="5"/>
  <c r="AJ75" i="5"/>
  <c r="AB75" i="5"/>
  <c r="AO75" i="5"/>
  <c r="AG75" i="5"/>
  <c r="Y75" i="5"/>
  <c r="I75" i="5"/>
  <c r="AM75" i="5"/>
  <c r="W75" i="5"/>
  <c r="AI75" i="5"/>
  <c r="AH75" i="5"/>
  <c r="J75" i="5"/>
  <c r="AF75" i="5"/>
  <c r="H75" i="5"/>
  <c r="AQ75" i="5"/>
  <c r="AA75" i="5"/>
  <c r="AN75" i="5"/>
  <c r="AT82" i="5"/>
  <c r="AL82" i="5"/>
  <c r="AD82" i="5"/>
  <c r="F82" i="5"/>
  <c r="AS82" i="5"/>
  <c r="AK82" i="5"/>
  <c r="AC82" i="5"/>
  <c r="E82" i="5"/>
  <c r="AR82" i="5"/>
  <c r="AJ82" i="5"/>
  <c r="AB82" i="5"/>
  <c r="AO82" i="5"/>
  <c r="AG82" i="5"/>
  <c r="Y82" i="5"/>
  <c r="I82" i="5"/>
  <c r="AE82" i="5"/>
  <c r="H82" i="5"/>
  <c r="AQ82" i="5"/>
  <c r="AA82" i="5"/>
  <c r="G82" i="5"/>
  <c r="AP82" i="5"/>
  <c r="Z82" i="5"/>
  <c r="AN82" i="5"/>
  <c r="X82" i="5"/>
  <c r="AI82" i="5"/>
  <c r="AH82" i="5"/>
  <c r="U83" i="5"/>
  <c r="AU83" i="5"/>
  <c r="AV83" i="5" s="1"/>
  <c r="AT90" i="5"/>
  <c r="AL90" i="5"/>
  <c r="AD90" i="5"/>
  <c r="F90" i="5"/>
  <c r="AS90" i="5"/>
  <c r="AK90" i="5"/>
  <c r="AC90" i="5"/>
  <c r="E90" i="5"/>
  <c r="AR90" i="5"/>
  <c r="AJ90" i="5"/>
  <c r="AB90" i="5"/>
  <c r="AQ90" i="5"/>
  <c r="AI90" i="5"/>
  <c r="AA90" i="5"/>
  <c r="AO90" i="5"/>
  <c r="AG90" i="5"/>
  <c r="Y90" i="5"/>
  <c r="I90" i="5"/>
  <c r="AF90" i="5"/>
  <c r="AE90" i="5"/>
  <c r="J90" i="5"/>
  <c r="Z90" i="5"/>
  <c r="H90" i="5"/>
  <c r="X90" i="5"/>
  <c r="G90" i="5"/>
  <c r="AN90" i="5"/>
  <c r="AH90" i="5"/>
  <c r="AT94" i="5"/>
  <c r="AL94" i="5"/>
  <c r="AD94" i="5"/>
  <c r="F94" i="5"/>
  <c r="AS94" i="5"/>
  <c r="AK94" i="5"/>
  <c r="AC94" i="5"/>
  <c r="E94" i="5"/>
  <c r="AR94" i="5"/>
  <c r="AJ94" i="5"/>
  <c r="AB94" i="5"/>
  <c r="AQ94" i="5"/>
  <c r="AI94" i="5"/>
  <c r="AA94" i="5"/>
  <c r="AO94" i="5"/>
  <c r="AG94" i="5"/>
  <c r="Y94" i="5"/>
  <c r="I94" i="5"/>
  <c r="AF94" i="5"/>
  <c r="AE94" i="5"/>
  <c r="J94" i="5"/>
  <c r="Z94" i="5"/>
  <c r="H94" i="5"/>
  <c r="X94" i="5"/>
  <c r="G94" i="5"/>
  <c r="AN94" i="5"/>
  <c r="AH94" i="5"/>
  <c r="J97" i="5"/>
  <c r="AF101" i="5"/>
  <c r="AU105" i="5"/>
  <c r="AV105" i="5" s="1"/>
  <c r="U105" i="5"/>
  <c r="AO138" i="5"/>
  <c r="J5" i="5"/>
  <c r="Z5" i="5"/>
  <c r="AH5" i="5"/>
  <c r="G36" i="3" s="1"/>
  <c r="J6" i="5"/>
  <c r="J16" i="4" s="1"/>
  <c r="Z6" i="5"/>
  <c r="H6" i="5" s="1"/>
  <c r="H16" i="4" s="1"/>
  <c r="AH6" i="5"/>
  <c r="J7" i="5"/>
  <c r="J17" i="4" s="1"/>
  <c r="Z7" i="5"/>
  <c r="H7" i="5" s="1"/>
  <c r="H17" i="4" s="1"/>
  <c r="AH7" i="5"/>
  <c r="Z8" i="5"/>
  <c r="H8" i="5" s="1"/>
  <c r="H18" i="4" s="1"/>
  <c r="AH8" i="5"/>
  <c r="J8" i="5" s="1"/>
  <c r="Z9" i="5"/>
  <c r="H9" i="5" s="1"/>
  <c r="H19" i="4" s="1"/>
  <c r="AH9" i="5"/>
  <c r="J9" i="5" s="1"/>
  <c r="J19" i="4" s="1"/>
  <c r="Z10" i="5"/>
  <c r="H10" i="5" s="1"/>
  <c r="H20" i="4" s="1"/>
  <c r="AH10" i="5"/>
  <c r="J10" i="5" s="1"/>
  <c r="J11" i="5"/>
  <c r="J21" i="4" s="1"/>
  <c r="Z11" i="5"/>
  <c r="H11" i="5" s="1"/>
  <c r="H21" i="4" s="1"/>
  <c r="AH11" i="5"/>
  <c r="Z12" i="5"/>
  <c r="H12" i="5" s="1"/>
  <c r="H22" i="4" s="1"/>
  <c r="AH12" i="5"/>
  <c r="J12" i="5" s="1"/>
  <c r="J22" i="4" s="1"/>
  <c r="J13" i="5"/>
  <c r="J23" i="4" s="1"/>
  <c r="Z13" i="5"/>
  <c r="H13" i="5" s="1"/>
  <c r="H23" i="4" s="1"/>
  <c r="AH13" i="5"/>
  <c r="J14" i="5"/>
  <c r="J24" i="4" s="1"/>
  <c r="Z14" i="5"/>
  <c r="H14" i="5" s="1"/>
  <c r="H24" i="4" s="1"/>
  <c r="AH14" i="5"/>
  <c r="J15" i="5"/>
  <c r="J25" i="4" s="1"/>
  <c r="Z15" i="5"/>
  <c r="H15" i="5" s="1"/>
  <c r="H25" i="4" s="1"/>
  <c r="AH15" i="5"/>
  <c r="Z16" i="5"/>
  <c r="H16" i="5" s="1"/>
  <c r="H26" i="4" s="1"/>
  <c r="AH16" i="5"/>
  <c r="J16" i="5" s="1"/>
  <c r="J26" i="4" s="1"/>
  <c r="Z17" i="5"/>
  <c r="H17" i="5" s="1"/>
  <c r="H27" i="4" s="1"/>
  <c r="AH17" i="5"/>
  <c r="J17" i="5" s="1"/>
  <c r="J27" i="4" s="1"/>
  <c r="Z18" i="5"/>
  <c r="H18" i="5" s="1"/>
  <c r="H28" i="4" s="1"/>
  <c r="AH18" i="5"/>
  <c r="J18" i="5" s="1"/>
  <c r="J28" i="4" s="1"/>
  <c r="J19" i="5"/>
  <c r="J29" i="4" s="1"/>
  <c r="Z19" i="5"/>
  <c r="H19" i="5" s="1"/>
  <c r="H29" i="4" s="1"/>
  <c r="AH19" i="5"/>
  <c r="Z20" i="5"/>
  <c r="H20" i="5" s="1"/>
  <c r="H30" i="4" s="1"/>
  <c r="AH20" i="5"/>
  <c r="J20" i="5" s="1"/>
  <c r="J30" i="4" s="1"/>
  <c r="Z21" i="5"/>
  <c r="H21" i="5" s="1"/>
  <c r="H31" i="4" s="1"/>
  <c r="AH21" i="5"/>
  <c r="J21" i="5" s="1"/>
  <c r="J31" i="4" s="1"/>
  <c r="J22" i="5"/>
  <c r="J32" i="4" s="1"/>
  <c r="Z22" i="5"/>
  <c r="H22" i="5" s="1"/>
  <c r="H32" i="4" s="1"/>
  <c r="AH22" i="5"/>
  <c r="J23" i="5"/>
  <c r="J33" i="4" s="1"/>
  <c r="Z23" i="5"/>
  <c r="H23" i="5" s="1"/>
  <c r="H33" i="4" s="1"/>
  <c r="AH23" i="5"/>
  <c r="Z24" i="5"/>
  <c r="H24" i="5" s="1"/>
  <c r="H34" i="4" s="1"/>
  <c r="AH24" i="5"/>
  <c r="J24" i="5" s="1"/>
  <c r="J34" i="4" s="1"/>
  <c r="Z25" i="5"/>
  <c r="H25" i="5" s="1"/>
  <c r="H35" i="4" s="1"/>
  <c r="AH25" i="5"/>
  <c r="J25" i="5" s="1"/>
  <c r="J35" i="4" s="1"/>
  <c r="Z26" i="5"/>
  <c r="H26" i="5" s="1"/>
  <c r="H36" i="4" s="1"/>
  <c r="AH26" i="5"/>
  <c r="J26" i="5" s="1"/>
  <c r="J36" i="4" s="1"/>
  <c r="J27" i="5"/>
  <c r="J37" i="4" s="1"/>
  <c r="Z27" i="5"/>
  <c r="H27" i="5" s="1"/>
  <c r="H37" i="4" s="1"/>
  <c r="AH27" i="5"/>
  <c r="Z28" i="5"/>
  <c r="H28" i="5" s="1"/>
  <c r="H38" i="4" s="1"/>
  <c r="AH28" i="5"/>
  <c r="J28" i="5" s="1"/>
  <c r="J38" i="4" s="1"/>
  <c r="Z29" i="5"/>
  <c r="H29" i="5" s="1"/>
  <c r="H39" i="4" s="1"/>
  <c r="AH29" i="5"/>
  <c r="J29" i="5" s="1"/>
  <c r="J39" i="4" s="1"/>
  <c r="J30" i="5"/>
  <c r="J40" i="4" s="1"/>
  <c r="Z30" i="5"/>
  <c r="H30" i="5" s="1"/>
  <c r="H40" i="4" s="1"/>
  <c r="AH30" i="5"/>
  <c r="J31" i="5"/>
  <c r="J41" i="4" s="1"/>
  <c r="Z31" i="5"/>
  <c r="H31" i="5" s="1"/>
  <c r="H41" i="4" s="1"/>
  <c r="AH31" i="5"/>
  <c r="Z32" i="5"/>
  <c r="H32" i="5" s="1"/>
  <c r="H42" i="4" s="1"/>
  <c r="AH32" i="5"/>
  <c r="J32" i="5" s="1"/>
  <c r="J42" i="4" s="1"/>
  <c r="Z33" i="5"/>
  <c r="H33" i="5" s="1"/>
  <c r="H43" i="4" s="1"/>
  <c r="AH33" i="5"/>
  <c r="J33" i="5" s="1"/>
  <c r="J43" i="4" s="1"/>
  <c r="Z34" i="5"/>
  <c r="H34" i="5" s="1"/>
  <c r="H44" i="4" s="1"/>
  <c r="AH34" i="5"/>
  <c r="J34" i="5" s="1"/>
  <c r="J44" i="4" s="1"/>
  <c r="J35" i="5"/>
  <c r="J45" i="4" s="1"/>
  <c r="Z35" i="5"/>
  <c r="H35" i="5" s="1"/>
  <c r="H45" i="4" s="1"/>
  <c r="AH35" i="5"/>
  <c r="Z36" i="5"/>
  <c r="H36" i="5" s="1"/>
  <c r="H46" i="4" s="1"/>
  <c r="AH36" i="5"/>
  <c r="J36" i="5" s="1"/>
  <c r="J46" i="4" s="1"/>
  <c r="Z37" i="5"/>
  <c r="H37" i="5" s="1"/>
  <c r="H47" i="4" s="1"/>
  <c r="AH37" i="5"/>
  <c r="J37" i="5" s="1"/>
  <c r="J47" i="4" s="1"/>
  <c r="J38" i="5"/>
  <c r="J48" i="4" s="1"/>
  <c r="Z38" i="5"/>
  <c r="H38" i="5" s="1"/>
  <c r="H48" i="4" s="1"/>
  <c r="AH38" i="5"/>
  <c r="J39" i="5"/>
  <c r="J49" i="4" s="1"/>
  <c r="Z39" i="5"/>
  <c r="H39" i="5" s="1"/>
  <c r="H49" i="4" s="1"/>
  <c r="AH39" i="5"/>
  <c r="Z40" i="5"/>
  <c r="H40" i="5" s="1"/>
  <c r="H50" i="4" s="1"/>
  <c r="AH40" i="5"/>
  <c r="J40" i="5" s="1"/>
  <c r="J50" i="4" s="1"/>
  <c r="Z41" i="5"/>
  <c r="H41" i="5" s="1"/>
  <c r="H51" i="4" s="1"/>
  <c r="AH41" i="5"/>
  <c r="J41" i="5" s="1"/>
  <c r="J51" i="4" s="1"/>
  <c r="J42" i="5"/>
  <c r="R42" i="5"/>
  <c r="Z42" i="5"/>
  <c r="AH42" i="5"/>
  <c r="J43" i="5"/>
  <c r="R43" i="5"/>
  <c r="Z43" i="5"/>
  <c r="AH43" i="5"/>
  <c r="J44" i="5"/>
  <c r="R44" i="5"/>
  <c r="Z44" i="5"/>
  <c r="AH44" i="5"/>
  <c r="J45" i="5"/>
  <c r="R45" i="5"/>
  <c r="Z45" i="5"/>
  <c r="AH45" i="5"/>
  <c r="L46" i="5"/>
  <c r="U46" i="5"/>
  <c r="AD46" i="5"/>
  <c r="AN46" i="5"/>
  <c r="J47" i="5"/>
  <c r="S47" i="5"/>
  <c r="AB47" i="5"/>
  <c r="AK47" i="5"/>
  <c r="H48" i="5"/>
  <c r="R48" i="5"/>
  <c r="AC48" i="5"/>
  <c r="AN48" i="5"/>
  <c r="AM49" i="5"/>
  <c r="AE49" i="5"/>
  <c r="W49" i="5"/>
  <c r="G49" i="5"/>
  <c r="AR49" i="5"/>
  <c r="AJ49" i="5"/>
  <c r="AB49" i="5"/>
  <c r="O49" i="5"/>
  <c r="T49" i="5"/>
  <c r="L49" i="5"/>
  <c r="AG49" i="5"/>
  <c r="AQ49" i="5"/>
  <c r="E50" i="5"/>
  <c r="P50" i="5"/>
  <c r="Z50" i="5"/>
  <c r="AK50" i="5"/>
  <c r="I51" i="5"/>
  <c r="AD51" i="5"/>
  <c r="AO51" i="5"/>
  <c r="M52" i="5"/>
  <c r="X52" i="5"/>
  <c r="AH52" i="5"/>
  <c r="AS52" i="5"/>
  <c r="F53" i="5"/>
  <c r="Q53" i="5"/>
  <c r="AA53" i="5"/>
  <c r="AL53" i="5"/>
  <c r="J54" i="5"/>
  <c r="AF54" i="5"/>
  <c r="N55" i="5"/>
  <c r="Y55" i="5"/>
  <c r="AI55" i="5"/>
  <c r="AT55" i="5"/>
  <c r="H56" i="5"/>
  <c r="R56" i="5"/>
  <c r="AC56" i="5"/>
  <c r="AN56" i="5"/>
  <c r="AM57" i="5"/>
  <c r="AE57" i="5"/>
  <c r="W57" i="5"/>
  <c r="G57" i="5"/>
  <c r="AR57" i="5"/>
  <c r="AJ57" i="5"/>
  <c r="AB57" i="5"/>
  <c r="O57" i="5"/>
  <c r="T57" i="5"/>
  <c r="L57" i="5"/>
  <c r="AG57" i="5"/>
  <c r="AQ57" i="5"/>
  <c r="E58" i="5"/>
  <c r="P58" i="5"/>
  <c r="Z58" i="5"/>
  <c r="AK58" i="5"/>
  <c r="I59" i="5"/>
  <c r="AD59" i="5"/>
  <c r="AO59" i="5"/>
  <c r="M60" i="5"/>
  <c r="X60" i="5"/>
  <c r="AH60" i="5"/>
  <c r="AS60" i="5"/>
  <c r="F61" i="5"/>
  <c r="R61" i="5"/>
  <c r="AF61" i="5"/>
  <c r="AQ61" i="5"/>
  <c r="H62" i="5"/>
  <c r="AG62" i="5"/>
  <c r="AT62" i="5"/>
  <c r="I63" i="5"/>
  <c r="O63" i="5"/>
  <c r="M63" i="5"/>
  <c r="T63" i="5"/>
  <c r="L63" i="5"/>
  <c r="AH63" i="5"/>
  <c r="J64" i="5"/>
  <c r="X64" i="5"/>
  <c r="AI64" i="5"/>
  <c r="U74" i="5"/>
  <c r="AU74" i="5"/>
  <c r="AV74" i="5" s="1"/>
  <c r="AP75" i="5"/>
  <c r="X79" i="5"/>
  <c r="AM82" i="5"/>
  <c r="AM90" i="5"/>
  <c r="AM94" i="5"/>
  <c r="AM101" i="5"/>
  <c r="Q110" i="5"/>
  <c r="P110" i="5"/>
  <c r="O110" i="5"/>
  <c r="M110" i="5"/>
  <c r="S110" i="5"/>
  <c r="R110" i="5"/>
  <c r="N110" i="5"/>
  <c r="L110" i="5"/>
  <c r="T110" i="5"/>
  <c r="K110" i="5"/>
  <c r="K42" i="5"/>
  <c r="S42" i="5"/>
  <c r="K43" i="5"/>
  <c r="S43" i="5"/>
  <c r="K44" i="5"/>
  <c r="S44" i="5"/>
  <c r="K45" i="5"/>
  <c r="S45" i="5"/>
  <c r="AF46" i="5"/>
  <c r="AO46" i="5"/>
  <c r="AM47" i="5"/>
  <c r="AE47" i="5"/>
  <c r="W47" i="5"/>
  <c r="G47" i="5"/>
  <c r="K47" i="5"/>
  <c r="T47" i="5"/>
  <c r="AC47" i="5"/>
  <c r="AL47" i="5"/>
  <c r="I48" i="5"/>
  <c r="AD48" i="5"/>
  <c r="F50" i="5"/>
  <c r="Q50" i="5"/>
  <c r="AA50" i="5"/>
  <c r="AL50" i="5"/>
  <c r="J51" i="5"/>
  <c r="AF51" i="5"/>
  <c r="N52" i="5"/>
  <c r="Y52" i="5"/>
  <c r="AI52" i="5"/>
  <c r="AT52" i="5"/>
  <c r="H53" i="5"/>
  <c r="R53" i="5"/>
  <c r="AC53" i="5"/>
  <c r="AN53" i="5"/>
  <c r="AM54" i="5"/>
  <c r="AE54" i="5"/>
  <c r="W54" i="5"/>
  <c r="G54" i="5"/>
  <c r="AR54" i="5"/>
  <c r="AJ54" i="5"/>
  <c r="AB54" i="5"/>
  <c r="O54" i="5"/>
  <c r="T54" i="5"/>
  <c r="L54" i="5"/>
  <c r="AG54" i="5"/>
  <c r="AQ54" i="5"/>
  <c r="E55" i="5"/>
  <c r="P55" i="5"/>
  <c r="Z55" i="5"/>
  <c r="AK55" i="5"/>
  <c r="I56" i="5"/>
  <c r="AD56" i="5"/>
  <c r="F58" i="5"/>
  <c r="Q58" i="5"/>
  <c r="AA58" i="5"/>
  <c r="AL58" i="5"/>
  <c r="J59" i="5"/>
  <c r="AF59" i="5"/>
  <c r="N60" i="5"/>
  <c r="Y60" i="5"/>
  <c r="AI60" i="5"/>
  <c r="AT60" i="5"/>
  <c r="H61" i="5"/>
  <c r="AG61" i="5"/>
  <c r="AT61" i="5"/>
  <c r="I62" i="5"/>
  <c r="O62" i="5"/>
  <c r="M62" i="5"/>
  <c r="T62" i="5"/>
  <c r="L62" i="5"/>
  <c r="AH62" i="5"/>
  <c r="J63" i="5"/>
  <c r="X63" i="5"/>
  <c r="AI63" i="5"/>
  <c r="K64" i="5"/>
  <c r="Y64" i="5"/>
  <c r="Z79" i="5"/>
  <c r="W84" i="5"/>
  <c r="AP90" i="5"/>
  <c r="AP94" i="5"/>
  <c r="AT98" i="5"/>
  <c r="AL98" i="5"/>
  <c r="AD98" i="5"/>
  <c r="F98" i="5"/>
  <c r="AS98" i="5"/>
  <c r="AK98" i="5"/>
  <c r="AC98" i="5"/>
  <c r="E98" i="5"/>
  <c r="AR98" i="5"/>
  <c r="AJ98" i="5"/>
  <c r="AB98" i="5"/>
  <c r="AQ98" i="5"/>
  <c r="AI98" i="5"/>
  <c r="AA98" i="5"/>
  <c r="AO98" i="5"/>
  <c r="AG98" i="5"/>
  <c r="Y98" i="5"/>
  <c r="I98" i="5"/>
  <c r="AF98" i="5"/>
  <c r="AE98" i="5"/>
  <c r="J98" i="5"/>
  <c r="Z98" i="5"/>
  <c r="H98" i="5"/>
  <c r="X98" i="5"/>
  <c r="G98" i="5"/>
  <c r="AN98" i="5"/>
  <c r="AH98" i="5"/>
  <c r="J101" i="5"/>
  <c r="AU111" i="5"/>
  <c r="AV111" i="5" s="1"/>
  <c r="U111" i="5"/>
  <c r="L42" i="5"/>
  <c r="T42" i="5"/>
  <c r="L43" i="5"/>
  <c r="T43" i="5"/>
  <c r="L44" i="5"/>
  <c r="T44" i="5"/>
  <c r="L45" i="5"/>
  <c r="T45" i="5"/>
  <c r="E46" i="5"/>
  <c r="X46" i="5"/>
  <c r="AG46" i="5"/>
  <c r="AP46" i="5"/>
  <c r="H50" i="5"/>
  <c r="R50" i="5"/>
  <c r="AC50" i="5"/>
  <c r="AN50" i="5"/>
  <c r="AM51" i="5"/>
  <c r="AE51" i="5"/>
  <c r="W51" i="5"/>
  <c r="G51" i="5"/>
  <c r="AR51" i="5"/>
  <c r="AJ51" i="5"/>
  <c r="AB51" i="5"/>
  <c r="O51" i="5"/>
  <c r="T51" i="5"/>
  <c r="L51" i="5"/>
  <c r="AG51" i="5"/>
  <c r="AQ51" i="5"/>
  <c r="E52" i="5"/>
  <c r="P52" i="5"/>
  <c r="Z52" i="5"/>
  <c r="AK52" i="5"/>
  <c r="I53" i="5"/>
  <c r="S53" i="5"/>
  <c r="AD53" i="5"/>
  <c r="AO53" i="5"/>
  <c r="F55" i="5"/>
  <c r="Q55" i="5"/>
  <c r="AA55" i="5"/>
  <c r="AL55" i="5"/>
  <c r="H58" i="5"/>
  <c r="R58" i="5"/>
  <c r="AC58" i="5"/>
  <c r="AN58" i="5"/>
  <c r="AM59" i="5"/>
  <c r="AE59" i="5"/>
  <c r="W59" i="5"/>
  <c r="G59" i="5"/>
  <c r="AR59" i="5"/>
  <c r="AJ59" i="5"/>
  <c r="AB59" i="5"/>
  <c r="O59" i="5"/>
  <c r="T59" i="5"/>
  <c r="L59" i="5"/>
  <c r="AG59" i="5"/>
  <c r="AQ59" i="5"/>
  <c r="E60" i="5"/>
  <c r="P60" i="5"/>
  <c r="Z60" i="5"/>
  <c r="AK60" i="5"/>
  <c r="I61" i="5"/>
  <c r="O61" i="5"/>
  <c r="M61" i="5"/>
  <c r="T61" i="5"/>
  <c r="L61" i="5"/>
  <c r="AH61" i="5"/>
  <c r="J62" i="5"/>
  <c r="X62" i="5"/>
  <c r="AI62" i="5"/>
  <c r="Y63" i="5"/>
  <c r="AM64" i="5"/>
  <c r="AE64" i="5"/>
  <c r="W64" i="5"/>
  <c r="G64" i="5"/>
  <c r="AT64" i="5"/>
  <c r="AS64" i="5"/>
  <c r="AK64" i="5"/>
  <c r="AC64" i="5"/>
  <c r="E64" i="5"/>
  <c r="AR64" i="5"/>
  <c r="AJ64" i="5"/>
  <c r="AB64" i="5"/>
  <c r="AP64" i="5"/>
  <c r="N64" i="5"/>
  <c r="Z64" i="5"/>
  <c r="AN64" i="5"/>
  <c r="G75" i="5"/>
  <c r="J82" i="5"/>
  <c r="X84" i="5"/>
  <c r="AT89" i="5"/>
  <c r="AL89" i="5"/>
  <c r="AD89" i="5"/>
  <c r="F89" i="5"/>
  <c r="AS89" i="5"/>
  <c r="AK89" i="5"/>
  <c r="AC89" i="5"/>
  <c r="E89" i="5"/>
  <c r="AR89" i="5"/>
  <c r="AJ89" i="5"/>
  <c r="AB89" i="5"/>
  <c r="AQ89" i="5"/>
  <c r="AI89" i="5"/>
  <c r="AA89" i="5"/>
  <c r="AO89" i="5"/>
  <c r="AG89" i="5"/>
  <c r="Y89" i="5"/>
  <c r="I89" i="5"/>
  <c r="Z89" i="5"/>
  <c r="H89" i="5"/>
  <c r="X89" i="5"/>
  <c r="G89" i="5"/>
  <c r="AP89" i="5"/>
  <c r="W89" i="5"/>
  <c r="AN89" i="5"/>
  <c r="AH89" i="5"/>
  <c r="AE89" i="5"/>
  <c r="AT93" i="5"/>
  <c r="AL93" i="5"/>
  <c r="AD93" i="5"/>
  <c r="F93" i="5"/>
  <c r="AS93" i="5"/>
  <c r="AK93" i="5"/>
  <c r="AC93" i="5"/>
  <c r="E93" i="5"/>
  <c r="AR93" i="5"/>
  <c r="AJ93" i="5"/>
  <c r="AB93" i="5"/>
  <c r="AQ93" i="5"/>
  <c r="AI93" i="5"/>
  <c r="AA93" i="5"/>
  <c r="AO93" i="5"/>
  <c r="AG93" i="5"/>
  <c r="Y93" i="5"/>
  <c r="I93" i="5"/>
  <c r="Z93" i="5"/>
  <c r="H93" i="5"/>
  <c r="X93" i="5"/>
  <c r="G93" i="5"/>
  <c r="AP93" i="5"/>
  <c r="W93" i="5"/>
  <c r="AN93" i="5"/>
  <c r="AH93" i="5"/>
  <c r="AE93" i="5"/>
  <c r="AM98" i="5"/>
  <c r="AO104" i="5"/>
  <c r="AG104" i="5"/>
  <c r="Y104" i="5"/>
  <c r="I104" i="5"/>
  <c r="AN104" i="5"/>
  <c r="AF104" i="5"/>
  <c r="X104" i="5"/>
  <c r="H104" i="5"/>
  <c r="AM104" i="5"/>
  <c r="AE104" i="5"/>
  <c r="W104" i="5"/>
  <c r="G104" i="5"/>
  <c r="AS104" i="5"/>
  <c r="AK104" i="5"/>
  <c r="AC104" i="5"/>
  <c r="E104" i="5"/>
  <c r="AT104" i="5"/>
  <c r="AD104" i="5"/>
  <c r="AR104" i="5"/>
  <c r="AB104" i="5"/>
  <c r="AQ104" i="5"/>
  <c r="AA104" i="5"/>
  <c r="AP104" i="5"/>
  <c r="Z104" i="5"/>
  <c r="J104" i="5"/>
  <c r="AJ104" i="5"/>
  <c r="AH104" i="5"/>
  <c r="AO105" i="5"/>
  <c r="AG105" i="5"/>
  <c r="Y105" i="5"/>
  <c r="I105" i="5"/>
  <c r="AN105" i="5"/>
  <c r="AF105" i="5"/>
  <c r="X105" i="5"/>
  <c r="H105" i="5"/>
  <c r="AM105" i="5"/>
  <c r="AE105" i="5"/>
  <c r="W105" i="5"/>
  <c r="G105" i="5"/>
  <c r="AS105" i="5"/>
  <c r="AK105" i="5"/>
  <c r="AC105" i="5"/>
  <c r="E105" i="5"/>
  <c r="AR105" i="5"/>
  <c r="AB105" i="5"/>
  <c r="AQ105" i="5"/>
  <c r="AA105" i="5"/>
  <c r="AP105" i="5"/>
  <c r="Z105" i="5"/>
  <c r="J105" i="5"/>
  <c r="AL105" i="5"/>
  <c r="F105" i="5"/>
  <c r="AI105" i="5"/>
  <c r="AT105" i="5"/>
  <c r="AJ105" i="5"/>
  <c r="AD105" i="5"/>
  <c r="F46" i="5"/>
  <c r="Y46" i="5"/>
  <c r="AH46" i="5"/>
  <c r="AQ46" i="5"/>
  <c r="AF47" i="5"/>
  <c r="AO47" i="5"/>
  <c r="AM48" i="5"/>
  <c r="AE48" i="5"/>
  <c r="W48" i="5"/>
  <c r="G48" i="5"/>
  <c r="AR48" i="5"/>
  <c r="AJ48" i="5"/>
  <c r="AB48" i="5"/>
  <c r="O48" i="5"/>
  <c r="T48" i="5"/>
  <c r="L48" i="5"/>
  <c r="AG48" i="5"/>
  <c r="AQ48" i="5"/>
  <c r="I50" i="5"/>
  <c r="S50" i="5"/>
  <c r="AD50" i="5"/>
  <c r="AO50" i="5"/>
  <c r="M51" i="5"/>
  <c r="X51" i="5"/>
  <c r="AH51" i="5"/>
  <c r="AS51" i="5"/>
  <c r="F52" i="5"/>
  <c r="Q52" i="5"/>
  <c r="AA52" i="5"/>
  <c r="AL52" i="5"/>
  <c r="J53" i="5"/>
  <c r="AF53" i="5"/>
  <c r="AP53" i="5"/>
  <c r="N54" i="5"/>
  <c r="Y54" i="5"/>
  <c r="AI54" i="5"/>
  <c r="AT54" i="5"/>
  <c r="H55" i="5"/>
  <c r="R55" i="5"/>
  <c r="AC55" i="5"/>
  <c r="AN55" i="5"/>
  <c r="AM56" i="5"/>
  <c r="AE56" i="5"/>
  <c r="W56" i="5"/>
  <c r="G56" i="5"/>
  <c r="AR56" i="5"/>
  <c r="AJ56" i="5"/>
  <c r="AB56" i="5"/>
  <c r="O56" i="5"/>
  <c r="T56" i="5"/>
  <c r="L56" i="5"/>
  <c r="AG56" i="5"/>
  <c r="AQ56" i="5"/>
  <c r="I58" i="5"/>
  <c r="S58" i="5"/>
  <c r="AD58" i="5"/>
  <c r="AO58" i="5"/>
  <c r="M59" i="5"/>
  <c r="X59" i="5"/>
  <c r="AH59" i="5"/>
  <c r="AS59" i="5"/>
  <c r="F60" i="5"/>
  <c r="Q60" i="5"/>
  <c r="AA60" i="5"/>
  <c r="AL60" i="5"/>
  <c r="J61" i="5"/>
  <c r="X61" i="5"/>
  <c r="AI61" i="5"/>
  <c r="Y62" i="5"/>
  <c r="AL62" i="5"/>
  <c r="AM63" i="5"/>
  <c r="AE63" i="5"/>
  <c r="W63" i="5"/>
  <c r="G63" i="5"/>
  <c r="AS63" i="5"/>
  <c r="AK63" i="5"/>
  <c r="AC63" i="5"/>
  <c r="E63" i="5"/>
  <c r="AR63" i="5"/>
  <c r="AJ63" i="5"/>
  <c r="AB63" i="5"/>
  <c r="Z63" i="5"/>
  <c r="AN63" i="5"/>
  <c r="P64" i="5"/>
  <c r="AA64" i="5"/>
  <c r="AO64" i="5"/>
  <c r="AT79" i="5"/>
  <c r="AL79" i="5"/>
  <c r="AD79" i="5"/>
  <c r="F79" i="5"/>
  <c r="AS79" i="5"/>
  <c r="AK79" i="5"/>
  <c r="AC79" i="5"/>
  <c r="E79" i="5"/>
  <c r="AR79" i="5"/>
  <c r="AJ79" i="5"/>
  <c r="AB79" i="5"/>
  <c r="AO79" i="5"/>
  <c r="AG79" i="5"/>
  <c r="Y79" i="5"/>
  <c r="I79" i="5"/>
  <c r="AM79" i="5"/>
  <c r="W79" i="5"/>
  <c r="AI79" i="5"/>
  <c r="AH79" i="5"/>
  <c r="J79" i="5"/>
  <c r="AF79" i="5"/>
  <c r="H79" i="5"/>
  <c r="AQ79" i="5"/>
  <c r="AA79" i="5"/>
  <c r="AN79" i="5"/>
  <c r="AA84" i="5"/>
  <c r="AF89" i="5"/>
  <c r="AT102" i="5"/>
  <c r="AL102" i="5"/>
  <c r="AD102" i="5"/>
  <c r="F102" i="5"/>
  <c r="AS102" i="5"/>
  <c r="AK102" i="5"/>
  <c r="AC102" i="5"/>
  <c r="E102" i="5"/>
  <c r="AR102" i="5"/>
  <c r="AJ102" i="5"/>
  <c r="AB102" i="5"/>
  <c r="AQ102" i="5"/>
  <c r="AI102" i="5"/>
  <c r="AA102" i="5"/>
  <c r="AO102" i="5"/>
  <c r="AG102" i="5"/>
  <c r="Y102" i="5"/>
  <c r="I102" i="5"/>
  <c r="AF102" i="5"/>
  <c r="AE102" i="5"/>
  <c r="J102" i="5"/>
  <c r="Z102" i="5"/>
  <c r="H102" i="5"/>
  <c r="X102" i="5"/>
  <c r="G102" i="5"/>
  <c r="AN102" i="5"/>
  <c r="AH102" i="5"/>
  <c r="J65" i="5"/>
  <c r="R65" i="5"/>
  <c r="Z65" i="5"/>
  <c r="AH65" i="5"/>
  <c r="AP65" i="5"/>
  <c r="J66" i="5"/>
  <c r="Z66" i="5"/>
  <c r="AH66" i="5"/>
  <c r="AP66" i="5"/>
  <c r="J67" i="5"/>
  <c r="Z67" i="5"/>
  <c r="AH67" i="5"/>
  <c r="AP67" i="5"/>
  <c r="J68" i="5"/>
  <c r="Z68" i="5"/>
  <c r="AH68" i="5"/>
  <c r="AP68" i="5"/>
  <c r="J69" i="5"/>
  <c r="Z69" i="5"/>
  <c r="AH69" i="5"/>
  <c r="AP69" i="5"/>
  <c r="J70" i="5"/>
  <c r="Z70" i="5"/>
  <c r="AH70" i="5"/>
  <c r="AP70" i="5"/>
  <c r="AT71" i="5"/>
  <c r="AL71" i="5"/>
  <c r="AR71" i="5"/>
  <c r="AJ71" i="5"/>
  <c r="J71" i="5"/>
  <c r="Z71" i="5"/>
  <c r="AH71" i="5"/>
  <c r="AS71" i="5"/>
  <c r="AT74" i="5"/>
  <c r="AL74" i="5"/>
  <c r="AD74" i="5"/>
  <c r="F74" i="5"/>
  <c r="AS74" i="5"/>
  <c r="AK74" i="5"/>
  <c r="AC74" i="5"/>
  <c r="E74" i="5"/>
  <c r="AR74" i="5"/>
  <c r="AJ74" i="5"/>
  <c r="AB74" i="5"/>
  <c r="AO74" i="5"/>
  <c r="AG74" i="5"/>
  <c r="Y74" i="5"/>
  <c r="I74" i="5"/>
  <c r="X74" i="5"/>
  <c r="AN74" i="5"/>
  <c r="AF76" i="5"/>
  <c r="AT78" i="5"/>
  <c r="AL78" i="5"/>
  <c r="AD78" i="5"/>
  <c r="F78" i="5"/>
  <c r="AS78" i="5"/>
  <c r="AK78" i="5"/>
  <c r="AC78" i="5"/>
  <c r="E78" i="5"/>
  <c r="AR78" i="5"/>
  <c r="AJ78" i="5"/>
  <c r="AB78" i="5"/>
  <c r="AO78" i="5"/>
  <c r="AG78" i="5"/>
  <c r="Y78" i="5"/>
  <c r="I78" i="5"/>
  <c r="X78" i="5"/>
  <c r="AN78" i="5"/>
  <c r="AT83" i="5"/>
  <c r="AL83" i="5"/>
  <c r="AD83" i="5"/>
  <c r="F83" i="5"/>
  <c r="AS83" i="5"/>
  <c r="AK83" i="5"/>
  <c r="AC83" i="5"/>
  <c r="E83" i="5"/>
  <c r="AR83" i="5"/>
  <c r="AJ83" i="5"/>
  <c r="AB83" i="5"/>
  <c r="AO83" i="5"/>
  <c r="AG83" i="5"/>
  <c r="Y83" i="5"/>
  <c r="I83" i="5"/>
  <c r="W83" i="5"/>
  <c r="AM83" i="5"/>
  <c r="AE88" i="5"/>
  <c r="AE92" i="5"/>
  <c r="AO113" i="5"/>
  <c r="AG113" i="5"/>
  <c r="Y113" i="5"/>
  <c r="I113" i="5"/>
  <c r="AN113" i="5"/>
  <c r="AF113" i="5"/>
  <c r="X113" i="5"/>
  <c r="H113" i="5"/>
  <c r="AM113" i="5"/>
  <c r="AE113" i="5"/>
  <c r="W113" i="5"/>
  <c r="G113" i="5"/>
  <c r="AS113" i="5"/>
  <c r="AK113" i="5"/>
  <c r="AC113" i="5"/>
  <c r="E113" i="5"/>
  <c r="AR113" i="5"/>
  <c r="AB113" i="5"/>
  <c r="AQ113" i="5"/>
  <c r="AA113" i="5"/>
  <c r="AP113" i="5"/>
  <c r="Z113" i="5"/>
  <c r="J113" i="5"/>
  <c r="AL113" i="5"/>
  <c r="F113" i="5"/>
  <c r="AI113" i="5"/>
  <c r="AH113" i="5"/>
  <c r="R119" i="5"/>
  <c r="M119" i="5"/>
  <c r="T119" i="5"/>
  <c r="S119" i="5"/>
  <c r="Q119" i="5"/>
  <c r="P119" i="5"/>
  <c r="O119" i="5"/>
  <c r="N119" i="5"/>
  <c r="L119" i="5"/>
  <c r="L65" i="5"/>
  <c r="T65" i="5"/>
  <c r="AB65" i="5"/>
  <c r="AJ65" i="5"/>
  <c r="AR65" i="5"/>
  <c r="L66" i="5"/>
  <c r="T66" i="5"/>
  <c r="AB66" i="5"/>
  <c r="AJ66" i="5"/>
  <c r="AR66" i="5"/>
  <c r="L67" i="5"/>
  <c r="T67" i="5"/>
  <c r="AB67" i="5"/>
  <c r="AJ67" i="5"/>
  <c r="AR67" i="5"/>
  <c r="L68" i="5"/>
  <c r="T68" i="5"/>
  <c r="AB68" i="5"/>
  <c r="AJ68" i="5"/>
  <c r="AR68" i="5"/>
  <c r="L69" i="5"/>
  <c r="T69" i="5"/>
  <c r="AB69" i="5"/>
  <c r="AJ69" i="5"/>
  <c r="AR69" i="5"/>
  <c r="L70" i="5"/>
  <c r="T70" i="5"/>
  <c r="AB70" i="5"/>
  <c r="AJ70" i="5"/>
  <c r="AR70" i="5"/>
  <c r="L71" i="5"/>
  <c r="T71" i="5"/>
  <c r="AB71" i="5"/>
  <c r="AK71" i="5"/>
  <c r="AI72" i="5"/>
  <c r="AT73" i="5"/>
  <c r="AL73" i="5"/>
  <c r="AD73" i="5"/>
  <c r="F73" i="5"/>
  <c r="AS73" i="5"/>
  <c r="AK73" i="5"/>
  <c r="AC73" i="5"/>
  <c r="E73" i="5"/>
  <c r="AR73" i="5"/>
  <c r="AJ73" i="5"/>
  <c r="AB73" i="5"/>
  <c r="AO73" i="5"/>
  <c r="AG73" i="5"/>
  <c r="Y73" i="5"/>
  <c r="I73" i="5"/>
  <c r="X73" i="5"/>
  <c r="AN73" i="5"/>
  <c r="AA74" i="5"/>
  <c r="AQ74" i="5"/>
  <c r="AI76" i="5"/>
  <c r="AT77" i="5"/>
  <c r="AL77" i="5"/>
  <c r="AD77" i="5"/>
  <c r="F77" i="5"/>
  <c r="AS77" i="5"/>
  <c r="AK77" i="5"/>
  <c r="AC77" i="5"/>
  <c r="E77" i="5"/>
  <c r="AR77" i="5"/>
  <c r="AJ77" i="5"/>
  <c r="AB77" i="5"/>
  <c r="AO77" i="5"/>
  <c r="AG77" i="5"/>
  <c r="Y77" i="5"/>
  <c r="I77" i="5"/>
  <c r="X77" i="5"/>
  <c r="AN77" i="5"/>
  <c r="AA78" i="5"/>
  <c r="AQ78" i="5"/>
  <c r="AI80" i="5"/>
  <c r="AT81" i="5"/>
  <c r="AL81" i="5"/>
  <c r="AD81" i="5"/>
  <c r="F81" i="5"/>
  <c r="AS81" i="5"/>
  <c r="AK81" i="5"/>
  <c r="AC81" i="5"/>
  <c r="E81" i="5"/>
  <c r="AR81" i="5"/>
  <c r="AJ81" i="5"/>
  <c r="AB81" i="5"/>
  <c r="AO81" i="5"/>
  <c r="AG81" i="5"/>
  <c r="Y81" i="5"/>
  <c r="I81" i="5"/>
  <c r="W81" i="5"/>
  <c r="AM81" i="5"/>
  <c r="Z83" i="5"/>
  <c r="AP83" i="5"/>
  <c r="AT87" i="5"/>
  <c r="AL87" i="5"/>
  <c r="AD87" i="5"/>
  <c r="F87" i="5"/>
  <c r="AS87" i="5"/>
  <c r="AK87" i="5"/>
  <c r="AC87" i="5"/>
  <c r="E87" i="5"/>
  <c r="AR87" i="5"/>
  <c r="AJ87" i="5"/>
  <c r="AB87" i="5"/>
  <c r="AO87" i="5"/>
  <c r="AG87" i="5"/>
  <c r="Y87" i="5"/>
  <c r="I87" i="5"/>
  <c r="AH87" i="5"/>
  <c r="R104" i="5"/>
  <c r="AT113" i="5"/>
  <c r="M135" i="5"/>
  <c r="T135" i="5"/>
  <c r="L135" i="5"/>
  <c r="P135" i="5"/>
  <c r="O135" i="5"/>
  <c r="N135" i="5"/>
  <c r="K135" i="5"/>
  <c r="S135" i="5"/>
  <c r="Q135" i="5"/>
  <c r="R135" i="5"/>
  <c r="AS136" i="5"/>
  <c r="AK136" i="5"/>
  <c r="AC136" i="5"/>
  <c r="E136" i="5"/>
  <c r="AR136" i="5"/>
  <c r="AJ136" i="5"/>
  <c r="AB136" i="5"/>
  <c r="AO136" i="5"/>
  <c r="AE136" i="5"/>
  <c r="I136" i="5"/>
  <c r="AN136" i="5"/>
  <c r="AD136" i="5"/>
  <c r="H136" i="5"/>
  <c r="AM136" i="5"/>
  <c r="AA136" i="5"/>
  <c r="G136" i="5"/>
  <c r="AL136" i="5"/>
  <c r="Z136" i="5"/>
  <c r="F136" i="5"/>
  <c r="AT136" i="5"/>
  <c r="AH136" i="5"/>
  <c r="X136" i="5"/>
  <c r="AQ136" i="5"/>
  <c r="AP136" i="5"/>
  <c r="AI136" i="5"/>
  <c r="J136" i="5"/>
  <c r="AG136" i="5"/>
  <c r="AF136" i="5"/>
  <c r="E65" i="5"/>
  <c r="M65" i="5"/>
  <c r="AC65" i="5"/>
  <c r="AK65" i="5"/>
  <c r="AS65" i="5"/>
  <c r="E66" i="5"/>
  <c r="M66" i="5"/>
  <c r="AC66" i="5"/>
  <c r="AK66" i="5"/>
  <c r="AS66" i="5"/>
  <c r="E67" i="5"/>
  <c r="M67" i="5"/>
  <c r="AC67" i="5"/>
  <c r="AK67" i="5"/>
  <c r="AS67" i="5"/>
  <c r="E68" i="5"/>
  <c r="M68" i="5"/>
  <c r="AC68" i="5"/>
  <c r="AK68" i="5"/>
  <c r="AS68" i="5"/>
  <c r="E69" i="5"/>
  <c r="M69" i="5"/>
  <c r="AC69" i="5"/>
  <c r="AK69" i="5"/>
  <c r="AS69" i="5"/>
  <c r="E70" i="5"/>
  <c r="M70" i="5"/>
  <c r="AC70" i="5"/>
  <c r="AK70" i="5"/>
  <c r="AS70" i="5"/>
  <c r="E71" i="5"/>
  <c r="M71" i="5"/>
  <c r="AC71" i="5"/>
  <c r="AM71" i="5"/>
  <c r="W72" i="5"/>
  <c r="G74" i="5"/>
  <c r="AE74" i="5"/>
  <c r="W76" i="5"/>
  <c r="G78" i="5"/>
  <c r="AE78" i="5"/>
  <c r="W80" i="5"/>
  <c r="G83" i="5"/>
  <c r="AA83" i="5"/>
  <c r="AQ83" i="5"/>
  <c r="AT86" i="5"/>
  <c r="AL86" i="5"/>
  <c r="AD86" i="5"/>
  <c r="F86" i="5"/>
  <c r="AS86" i="5"/>
  <c r="AK86" i="5"/>
  <c r="AC86" i="5"/>
  <c r="E86" i="5"/>
  <c r="AR86" i="5"/>
  <c r="AJ86" i="5"/>
  <c r="AB86" i="5"/>
  <c r="AO86" i="5"/>
  <c r="AG86" i="5"/>
  <c r="Y86" i="5"/>
  <c r="I86" i="5"/>
  <c r="W86" i="5"/>
  <c r="AM86" i="5"/>
  <c r="AT88" i="5"/>
  <c r="AL88" i="5"/>
  <c r="AD88" i="5"/>
  <c r="F88" i="5"/>
  <c r="AS88" i="5"/>
  <c r="AK88" i="5"/>
  <c r="AC88" i="5"/>
  <c r="E88" i="5"/>
  <c r="AR88" i="5"/>
  <c r="AJ88" i="5"/>
  <c r="AB88" i="5"/>
  <c r="AQ88" i="5"/>
  <c r="AI88" i="5"/>
  <c r="AA88" i="5"/>
  <c r="AO88" i="5"/>
  <c r="AG88" i="5"/>
  <c r="Y88" i="5"/>
  <c r="I88" i="5"/>
  <c r="AM88" i="5"/>
  <c r="AT92" i="5"/>
  <c r="AL92" i="5"/>
  <c r="AD92" i="5"/>
  <c r="F92" i="5"/>
  <c r="AS92" i="5"/>
  <c r="AK92" i="5"/>
  <c r="AC92" i="5"/>
  <c r="E92" i="5"/>
  <c r="AR92" i="5"/>
  <c r="AJ92" i="5"/>
  <c r="AB92" i="5"/>
  <c r="AQ92" i="5"/>
  <c r="AI92" i="5"/>
  <c r="AA92" i="5"/>
  <c r="AO92" i="5"/>
  <c r="AG92" i="5"/>
  <c r="Y92" i="5"/>
  <c r="I92" i="5"/>
  <c r="AM92" i="5"/>
  <c r="AT96" i="5"/>
  <c r="AL96" i="5"/>
  <c r="AD96" i="5"/>
  <c r="F96" i="5"/>
  <c r="AS96" i="5"/>
  <c r="AK96" i="5"/>
  <c r="AC96" i="5"/>
  <c r="E96" i="5"/>
  <c r="AR96" i="5"/>
  <c r="AJ96" i="5"/>
  <c r="AB96" i="5"/>
  <c r="AQ96" i="5"/>
  <c r="AI96" i="5"/>
  <c r="AA96" i="5"/>
  <c r="AO96" i="5"/>
  <c r="AG96" i="5"/>
  <c r="Y96" i="5"/>
  <c r="I96" i="5"/>
  <c r="AM96" i="5"/>
  <c r="AT100" i="5"/>
  <c r="AL100" i="5"/>
  <c r="AD100" i="5"/>
  <c r="F100" i="5"/>
  <c r="AS100" i="5"/>
  <c r="AK100" i="5"/>
  <c r="AC100" i="5"/>
  <c r="E100" i="5"/>
  <c r="AR100" i="5"/>
  <c r="AJ100" i="5"/>
  <c r="AB100" i="5"/>
  <c r="AQ100" i="5"/>
  <c r="AI100" i="5"/>
  <c r="AA100" i="5"/>
  <c r="AO100" i="5"/>
  <c r="AG100" i="5"/>
  <c r="Y100" i="5"/>
  <c r="I100" i="5"/>
  <c r="AM100" i="5"/>
  <c r="Q109" i="5"/>
  <c r="P109" i="5"/>
  <c r="O109" i="5"/>
  <c r="M109" i="5"/>
  <c r="T109" i="5"/>
  <c r="S109" i="5"/>
  <c r="R109" i="5"/>
  <c r="N109" i="5"/>
  <c r="K109" i="5"/>
  <c r="Q112" i="5"/>
  <c r="P112" i="5"/>
  <c r="O112" i="5"/>
  <c r="M112" i="5"/>
  <c r="N112" i="5"/>
  <c r="L112" i="5"/>
  <c r="K112" i="5"/>
  <c r="T112" i="5"/>
  <c r="F65" i="5"/>
  <c r="AD65" i="5"/>
  <c r="AL65" i="5"/>
  <c r="AT65" i="5"/>
  <c r="F66" i="5"/>
  <c r="AD66" i="5"/>
  <c r="AL66" i="5"/>
  <c r="AT66" i="5"/>
  <c r="F67" i="5"/>
  <c r="AD67" i="5"/>
  <c r="AL67" i="5"/>
  <c r="AT67" i="5"/>
  <c r="F68" i="5"/>
  <c r="AD68" i="5"/>
  <c r="AL68" i="5"/>
  <c r="AT68" i="5"/>
  <c r="F69" i="5"/>
  <c r="AD69" i="5"/>
  <c r="AL69" i="5"/>
  <c r="AT69" i="5"/>
  <c r="F70" i="5"/>
  <c r="AD70" i="5"/>
  <c r="AL70" i="5"/>
  <c r="AT70" i="5"/>
  <c r="F71" i="5"/>
  <c r="AD71" i="5"/>
  <c r="AN71" i="5"/>
  <c r="AT72" i="5"/>
  <c r="AL72" i="5"/>
  <c r="AD72" i="5"/>
  <c r="F72" i="5"/>
  <c r="AS72" i="5"/>
  <c r="AK72" i="5"/>
  <c r="AC72" i="5"/>
  <c r="E72" i="5"/>
  <c r="AR72" i="5"/>
  <c r="AJ72" i="5"/>
  <c r="AB72" i="5"/>
  <c r="AO72" i="5"/>
  <c r="AG72" i="5"/>
  <c r="Y72" i="5"/>
  <c r="I72" i="5"/>
  <c r="X72" i="5"/>
  <c r="AN72" i="5"/>
  <c r="H74" i="5"/>
  <c r="AF74" i="5"/>
  <c r="AT76" i="5"/>
  <c r="AL76" i="5"/>
  <c r="AD76" i="5"/>
  <c r="F76" i="5"/>
  <c r="AS76" i="5"/>
  <c r="AK76" i="5"/>
  <c r="AC76" i="5"/>
  <c r="E76" i="5"/>
  <c r="AR76" i="5"/>
  <c r="AJ76" i="5"/>
  <c r="AB76" i="5"/>
  <c r="AO76" i="5"/>
  <c r="AG76" i="5"/>
  <c r="Y76" i="5"/>
  <c r="I76" i="5"/>
  <c r="X76" i="5"/>
  <c r="AN76" i="5"/>
  <c r="H78" i="5"/>
  <c r="AF78" i="5"/>
  <c r="AT80" i="5"/>
  <c r="AL80" i="5"/>
  <c r="AD80" i="5"/>
  <c r="F80" i="5"/>
  <c r="AS80" i="5"/>
  <c r="AK80" i="5"/>
  <c r="AC80" i="5"/>
  <c r="E80" i="5"/>
  <c r="AR80" i="5"/>
  <c r="AJ80" i="5"/>
  <c r="AB80" i="5"/>
  <c r="AO80" i="5"/>
  <c r="AG80" i="5"/>
  <c r="Y80" i="5"/>
  <c r="I80" i="5"/>
  <c r="X80" i="5"/>
  <c r="AN80" i="5"/>
  <c r="H83" i="5"/>
  <c r="AE83" i="5"/>
  <c r="X86" i="5"/>
  <c r="AN86" i="5"/>
  <c r="AN88" i="5"/>
  <c r="AN92" i="5"/>
  <c r="Q104" i="5"/>
  <c r="P104" i="5"/>
  <c r="O104" i="5"/>
  <c r="M104" i="5"/>
  <c r="N104" i="5"/>
  <c r="L104" i="5"/>
  <c r="K104" i="5"/>
  <c r="T104" i="5"/>
  <c r="AU107" i="5"/>
  <c r="AV107" i="5" s="1"/>
  <c r="U107" i="5"/>
  <c r="AS130" i="5"/>
  <c r="AK130" i="5"/>
  <c r="AC130" i="5"/>
  <c r="E130" i="5"/>
  <c r="AR130" i="5"/>
  <c r="AJ130" i="5"/>
  <c r="AB130" i="5"/>
  <c r="AM130" i="5"/>
  <c r="AA130" i="5"/>
  <c r="G130" i="5"/>
  <c r="AL130" i="5"/>
  <c r="Z130" i="5"/>
  <c r="F130" i="5"/>
  <c r="AI130" i="5"/>
  <c r="Y130" i="5"/>
  <c r="AT130" i="5"/>
  <c r="AH130" i="5"/>
  <c r="X130" i="5"/>
  <c r="AP130" i="5"/>
  <c r="AF130" i="5"/>
  <c r="J130" i="5"/>
  <c r="AE130" i="5"/>
  <c r="AD130" i="5"/>
  <c r="W130" i="5"/>
  <c r="I130" i="5"/>
  <c r="H130" i="5"/>
  <c r="AQ130" i="5"/>
  <c r="AO130" i="5"/>
  <c r="AN130" i="5"/>
  <c r="G65" i="5"/>
  <c r="W65" i="5"/>
  <c r="AE65" i="5"/>
  <c r="G66" i="5"/>
  <c r="W66" i="5"/>
  <c r="AE66" i="5"/>
  <c r="G67" i="5"/>
  <c r="W67" i="5"/>
  <c r="AE67" i="5"/>
  <c r="G68" i="5"/>
  <c r="W68" i="5"/>
  <c r="AE68" i="5"/>
  <c r="G69" i="5"/>
  <c r="W69" i="5"/>
  <c r="AE69" i="5"/>
  <c r="G70" i="5"/>
  <c r="W70" i="5"/>
  <c r="AE70" i="5"/>
  <c r="G71" i="5"/>
  <c r="W71" i="5"/>
  <c r="AE71" i="5"/>
  <c r="AO71" i="5"/>
  <c r="Z72" i="5"/>
  <c r="AP72" i="5"/>
  <c r="G73" i="5"/>
  <c r="AE73" i="5"/>
  <c r="AU73" i="5"/>
  <c r="AV73" i="5" s="1"/>
  <c r="J74" i="5"/>
  <c r="AH74" i="5"/>
  <c r="Z76" i="5"/>
  <c r="AP76" i="5"/>
  <c r="G77" i="5"/>
  <c r="AE77" i="5"/>
  <c r="AU77" i="5"/>
  <c r="AV77" i="5" s="1"/>
  <c r="J78" i="5"/>
  <c r="AH78" i="5"/>
  <c r="Z80" i="5"/>
  <c r="AP80" i="5"/>
  <c r="G81" i="5"/>
  <c r="AA81" i="5"/>
  <c r="AQ81" i="5"/>
  <c r="AU82" i="5"/>
  <c r="AV82" i="5" s="1"/>
  <c r="J83" i="5"/>
  <c r="AF83" i="5"/>
  <c r="AT85" i="5"/>
  <c r="AL85" i="5"/>
  <c r="AD85" i="5"/>
  <c r="F85" i="5"/>
  <c r="AS85" i="5"/>
  <c r="AK85" i="5"/>
  <c r="AC85" i="5"/>
  <c r="E85" i="5"/>
  <c r="AR85" i="5"/>
  <c r="AJ85" i="5"/>
  <c r="AB85" i="5"/>
  <c r="AO85" i="5"/>
  <c r="AG85" i="5"/>
  <c r="Y85" i="5"/>
  <c r="I85" i="5"/>
  <c r="X85" i="5"/>
  <c r="AN85" i="5"/>
  <c r="Z86" i="5"/>
  <c r="AP86" i="5"/>
  <c r="G87" i="5"/>
  <c r="X87" i="5"/>
  <c r="AN87" i="5"/>
  <c r="W88" i="5"/>
  <c r="AP88" i="5"/>
  <c r="AT91" i="5"/>
  <c r="AL91" i="5"/>
  <c r="AD91" i="5"/>
  <c r="F91" i="5"/>
  <c r="AS91" i="5"/>
  <c r="AK91" i="5"/>
  <c r="AC91" i="5"/>
  <c r="E91" i="5"/>
  <c r="AR91" i="5"/>
  <c r="AJ91" i="5"/>
  <c r="AB91" i="5"/>
  <c r="AQ91" i="5"/>
  <c r="AI91" i="5"/>
  <c r="AA91" i="5"/>
  <c r="AO91" i="5"/>
  <c r="AG91" i="5"/>
  <c r="Y91" i="5"/>
  <c r="I91" i="5"/>
  <c r="AM91" i="5"/>
  <c r="W92" i="5"/>
  <c r="AP92" i="5"/>
  <c r="AT95" i="5"/>
  <c r="AL95" i="5"/>
  <c r="AD95" i="5"/>
  <c r="F95" i="5"/>
  <c r="AS95" i="5"/>
  <c r="AK95" i="5"/>
  <c r="AC95" i="5"/>
  <c r="E95" i="5"/>
  <c r="AR95" i="5"/>
  <c r="AJ95" i="5"/>
  <c r="AB95" i="5"/>
  <c r="AQ95" i="5"/>
  <c r="AI95" i="5"/>
  <c r="AA95" i="5"/>
  <c r="AO95" i="5"/>
  <c r="AG95" i="5"/>
  <c r="Y95" i="5"/>
  <c r="I95" i="5"/>
  <c r="AM95" i="5"/>
  <c r="W96" i="5"/>
  <c r="AP96" i="5"/>
  <c r="AT99" i="5"/>
  <c r="AL99" i="5"/>
  <c r="AD99" i="5"/>
  <c r="F99" i="5"/>
  <c r="AS99" i="5"/>
  <c r="AK99" i="5"/>
  <c r="AC99" i="5"/>
  <c r="E99" i="5"/>
  <c r="AR99" i="5"/>
  <c r="AJ99" i="5"/>
  <c r="AB99" i="5"/>
  <c r="AQ99" i="5"/>
  <c r="AI99" i="5"/>
  <c r="AA99" i="5"/>
  <c r="AO99" i="5"/>
  <c r="AG99" i="5"/>
  <c r="Y99" i="5"/>
  <c r="I99" i="5"/>
  <c r="AM99" i="5"/>
  <c r="W100" i="5"/>
  <c r="AP100" i="5"/>
  <c r="AO103" i="5"/>
  <c r="AG103" i="5"/>
  <c r="Y103" i="5"/>
  <c r="AN103" i="5"/>
  <c r="AF103" i="5"/>
  <c r="X103" i="5"/>
  <c r="AM103" i="5"/>
  <c r="AS103" i="5"/>
  <c r="AK103" i="5"/>
  <c r="AH103" i="5"/>
  <c r="F103" i="5"/>
  <c r="AT103" i="5"/>
  <c r="AE103" i="5"/>
  <c r="E103" i="5"/>
  <c r="AR103" i="5"/>
  <c r="AD103" i="5"/>
  <c r="AQ103" i="5"/>
  <c r="AC103" i="5"/>
  <c r="AL103" i="5"/>
  <c r="AA103" i="5"/>
  <c r="I103" i="5"/>
  <c r="AO107" i="5"/>
  <c r="AG107" i="5"/>
  <c r="Y107" i="5"/>
  <c r="I107" i="5"/>
  <c r="AN107" i="5"/>
  <c r="AF107" i="5"/>
  <c r="X107" i="5"/>
  <c r="H107" i="5"/>
  <c r="AM107" i="5"/>
  <c r="AE107" i="5"/>
  <c r="W107" i="5"/>
  <c r="G107" i="5"/>
  <c r="AS107" i="5"/>
  <c r="AK107" i="5"/>
  <c r="AC107" i="5"/>
  <c r="E107" i="5"/>
  <c r="AP107" i="5"/>
  <c r="Z107" i="5"/>
  <c r="J107" i="5"/>
  <c r="AL107" i="5"/>
  <c r="F107" i="5"/>
  <c r="AJ107" i="5"/>
  <c r="AI107" i="5"/>
  <c r="AT107" i="5"/>
  <c r="AD107" i="5"/>
  <c r="AA107" i="5"/>
  <c r="AO112" i="5"/>
  <c r="AG112" i="5"/>
  <c r="Y112" i="5"/>
  <c r="I112" i="5"/>
  <c r="AN112" i="5"/>
  <c r="AF112" i="5"/>
  <c r="X112" i="5"/>
  <c r="H112" i="5"/>
  <c r="AM112" i="5"/>
  <c r="AE112" i="5"/>
  <c r="W112" i="5"/>
  <c r="G112" i="5"/>
  <c r="AS112" i="5"/>
  <c r="AK112" i="5"/>
  <c r="AC112" i="5"/>
  <c r="E112" i="5"/>
  <c r="AT112" i="5"/>
  <c r="AD112" i="5"/>
  <c r="AR112" i="5"/>
  <c r="AB112" i="5"/>
  <c r="AQ112" i="5"/>
  <c r="AA112" i="5"/>
  <c r="AP112" i="5"/>
  <c r="Z112" i="5"/>
  <c r="J112" i="5"/>
  <c r="AJ112" i="5"/>
  <c r="AI112" i="5"/>
  <c r="AU113" i="5"/>
  <c r="AV113" i="5" s="1"/>
  <c r="U113" i="5"/>
  <c r="AO106" i="5"/>
  <c r="AG106" i="5"/>
  <c r="Y106" i="5"/>
  <c r="I106" i="5"/>
  <c r="AN106" i="5"/>
  <c r="AF106" i="5"/>
  <c r="X106" i="5"/>
  <c r="H106" i="5"/>
  <c r="AM106" i="5"/>
  <c r="AE106" i="5"/>
  <c r="W106" i="5"/>
  <c r="G106" i="5"/>
  <c r="AS106" i="5"/>
  <c r="AK106" i="5"/>
  <c r="AC106" i="5"/>
  <c r="E106" i="5"/>
  <c r="AH106" i="5"/>
  <c r="N107" i="5"/>
  <c r="AB108" i="5"/>
  <c r="Q111" i="5"/>
  <c r="P111" i="5"/>
  <c r="O111" i="5"/>
  <c r="M111" i="5"/>
  <c r="AP114" i="5"/>
  <c r="AH114" i="5"/>
  <c r="Z114" i="5"/>
  <c r="AR114" i="5"/>
  <c r="AI114" i="5"/>
  <c r="Y114" i="5"/>
  <c r="I114" i="5"/>
  <c r="AQ114" i="5"/>
  <c r="AG114" i="5"/>
  <c r="X114" i="5"/>
  <c r="H114" i="5"/>
  <c r="AO114" i="5"/>
  <c r="AF114" i="5"/>
  <c r="W114" i="5"/>
  <c r="G114" i="5"/>
  <c r="AM114" i="5"/>
  <c r="AD114" i="5"/>
  <c r="E114" i="5"/>
  <c r="AJ114" i="5"/>
  <c r="M141" i="5"/>
  <c r="T141" i="5"/>
  <c r="L141" i="5"/>
  <c r="R141" i="5"/>
  <c r="Q141" i="5"/>
  <c r="P141" i="5"/>
  <c r="O141" i="5"/>
  <c r="K141" i="5"/>
  <c r="N141" i="5"/>
  <c r="Q105" i="5"/>
  <c r="P105" i="5"/>
  <c r="O105" i="5"/>
  <c r="M105" i="5"/>
  <c r="AU106" i="5"/>
  <c r="AV106" i="5" s="1"/>
  <c r="U106" i="5"/>
  <c r="AO108" i="5"/>
  <c r="AG108" i="5"/>
  <c r="Y108" i="5"/>
  <c r="I108" i="5"/>
  <c r="AN108" i="5"/>
  <c r="AF108" i="5"/>
  <c r="X108" i="5"/>
  <c r="H108" i="5"/>
  <c r="AM108" i="5"/>
  <c r="AE108" i="5"/>
  <c r="W108" i="5"/>
  <c r="G108" i="5"/>
  <c r="AS108" i="5"/>
  <c r="AK108" i="5"/>
  <c r="AC108" i="5"/>
  <c r="E108" i="5"/>
  <c r="AH108" i="5"/>
  <c r="Q113" i="5"/>
  <c r="P113" i="5"/>
  <c r="O113" i="5"/>
  <c r="M113" i="5"/>
  <c r="AU116" i="5"/>
  <c r="AV116" i="5" s="1"/>
  <c r="R124" i="5"/>
  <c r="Q124" i="5"/>
  <c r="P124" i="5"/>
  <c r="M124" i="5"/>
  <c r="T124" i="5"/>
  <c r="S124" i="5"/>
  <c r="O124" i="5"/>
  <c r="N124" i="5"/>
  <c r="L124" i="5"/>
  <c r="K124" i="5"/>
  <c r="U126" i="5"/>
  <c r="AU126" i="5"/>
  <c r="AV126" i="5" s="1"/>
  <c r="M154" i="5"/>
  <c r="T154" i="5"/>
  <c r="L154" i="5"/>
  <c r="S154" i="5"/>
  <c r="K154" i="5"/>
  <c r="R154" i="5"/>
  <c r="Q154" i="5"/>
  <c r="P154" i="5"/>
  <c r="O154" i="5"/>
  <c r="N154" i="5"/>
  <c r="L72" i="5"/>
  <c r="L73" i="5"/>
  <c r="L74" i="5"/>
  <c r="L75" i="5"/>
  <c r="L76" i="5"/>
  <c r="L77" i="5"/>
  <c r="L78" i="5"/>
  <c r="L79" i="5"/>
  <c r="L80" i="5"/>
  <c r="L84" i="5"/>
  <c r="L85" i="5"/>
  <c r="F106" i="5"/>
  <c r="Q106" i="5"/>
  <c r="P106" i="5"/>
  <c r="O106" i="5"/>
  <c r="M106" i="5"/>
  <c r="AL106" i="5"/>
  <c r="AI108" i="5"/>
  <c r="AO109" i="5"/>
  <c r="AG109" i="5"/>
  <c r="Y109" i="5"/>
  <c r="I109" i="5"/>
  <c r="AN109" i="5"/>
  <c r="AF109" i="5"/>
  <c r="X109" i="5"/>
  <c r="H109" i="5"/>
  <c r="AM109" i="5"/>
  <c r="AE109" i="5"/>
  <c r="W109" i="5"/>
  <c r="G109" i="5"/>
  <c r="AS109" i="5"/>
  <c r="AK109" i="5"/>
  <c r="AC109" i="5"/>
  <c r="E109" i="5"/>
  <c r="AH109" i="5"/>
  <c r="AD110" i="5"/>
  <c r="L111" i="5"/>
  <c r="F114" i="5"/>
  <c r="Q114" i="5"/>
  <c r="P114" i="5"/>
  <c r="O114" i="5"/>
  <c r="M114" i="5"/>
  <c r="AN114" i="5"/>
  <c r="K105" i="5"/>
  <c r="J106" i="5"/>
  <c r="Z106" i="5"/>
  <c r="AP106" i="5"/>
  <c r="Q107" i="5"/>
  <c r="P107" i="5"/>
  <c r="O107" i="5"/>
  <c r="M107" i="5"/>
  <c r="AU108" i="5"/>
  <c r="AV108" i="5" s="1"/>
  <c r="U108" i="5"/>
  <c r="AJ108" i="5"/>
  <c r="AO110" i="5"/>
  <c r="AG110" i="5"/>
  <c r="Y110" i="5"/>
  <c r="I110" i="5"/>
  <c r="AN110" i="5"/>
  <c r="AF110" i="5"/>
  <c r="X110" i="5"/>
  <c r="H110" i="5"/>
  <c r="AM110" i="5"/>
  <c r="AE110" i="5"/>
  <c r="W110" i="5"/>
  <c r="G110" i="5"/>
  <c r="AS110" i="5"/>
  <c r="AK110" i="5"/>
  <c r="AC110" i="5"/>
  <c r="E110" i="5"/>
  <c r="AH110" i="5"/>
  <c r="N111" i="5"/>
  <c r="K113" i="5"/>
  <c r="J114" i="5"/>
  <c r="AA114" i="5"/>
  <c r="AS114" i="5"/>
  <c r="R116" i="5"/>
  <c r="S116" i="5"/>
  <c r="Q116" i="5"/>
  <c r="P116" i="5"/>
  <c r="O116" i="5"/>
  <c r="N116" i="5"/>
  <c r="L105" i="5"/>
  <c r="K106" i="5"/>
  <c r="AA106" i="5"/>
  <c r="AQ106" i="5"/>
  <c r="F108" i="5"/>
  <c r="Q108" i="5"/>
  <c r="P108" i="5"/>
  <c r="O108" i="5"/>
  <c r="M108" i="5"/>
  <c r="AL108" i="5"/>
  <c r="AJ109" i="5"/>
  <c r="AI110" i="5"/>
  <c r="AO111" i="5"/>
  <c r="AG111" i="5"/>
  <c r="Y111" i="5"/>
  <c r="I111" i="5"/>
  <c r="AN111" i="5"/>
  <c r="AF111" i="5"/>
  <c r="X111" i="5"/>
  <c r="H111" i="5"/>
  <c r="AM111" i="5"/>
  <c r="AE111" i="5"/>
  <c r="W111" i="5"/>
  <c r="G111" i="5"/>
  <c r="AS111" i="5"/>
  <c r="AK111" i="5"/>
  <c r="AC111" i="5"/>
  <c r="E111" i="5"/>
  <c r="R111" i="5"/>
  <c r="AH111" i="5"/>
  <c r="L113" i="5"/>
  <c r="K114" i="5"/>
  <c r="AB114" i="5"/>
  <c r="AT114" i="5"/>
  <c r="M153" i="5"/>
  <c r="T153" i="5"/>
  <c r="L153" i="5"/>
  <c r="S153" i="5"/>
  <c r="K153" i="5"/>
  <c r="R153" i="5"/>
  <c r="P153" i="5"/>
  <c r="O153" i="5"/>
  <c r="N153" i="5"/>
  <c r="R123" i="5"/>
  <c r="Q123" i="5"/>
  <c r="P123" i="5"/>
  <c r="M123" i="5"/>
  <c r="R127" i="5"/>
  <c r="Q127" i="5"/>
  <c r="P127" i="5"/>
  <c r="M127" i="5"/>
  <c r="AU162" i="5"/>
  <c r="AV162" i="5" s="1"/>
  <c r="U162" i="5"/>
  <c r="K117" i="5"/>
  <c r="T117" i="5"/>
  <c r="M151" i="5"/>
  <c r="T151" i="5"/>
  <c r="L151" i="5"/>
  <c r="S151" i="5"/>
  <c r="K151" i="5"/>
  <c r="R151" i="5"/>
  <c r="N151" i="5"/>
  <c r="Q151" i="5"/>
  <c r="AM203" i="5"/>
  <c r="AE203" i="5"/>
  <c r="W203" i="5"/>
  <c r="G203" i="5"/>
  <c r="AS203" i="5"/>
  <c r="AK203" i="5"/>
  <c r="AC203" i="5"/>
  <c r="E203" i="5"/>
  <c r="AO203" i="5"/>
  <c r="AG203" i="5"/>
  <c r="Y203" i="5"/>
  <c r="I203" i="5"/>
  <c r="AJ203" i="5"/>
  <c r="X203" i="5"/>
  <c r="AI203" i="5"/>
  <c r="J203" i="5"/>
  <c r="AT203" i="5"/>
  <c r="AH203" i="5"/>
  <c r="H203" i="5"/>
  <c r="AR203" i="5"/>
  <c r="AF203" i="5"/>
  <c r="F203" i="5"/>
  <c r="AP203" i="5"/>
  <c r="AB203" i="5"/>
  <c r="AQ203" i="5"/>
  <c r="AN203" i="5"/>
  <c r="AL203" i="5"/>
  <c r="AD203" i="5"/>
  <c r="Z203" i="5"/>
  <c r="AA203" i="5"/>
  <c r="R122" i="5"/>
  <c r="Q122" i="5"/>
  <c r="P122" i="5"/>
  <c r="M122" i="5"/>
  <c r="K123" i="5"/>
  <c r="R126" i="5"/>
  <c r="Q126" i="5"/>
  <c r="P126" i="5"/>
  <c r="M126" i="5"/>
  <c r="K127" i="5"/>
  <c r="M133" i="5"/>
  <c r="T133" i="5"/>
  <c r="L133" i="5"/>
  <c r="R133" i="5"/>
  <c r="Q133" i="5"/>
  <c r="P133" i="5"/>
  <c r="O133" i="5"/>
  <c r="K133" i="5"/>
  <c r="AS139" i="5"/>
  <c r="AK139" i="5"/>
  <c r="AC139" i="5"/>
  <c r="E139" i="5"/>
  <c r="AR139" i="5"/>
  <c r="AJ139" i="5"/>
  <c r="AB139" i="5"/>
  <c r="AP139" i="5"/>
  <c r="AF139" i="5"/>
  <c r="J139" i="5"/>
  <c r="AO139" i="5"/>
  <c r="AE139" i="5"/>
  <c r="I139" i="5"/>
  <c r="AN139" i="5"/>
  <c r="AD139" i="5"/>
  <c r="H139" i="5"/>
  <c r="AM139" i="5"/>
  <c r="AA139" i="5"/>
  <c r="G139" i="5"/>
  <c r="AI139" i="5"/>
  <c r="Y139" i="5"/>
  <c r="AH139" i="5"/>
  <c r="AU115" i="5"/>
  <c r="AV115" i="5" s="1"/>
  <c r="L123" i="5"/>
  <c r="L127" i="5"/>
  <c r="AS131" i="5"/>
  <c r="AK131" i="5"/>
  <c r="AC131" i="5"/>
  <c r="E131" i="5"/>
  <c r="AR131" i="5"/>
  <c r="AJ131" i="5"/>
  <c r="AB131" i="5"/>
  <c r="AP131" i="5"/>
  <c r="AF131" i="5"/>
  <c r="J131" i="5"/>
  <c r="AO131" i="5"/>
  <c r="AE131" i="5"/>
  <c r="I131" i="5"/>
  <c r="AN131" i="5"/>
  <c r="AD131" i="5"/>
  <c r="H131" i="5"/>
  <c r="AM131" i="5"/>
  <c r="AA131" i="5"/>
  <c r="G131" i="5"/>
  <c r="AI131" i="5"/>
  <c r="Y131" i="5"/>
  <c r="AH131" i="5"/>
  <c r="AL139" i="5"/>
  <c r="L115" i="5"/>
  <c r="N117" i="5"/>
  <c r="K118" i="5"/>
  <c r="T118" i="5"/>
  <c r="R121" i="5"/>
  <c r="Q121" i="5"/>
  <c r="P121" i="5"/>
  <c r="M121" i="5"/>
  <c r="K122" i="5"/>
  <c r="N123" i="5"/>
  <c r="R125" i="5"/>
  <c r="Q125" i="5"/>
  <c r="P125" i="5"/>
  <c r="M125" i="5"/>
  <c r="K126" i="5"/>
  <c r="N127" i="5"/>
  <c r="AU128" i="5"/>
  <c r="AV128" i="5" s="1"/>
  <c r="U128" i="5"/>
  <c r="AL131" i="5"/>
  <c r="AQ139" i="5"/>
  <c r="S167" i="5"/>
  <c r="K167" i="5"/>
  <c r="R167" i="5"/>
  <c r="T167" i="5"/>
  <c r="Q167" i="5"/>
  <c r="P167" i="5"/>
  <c r="O167" i="5"/>
  <c r="N167" i="5"/>
  <c r="M167" i="5"/>
  <c r="L167" i="5"/>
  <c r="O117" i="5"/>
  <c r="L122" i="5"/>
  <c r="O123" i="5"/>
  <c r="L126" i="5"/>
  <c r="O127" i="5"/>
  <c r="R128" i="5"/>
  <c r="Q128" i="5"/>
  <c r="P128" i="5"/>
  <c r="O128" i="5"/>
  <c r="M128" i="5"/>
  <c r="AQ131" i="5"/>
  <c r="M136" i="5"/>
  <c r="T136" i="5"/>
  <c r="L136" i="5"/>
  <c r="S136" i="5"/>
  <c r="R136" i="5"/>
  <c r="Q136" i="5"/>
  <c r="P136" i="5"/>
  <c r="N136" i="5"/>
  <c r="F139" i="5"/>
  <c r="AT139" i="5"/>
  <c r="AU158" i="5"/>
  <c r="AV158" i="5" s="1"/>
  <c r="U158" i="5"/>
  <c r="H129" i="5"/>
  <c r="AA129" i="5"/>
  <c r="M130" i="5"/>
  <c r="T130" i="5"/>
  <c r="L130" i="5"/>
  <c r="H132" i="5"/>
  <c r="AD132" i="5"/>
  <c r="AS133" i="5"/>
  <c r="AK133" i="5"/>
  <c r="AC133" i="5"/>
  <c r="E133" i="5"/>
  <c r="AR133" i="5"/>
  <c r="AJ133" i="5"/>
  <c r="AB133" i="5"/>
  <c r="W133" i="5"/>
  <c r="AG133" i="5"/>
  <c r="AQ133" i="5"/>
  <c r="P134" i="5"/>
  <c r="I135" i="5"/>
  <c r="AE135" i="5"/>
  <c r="G137" i="5"/>
  <c r="AA137" i="5"/>
  <c r="AM137" i="5"/>
  <c r="M138" i="5"/>
  <c r="T138" i="5"/>
  <c r="L138" i="5"/>
  <c r="H140" i="5"/>
  <c r="AD140" i="5"/>
  <c r="AS141" i="5"/>
  <c r="AK141" i="5"/>
  <c r="AC141" i="5"/>
  <c r="E141" i="5"/>
  <c r="AR141" i="5"/>
  <c r="AJ141" i="5"/>
  <c r="AB141" i="5"/>
  <c r="W141" i="5"/>
  <c r="AG141" i="5"/>
  <c r="AQ141" i="5"/>
  <c r="N152" i="5"/>
  <c r="S163" i="5"/>
  <c r="K163" i="5"/>
  <c r="R163" i="5"/>
  <c r="T163" i="5"/>
  <c r="Q163" i="5"/>
  <c r="P163" i="5"/>
  <c r="O163" i="5"/>
  <c r="N163" i="5"/>
  <c r="AU173" i="5"/>
  <c r="AV173" i="5" s="1"/>
  <c r="U173" i="5"/>
  <c r="AQ183" i="5"/>
  <c r="AI183" i="5"/>
  <c r="AA183" i="5"/>
  <c r="AT183" i="5"/>
  <c r="AL183" i="5"/>
  <c r="AD183" i="5"/>
  <c r="F183" i="5"/>
  <c r="AM183" i="5"/>
  <c r="AB183" i="5"/>
  <c r="I183" i="5"/>
  <c r="AK183" i="5"/>
  <c r="Z183" i="5"/>
  <c r="H183" i="5"/>
  <c r="AJ183" i="5"/>
  <c r="Y183" i="5"/>
  <c r="G183" i="5"/>
  <c r="AS183" i="5"/>
  <c r="AH183" i="5"/>
  <c r="X183" i="5"/>
  <c r="E183" i="5"/>
  <c r="AP183" i="5"/>
  <c r="AF183" i="5"/>
  <c r="AR183" i="5"/>
  <c r="AO183" i="5"/>
  <c r="J183" i="5"/>
  <c r="AN183" i="5"/>
  <c r="AG183" i="5"/>
  <c r="AQ184" i="5"/>
  <c r="AI184" i="5"/>
  <c r="AA184" i="5"/>
  <c r="AT184" i="5"/>
  <c r="AL184" i="5"/>
  <c r="AD184" i="5"/>
  <c r="F184" i="5"/>
  <c r="AN184" i="5"/>
  <c r="AC184" i="5"/>
  <c r="J184" i="5"/>
  <c r="AM184" i="5"/>
  <c r="AB184" i="5"/>
  <c r="I184" i="5"/>
  <c r="AK184" i="5"/>
  <c r="Z184" i="5"/>
  <c r="H184" i="5"/>
  <c r="AJ184" i="5"/>
  <c r="Y184" i="5"/>
  <c r="G184" i="5"/>
  <c r="AR184" i="5"/>
  <c r="AG184" i="5"/>
  <c r="W184" i="5"/>
  <c r="AE184" i="5"/>
  <c r="X184" i="5"/>
  <c r="AS184" i="5"/>
  <c r="AP184" i="5"/>
  <c r="E184" i="5"/>
  <c r="AU196" i="5"/>
  <c r="AV196" i="5" s="1"/>
  <c r="U196" i="5"/>
  <c r="AU199" i="5"/>
  <c r="AV199" i="5" s="1"/>
  <c r="U199" i="5"/>
  <c r="M132" i="5"/>
  <c r="T132" i="5"/>
  <c r="L132" i="5"/>
  <c r="AS135" i="5"/>
  <c r="AK135" i="5"/>
  <c r="AC135" i="5"/>
  <c r="E135" i="5"/>
  <c r="AR135" i="5"/>
  <c r="AJ135" i="5"/>
  <c r="AB135" i="5"/>
  <c r="W135" i="5"/>
  <c r="AG135" i="5"/>
  <c r="AQ135" i="5"/>
  <c r="M140" i="5"/>
  <c r="T140" i="5"/>
  <c r="L140" i="5"/>
  <c r="M142" i="5"/>
  <c r="T142" i="5"/>
  <c r="L142" i="5"/>
  <c r="S142" i="5"/>
  <c r="K142" i="5"/>
  <c r="M143" i="5"/>
  <c r="T143" i="5"/>
  <c r="L143" i="5"/>
  <c r="S143" i="5"/>
  <c r="K143" i="5"/>
  <c r="M144" i="5"/>
  <c r="T144" i="5"/>
  <c r="L144" i="5"/>
  <c r="S144" i="5"/>
  <c r="K144" i="5"/>
  <c r="M145" i="5"/>
  <c r="T145" i="5"/>
  <c r="L145" i="5"/>
  <c r="S145" i="5"/>
  <c r="K145" i="5"/>
  <c r="M146" i="5"/>
  <c r="T146" i="5"/>
  <c r="L146" i="5"/>
  <c r="S146" i="5"/>
  <c r="K146" i="5"/>
  <c r="M147" i="5"/>
  <c r="T147" i="5"/>
  <c r="L147" i="5"/>
  <c r="S147" i="5"/>
  <c r="K147" i="5"/>
  <c r="M148" i="5"/>
  <c r="T148" i="5"/>
  <c r="L148" i="5"/>
  <c r="S148" i="5"/>
  <c r="K148" i="5"/>
  <c r="M149" i="5"/>
  <c r="T149" i="5"/>
  <c r="L149" i="5"/>
  <c r="S149" i="5"/>
  <c r="K149" i="5"/>
  <c r="M150" i="5"/>
  <c r="T150" i="5"/>
  <c r="L150" i="5"/>
  <c r="S150" i="5"/>
  <c r="K150" i="5"/>
  <c r="S159" i="5"/>
  <c r="K159" i="5"/>
  <c r="R159" i="5"/>
  <c r="T159" i="5"/>
  <c r="Q159" i="5"/>
  <c r="P159" i="5"/>
  <c r="O159" i="5"/>
  <c r="N159" i="5"/>
  <c r="AU181" i="5"/>
  <c r="AV181" i="5" s="1"/>
  <c r="U181" i="5"/>
  <c r="AM196" i="5"/>
  <c r="AE196" i="5"/>
  <c r="W196" i="5"/>
  <c r="G196" i="5"/>
  <c r="AS196" i="5"/>
  <c r="AK196" i="5"/>
  <c r="AC196" i="5"/>
  <c r="E196" i="5"/>
  <c r="AO196" i="5"/>
  <c r="AG196" i="5"/>
  <c r="Y196" i="5"/>
  <c r="I196" i="5"/>
  <c r="AL196" i="5"/>
  <c r="Z196" i="5"/>
  <c r="AJ196" i="5"/>
  <c r="X196" i="5"/>
  <c r="AI196" i="5"/>
  <c r="AT196" i="5"/>
  <c r="AH196" i="5"/>
  <c r="H196" i="5"/>
  <c r="AQ196" i="5"/>
  <c r="AD196" i="5"/>
  <c r="AN196" i="5"/>
  <c r="J196" i="5"/>
  <c r="AF196" i="5"/>
  <c r="F196" i="5"/>
  <c r="AB196" i="5"/>
  <c r="AA196" i="5"/>
  <c r="AR196" i="5"/>
  <c r="AS129" i="5"/>
  <c r="AK129" i="5"/>
  <c r="AC129" i="5"/>
  <c r="E129" i="5"/>
  <c r="AR129" i="5"/>
  <c r="AJ129" i="5"/>
  <c r="AB129" i="5"/>
  <c r="M129" i="5"/>
  <c r="T129" i="5"/>
  <c r="AF129" i="5"/>
  <c r="AP129" i="5"/>
  <c r="AS132" i="5"/>
  <c r="AK132" i="5"/>
  <c r="AC132" i="5"/>
  <c r="E132" i="5"/>
  <c r="AR132" i="5"/>
  <c r="AJ132" i="5"/>
  <c r="AB132" i="5"/>
  <c r="K132" i="5"/>
  <c r="W132" i="5"/>
  <c r="AG132" i="5"/>
  <c r="AQ132" i="5"/>
  <c r="X135" i="5"/>
  <c r="AH135" i="5"/>
  <c r="AT135" i="5"/>
  <c r="J137" i="5"/>
  <c r="M137" i="5"/>
  <c r="T137" i="5"/>
  <c r="L137" i="5"/>
  <c r="AF137" i="5"/>
  <c r="AS140" i="5"/>
  <c r="AK140" i="5"/>
  <c r="AC140" i="5"/>
  <c r="E140" i="5"/>
  <c r="AR140" i="5"/>
  <c r="AJ140" i="5"/>
  <c r="AB140" i="5"/>
  <c r="K140" i="5"/>
  <c r="W140" i="5"/>
  <c r="AG140" i="5"/>
  <c r="AQ140" i="5"/>
  <c r="AL141" i="5"/>
  <c r="M155" i="5"/>
  <c r="T155" i="5"/>
  <c r="L155" i="5"/>
  <c r="S155" i="5"/>
  <c r="K155" i="5"/>
  <c r="R155" i="5"/>
  <c r="Q155" i="5"/>
  <c r="U179" i="5"/>
  <c r="N132" i="5"/>
  <c r="M134" i="5"/>
  <c r="T134" i="5"/>
  <c r="L134" i="5"/>
  <c r="Y135" i="5"/>
  <c r="AI135" i="5"/>
  <c r="AS137" i="5"/>
  <c r="AK137" i="5"/>
  <c r="AC137" i="5"/>
  <c r="E137" i="5"/>
  <c r="AR137" i="5"/>
  <c r="AJ137" i="5"/>
  <c r="AB137" i="5"/>
  <c r="W137" i="5"/>
  <c r="AG137" i="5"/>
  <c r="AQ137" i="5"/>
  <c r="N140" i="5"/>
  <c r="AH140" i="5"/>
  <c r="AT140" i="5"/>
  <c r="M152" i="5"/>
  <c r="T152" i="5"/>
  <c r="L152" i="5"/>
  <c r="S152" i="5"/>
  <c r="K152" i="5"/>
  <c r="R152" i="5"/>
  <c r="J115" i="5"/>
  <c r="Z115" i="5"/>
  <c r="AH115" i="5"/>
  <c r="J116" i="5"/>
  <c r="Z116" i="5"/>
  <c r="AH116" i="5"/>
  <c r="J117" i="5"/>
  <c r="Z117" i="5"/>
  <c r="AH117" i="5"/>
  <c r="J118" i="5"/>
  <c r="Z118" i="5"/>
  <c r="AH118" i="5"/>
  <c r="J119" i="5"/>
  <c r="Z119" i="5"/>
  <c r="AH119" i="5"/>
  <c r="J120" i="5"/>
  <c r="Z120" i="5"/>
  <c r="AH120" i="5"/>
  <c r="J121" i="5"/>
  <c r="Z121" i="5"/>
  <c r="AH121" i="5"/>
  <c r="J122" i="5"/>
  <c r="Z122" i="5"/>
  <c r="AH122" i="5"/>
  <c r="J123" i="5"/>
  <c r="Z123" i="5"/>
  <c r="AH123" i="5"/>
  <c r="J124" i="5"/>
  <c r="Z124" i="5"/>
  <c r="AH124" i="5"/>
  <c r="J125" i="5"/>
  <c r="Z125" i="5"/>
  <c r="AH125" i="5"/>
  <c r="J126" i="5"/>
  <c r="Z126" i="5"/>
  <c r="AH126" i="5"/>
  <c r="J127" i="5"/>
  <c r="Z127" i="5"/>
  <c r="AH127" i="5"/>
  <c r="AS128" i="5"/>
  <c r="AK128" i="5"/>
  <c r="J128" i="5"/>
  <c r="Z128" i="5"/>
  <c r="AH128" i="5"/>
  <c r="AQ128" i="5"/>
  <c r="N129" i="5"/>
  <c r="X129" i="5"/>
  <c r="AH129" i="5"/>
  <c r="AT129" i="5"/>
  <c r="Q130" i="5"/>
  <c r="M131" i="5"/>
  <c r="T131" i="5"/>
  <c r="L131" i="5"/>
  <c r="O132" i="5"/>
  <c r="Y132" i="5"/>
  <c r="AI132" i="5"/>
  <c r="H133" i="5"/>
  <c r="AD133" i="5"/>
  <c r="AN133" i="5"/>
  <c r="AS134" i="5"/>
  <c r="AK134" i="5"/>
  <c r="AC134" i="5"/>
  <c r="E134" i="5"/>
  <c r="AR134" i="5"/>
  <c r="AJ134" i="5"/>
  <c r="AB134" i="5"/>
  <c r="K134" i="5"/>
  <c r="W134" i="5"/>
  <c r="AG134" i="5"/>
  <c r="AQ134" i="5"/>
  <c r="F135" i="5"/>
  <c r="Z135" i="5"/>
  <c r="AL135" i="5"/>
  <c r="N137" i="5"/>
  <c r="X137" i="5"/>
  <c r="AH137" i="5"/>
  <c r="AT137" i="5"/>
  <c r="Q138" i="5"/>
  <c r="M139" i="5"/>
  <c r="T139" i="5"/>
  <c r="L139" i="5"/>
  <c r="O140" i="5"/>
  <c r="Y140" i="5"/>
  <c r="AI140" i="5"/>
  <c r="H141" i="5"/>
  <c r="AD141" i="5"/>
  <c r="AN141" i="5"/>
  <c r="AS142" i="5"/>
  <c r="AK142" i="5"/>
  <c r="AC142" i="5"/>
  <c r="E142" i="5"/>
  <c r="AR142" i="5"/>
  <c r="AJ142" i="5"/>
  <c r="AB142" i="5"/>
  <c r="AQ142" i="5"/>
  <c r="AI142" i="5"/>
  <c r="AA142" i="5"/>
  <c r="N142" i="5"/>
  <c r="Y142" i="5"/>
  <c r="AM142" i="5"/>
  <c r="AS143" i="5"/>
  <c r="AK143" i="5"/>
  <c r="AC143" i="5"/>
  <c r="E143" i="5"/>
  <c r="AR143" i="5"/>
  <c r="AJ143" i="5"/>
  <c r="AB143" i="5"/>
  <c r="AQ143" i="5"/>
  <c r="AI143" i="5"/>
  <c r="AA143" i="5"/>
  <c r="N143" i="5"/>
  <c r="Y143" i="5"/>
  <c r="AM143" i="5"/>
  <c r="AS144" i="5"/>
  <c r="AK144" i="5"/>
  <c r="AC144" i="5"/>
  <c r="E144" i="5"/>
  <c r="AR144" i="5"/>
  <c r="AJ144" i="5"/>
  <c r="AB144" i="5"/>
  <c r="AQ144" i="5"/>
  <c r="AI144" i="5"/>
  <c r="AA144" i="5"/>
  <c r="N144" i="5"/>
  <c r="Y144" i="5"/>
  <c r="AM144" i="5"/>
  <c r="AS145" i="5"/>
  <c r="AK145" i="5"/>
  <c r="AC145" i="5"/>
  <c r="E145" i="5"/>
  <c r="AR145" i="5"/>
  <c r="AJ145" i="5"/>
  <c r="AB145" i="5"/>
  <c r="AQ145" i="5"/>
  <c r="AI145" i="5"/>
  <c r="AA145" i="5"/>
  <c r="N145" i="5"/>
  <c r="Y145" i="5"/>
  <c r="AM145" i="5"/>
  <c r="AS146" i="5"/>
  <c r="AK146" i="5"/>
  <c r="AC146" i="5"/>
  <c r="E146" i="5"/>
  <c r="AR146" i="5"/>
  <c r="AJ146" i="5"/>
  <c r="AB146" i="5"/>
  <c r="AQ146" i="5"/>
  <c r="AI146" i="5"/>
  <c r="AA146" i="5"/>
  <c r="N146" i="5"/>
  <c r="Y146" i="5"/>
  <c r="AM146" i="5"/>
  <c r="AS147" i="5"/>
  <c r="AK147" i="5"/>
  <c r="AC147" i="5"/>
  <c r="E147" i="5"/>
  <c r="AR147" i="5"/>
  <c r="AJ147" i="5"/>
  <c r="AB147" i="5"/>
  <c r="AQ147" i="5"/>
  <c r="AI147" i="5"/>
  <c r="AA147" i="5"/>
  <c r="N147" i="5"/>
  <c r="Y147" i="5"/>
  <c r="AM147" i="5"/>
  <c r="AS148" i="5"/>
  <c r="AK148" i="5"/>
  <c r="AC148" i="5"/>
  <c r="E148" i="5"/>
  <c r="AR148" i="5"/>
  <c r="AJ148" i="5"/>
  <c r="AB148" i="5"/>
  <c r="AQ148" i="5"/>
  <c r="AI148" i="5"/>
  <c r="AA148" i="5"/>
  <c r="N148" i="5"/>
  <c r="Y148" i="5"/>
  <c r="AM148" i="5"/>
  <c r="AS149" i="5"/>
  <c r="AK149" i="5"/>
  <c r="AC149" i="5"/>
  <c r="E149" i="5"/>
  <c r="AR149" i="5"/>
  <c r="AJ149" i="5"/>
  <c r="AB149" i="5"/>
  <c r="AQ149" i="5"/>
  <c r="AI149" i="5"/>
  <c r="AA149" i="5"/>
  <c r="N149" i="5"/>
  <c r="Y149" i="5"/>
  <c r="AM149" i="5"/>
  <c r="AS150" i="5"/>
  <c r="AK150" i="5"/>
  <c r="AC150" i="5"/>
  <c r="E150" i="5"/>
  <c r="AR150" i="5"/>
  <c r="AJ150" i="5"/>
  <c r="AB150" i="5"/>
  <c r="AQ150" i="5"/>
  <c r="AI150" i="5"/>
  <c r="AA150" i="5"/>
  <c r="N150" i="5"/>
  <c r="Y150" i="5"/>
  <c r="AM150" i="5"/>
  <c r="AS151" i="5"/>
  <c r="AK151" i="5"/>
  <c r="AC151" i="5"/>
  <c r="E151" i="5"/>
  <c r="AR151" i="5"/>
  <c r="AJ151" i="5"/>
  <c r="AB151" i="5"/>
  <c r="AQ151" i="5"/>
  <c r="AI151" i="5"/>
  <c r="AA151" i="5"/>
  <c r="AP151" i="5"/>
  <c r="AH151" i="5"/>
  <c r="Z151" i="5"/>
  <c r="AD151" i="5"/>
  <c r="AT151" i="5"/>
  <c r="L163" i="5"/>
  <c r="AC183" i="5"/>
  <c r="AF184" i="5"/>
  <c r="AU190" i="5"/>
  <c r="AV190" i="5" s="1"/>
  <c r="U190" i="5"/>
  <c r="S158" i="5"/>
  <c r="K158" i="5"/>
  <c r="R158" i="5"/>
  <c r="S162" i="5"/>
  <c r="K162" i="5"/>
  <c r="R162" i="5"/>
  <c r="S166" i="5"/>
  <c r="K166" i="5"/>
  <c r="R166" i="5"/>
  <c r="AM193" i="5"/>
  <c r="AE193" i="5"/>
  <c r="W193" i="5"/>
  <c r="G193" i="5"/>
  <c r="AS193" i="5"/>
  <c r="AK193" i="5"/>
  <c r="AC193" i="5"/>
  <c r="E193" i="5"/>
  <c r="AO193" i="5"/>
  <c r="AG193" i="5"/>
  <c r="Y193" i="5"/>
  <c r="I193" i="5"/>
  <c r="AT193" i="5"/>
  <c r="AH193" i="5"/>
  <c r="H193" i="5"/>
  <c r="AR193" i="5"/>
  <c r="AF193" i="5"/>
  <c r="F193" i="5"/>
  <c r="AL193" i="5"/>
  <c r="Z193" i="5"/>
  <c r="AN193" i="5"/>
  <c r="AJ193" i="5"/>
  <c r="AI193" i="5"/>
  <c r="AD193" i="5"/>
  <c r="AA193" i="5"/>
  <c r="AQ193" i="5"/>
  <c r="O198" i="5"/>
  <c r="M198" i="5"/>
  <c r="Q198" i="5"/>
  <c r="P198" i="5"/>
  <c r="N198" i="5"/>
  <c r="L198" i="5"/>
  <c r="K198" i="5"/>
  <c r="T198" i="5"/>
  <c r="S198" i="5"/>
  <c r="J152" i="5"/>
  <c r="Z152" i="5"/>
  <c r="AH152" i="5"/>
  <c r="AP152" i="5"/>
  <c r="J153" i="5"/>
  <c r="Z153" i="5"/>
  <c r="AH153" i="5"/>
  <c r="AP153" i="5"/>
  <c r="J154" i="5"/>
  <c r="Z154" i="5"/>
  <c r="AH154" i="5"/>
  <c r="AP154" i="5"/>
  <c r="AQ155" i="5"/>
  <c r="AI155" i="5"/>
  <c r="AA155" i="5"/>
  <c r="AP155" i="5"/>
  <c r="AH155" i="5"/>
  <c r="J155" i="5"/>
  <c r="Z155" i="5"/>
  <c r="AK155" i="5"/>
  <c r="M158" i="5"/>
  <c r="M162" i="5"/>
  <c r="AA152" i="5"/>
  <c r="AI152" i="5"/>
  <c r="AQ152" i="5"/>
  <c r="AA153" i="5"/>
  <c r="AI153" i="5"/>
  <c r="AQ153" i="5"/>
  <c r="AA154" i="5"/>
  <c r="AI154" i="5"/>
  <c r="AQ154" i="5"/>
  <c r="AB155" i="5"/>
  <c r="AL155" i="5"/>
  <c r="S157" i="5"/>
  <c r="K157" i="5"/>
  <c r="R157" i="5"/>
  <c r="N158" i="5"/>
  <c r="S161" i="5"/>
  <c r="K161" i="5"/>
  <c r="R161" i="5"/>
  <c r="N162" i="5"/>
  <c r="S165" i="5"/>
  <c r="K165" i="5"/>
  <c r="R165" i="5"/>
  <c r="N166" i="5"/>
  <c r="AU192" i="5"/>
  <c r="AV192" i="5" s="1"/>
  <c r="U192" i="5"/>
  <c r="AM204" i="5"/>
  <c r="AE204" i="5"/>
  <c r="W204" i="5"/>
  <c r="G204" i="5"/>
  <c r="AT204" i="5"/>
  <c r="AL204" i="5"/>
  <c r="AD204" i="5"/>
  <c r="AS204" i="5"/>
  <c r="AK204" i="5"/>
  <c r="AC204" i="5"/>
  <c r="E204" i="5"/>
  <c r="AR204" i="5"/>
  <c r="AQ204" i="5"/>
  <c r="AP204" i="5"/>
  <c r="AO204" i="5"/>
  <c r="AG204" i="5"/>
  <c r="Y204" i="5"/>
  <c r="I204" i="5"/>
  <c r="Z204" i="5"/>
  <c r="AN204" i="5"/>
  <c r="X204" i="5"/>
  <c r="AJ204" i="5"/>
  <c r="J204" i="5"/>
  <c r="AI204" i="5"/>
  <c r="H204" i="5"/>
  <c r="AF204" i="5"/>
  <c r="AH204" i="5"/>
  <c r="AB204" i="5"/>
  <c r="AA204" i="5"/>
  <c r="F204" i="5"/>
  <c r="AB152" i="5"/>
  <c r="AJ152" i="5"/>
  <c r="AR152" i="5"/>
  <c r="AB153" i="5"/>
  <c r="AJ153" i="5"/>
  <c r="AR153" i="5"/>
  <c r="AB154" i="5"/>
  <c r="AJ154" i="5"/>
  <c r="AR154" i="5"/>
  <c r="AC155" i="5"/>
  <c r="AM155" i="5"/>
  <c r="M157" i="5"/>
  <c r="O158" i="5"/>
  <c r="M161" i="5"/>
  <c r="O162" i="5"/>
  <c r="M165" i="5"/>
  <c r="O166" i="5"/>
  <c r="U183" i="5"/>
  <c r="J193" i="5"/>
  <c r="AU200" i="5"/>
  <c r="AV200" i="5" s="1"/>
  <c r="U200" i="5"/>
  <c r="AM201" i="5"/>
  <c r="AE201" i="5"/>
  <c r="W201" i="5"/>
  <c r="G201" i="5"/>
  <c r="AS201" i="5"/>
  <c r="AK201" i="5"/>
  <c r="AC201" i="5"/>
  <c r="E201" i="5"/>
  <c r="AO201" i="5"/>
  <c r="AG201" i="5"/>
  <c r="Y201" i="5"/>
  <c r="I201" i="5"/>
  <c r="AT201" i="5"/>
  <c r="AH201" i="5"/>
  <c r="H201" i="5"/>
  <c r="AR201" i="5"/>
  <c r="AF201" i="5"/>
  <c r="F201" i="5"/>
  <c r="AQ201" i="5"/>
  <c r="AD201" i="5"/>
  <c r="AP201" i="5"/>
  <c r="AB201" i="5"/>
  <c r="AL201" i="5"/>
  <c r="Z201" i="5"/>
  <c r="AN201" i="5"/>
  <c r="J201" i="5"/>
  <c r="AI201" i="5"/>
  <c r="AJ201" i="5"/>
  <c r="E152" i="5"/>
  <c r="AC152" i="5"/>
  <c r="AK152" i="5"/>
  <c r="E153" i="5"/>
  <c r="AC153" i="5"/>
  <c r="AK153" i="5"/>
  <c r="E154" i="5"/>
  <c r="AC154" i="5"/>
  <c r="AK154" i="5"/>
  <c r="E155" i="5"/>
  <c r="AD155" i="5"/>
  <c r="AN155" i="5"/>
  <c r="S156" i="5"/>
  <c r="K156" i="5"/>
  <c r="R156" i="5"/>
  <c r="N157" i="5"/>
  <c r="P158" i="5"/>
  <c r="S160" i="5"/>
  <c r="K160" i="5"/>
  <c r="R160" i="5"/>
  <c r="N161" i="5"/>
  <c r="P162" i="5"/>
  <c r="S164" i="5"/>
  <c r="K164" i="5"/>
  <c r="R164" i="5"/>
  <c r="N165" i="5"/>
  <c r="P166" i="5"/>
  <c r="S168" i="5"/>
  <c r="K168" i="5"/>
  <c r="R168" i="5"/>
  <c r="AM192" i="5"/>
  <c r="AE192" i="5"/>
  <c r="W192" i="5"/>
  <c r="G192" i="5"/>
  <c r="AS192" i="5"/>
  <c r="AK192" i="5"/>
  <c r="AC192" i="5"/>
  <c r="E192" i="5"/>
  <c r="AO192" i="5"/>
  <c r="AG192" i="5"/>
  <c r="Y192" i="5"/>
  <c r="I192" i="5"/>
  <c r="AR192" i="5"/>
  <c r="AF192" i="5"/>
  <c r="F192" i="5"/>
  <c r="AQ192" i="5"/>
  <c r="AD192" i="5"/>
  <c r="AJ192" i="5"/>
  <c r="X192" i="5"/>
  <c r="AB192" i="5"/>
  <c r="J192" i="5"/>
  <c r="AA192" i="5"/>
  <c r="H192" i="5"/>
  <c r="AT192" i="5"/>
  <c r="Z192" i="5"/>
  <c r="AP192" i="5"/>
  <c r="AL192" i="5"/>
  <c r="AH192" i="5"/>
  <c r="O193" i="5"/>
  <c r="M193" i="5"/>
  <c r="Q193" i="5"/>
  <c r="T193" i="5"/>
  <c r="S193" i="5"/>
  <c r="L193" i="5"/>
  <c r="R193" i="5"/>
  <c r="P193" i="5"/>
  <c r="N193" i="5"/>
  <c r="K193" i="5"/>
  <c r="O200" i="5"/>
  <c r="M200" i="5"/>
  <c r="Q200" i="5"/>
  <c r="S200" i="5"/>
  <c r="R200" i="5"/>
  <c r="P200" i="5"/>
  <c r="N200" i="5"/>
  <c r="K200" i="5"/>
  <c r="L200" i="5"/>
  <c r="AM191" i="5"/>
  <c r="AE191" i="5"/>
  <c r="W191" i="5"/>
  <c r="G191" i="5"/>
  <c r="AS191" i="5"/>
  <c r="AK191" i="5"/>
  <c r="AC191" i="5"/>
  <c r="E191" i="5"/>
  <c r="AO191" i="5"/>
  <c r="AG191" i="5"/>
  <c r="Y191" i="5"/>
  <c r="I191" i="5"/>
  <c r="AQ191" i="5"/>
  <c r="AD191" i="5"/>
  <c r="AP191" i="5"/>
  <c r="AB191" i="5"/>
  <c r="AI191" i="5"/>
  <c r="J191" i="5"/>
  <c r="AH191" i="5"/>
  <c r="O192" i="5"/>
  <c r="M192" i="5"/>
  <c r="Q192" i="5"/>
  <c r="S192" i="5"/>
  <c r="R192" i="5"/>
  <c r="K192" i="5"/>
  <c r="AU197" i="5"/>
  <c r="AV197" i="5" s="1"/>
  <c r="U197" i="5"/>
  <c r="U189" i="5"/>
  <c r="AJ191" i="5"/>
  <c r="J156" i="5"/>
  <c r="Z156" i="5"/>
  <c r="AH156" i="5"/>
  <c r="AP156" i="5"/>
  <c r="J157" i="5"/>
  <c r="Z157" i="5"/>
  <c r="AH157" i="5"/>
  <c r="AP157" i="5"/>
  <c r="J158" i="5"/>
  <c r="Z158" i="5"/>
  <c r="AH158" i="5"/>
  <c r="AP158" i="5"/>
  <c r="J159" i="5"/>
  <c r="Z159" i="5"/>
  <c r="AH159" i="5"/>
  <c r="AP159" i="5"/>
  <c r="J160" i="5"/>
  <c r="Z160" i="5"/>
  <c r="AH160" i="5"/>
  <c r="AP160" i="5"/>
  <c r="J161" i="5"/>
  <c r="Z161" i="5"/>
  <c r="AH161" i="5"/>
  <c r="AP161" i="5"/>
  <c r="J162" i="5"/>
  <c r="Z162" i="5"/>
  <c r="AH162" i="5"/>
  <c r="AP162" i="5"/>
  <c r="J163" i="5"/>
  <c r="Z163" i="5"/>
  <c r="AH163" i="5"/>
  <c r="AP163" i="5"/>
  <c r="J164" i="5"/>
  <c r="Z164" i="5"/>
  <c r="AH164" i="5"/>
  <c r="AP164" i="5"/>
  <c r="J165" i="5"/>
  <c r="Z165" i="5"/>
  <c r="AH165" i="5"/>
  <c r="AP165" i="5"/>
  <c r="J166" i="5"/>
  <c r="Z166" i="5"/>
  <c r="AH166" i="5"/>
  <c r="AP166" i="5"/>
  <c r="J167" i="5"/>
  <c r="Z167" i="5"/>
  <c r="AH167" i="5"/>
  <c r="AP167" i="5"/>
  <c r="J168" i="5"/>
  <c r="Z168" i="5"/>
  <c r="AH168" i="5"/>
  <c r="AP168" i="5"/>
  <c r="J169" i="5"/>
  <c r="R169" i="5"/>
  <c r="Z169" i="5"/>
  <c r="AH169" i="5"/>
  <c r="AP169" i="5"/>
  <c r="J170" i="5"/>
  <c r="R170" i="5"/>
  <c r="Z170" i="5"/>
  <c r="AH170" i="5"/>
  <c r="AP170" i="5"/>
  <c r="J171" i="5"/>
  <c r="R171" i="5"/>
  <c r="Z171" i="5"/>
  <c r="AH171" i="5"/>
  <c r="AP171" i="5"/>
  <c r="J172" i="5"/>
  <c r="R172" i="5"/>
  <c r="Z172" i="5"/>
  <c r="AH172" i="5"/>
  <c r="AP172" i="5"/>
  <c r="J173" i="5"/>
  <c r="R173" i="5"/>
  <c r="Z173" i="5"/>
  <c r="AH173" i="5"/>
  <c r="AP173" i="5"/>
  <c r="J174" i="5"/>
  <c r="R174" i="5"/>
  <c r="Z174" i="5"/>
  <c r="AH174" i="5"/>
  <c r="AP174" i="5"/>
  <c r="J175" i="5"/>
  <c r="R175" i="5"/>
  <c r="Z175" i="5"/>
  <c r="AH175" i="5"/>
  <c r="AP175" i="5"/>
  <c r="J176" i="5"/>
  <c r="R176" i="5"/>
  <c r="Z176" i="5"/>
  <c r="AH176" i="5"/>
  <c r="AP176" i="5"/>
  <c r="J177" i="5"/>
  <c r="R177" i="5"/>
  <c r="Z177" i="5"/>
  <c r="AH177" i="5"/>
  <c r="AP177" i="5"/>
  <c r="J178" i="5"/>
  <c r="R178" i="5"/>
  <c r="Z178" i="5"/>
  <c r="AH178" i="5"/>
  <c r="AP178" i="5"/>
  <c r="J179" i="5"/>
  <c r="R179" i="5"/>
  <c r="Z179" i="5"/>
  <c r="AH179" i="5"/>
  <c r="AP179" i="5"/>
  <c r="J180" i="5"/>
  <c r="R180" i="5"/>
  <c r="Z180" i="5"/>
  <c r="AH180" i="5"/>
  <c r="AP180" i="5"/>
  <c r="J181" i="5"/>
  <c r="R181" i="5"/>
  <c r="Z181" i="5"/>
  <c r="AH181" i="5"/>
  <c r="AP181" i="5"/>
  <c r="AQ182" i="5"/>
  <c r="AI182" i="5"/>
  <c r="AT182" i="5"/>
  <c r="AL182" i="5"/>
  <c r="AD182" i="5"/>
  <c r="J182" i="5"/>
  <c r="R182" i="5"/>
  <c r="Z182" i="5"/>
  <c r="AJ182" i="5"/>
  <c r="AC188" i="5"/>
  <c r="X190" i="5"/>
  <c r="AU191" i="5"/>
  <c r="AV191" i="5" s="1"/>
  <c r="U191" i="5"/>
  <c r="AL191" i="5"/>
  <c r="AM195" i="5"/>
  <c r="AE195" i="5"/>
  <c r="W195" i="5"/>
  <c r="G195" i="5"/>
  <c r="AS195" i="5"/>
  <c r="AK195" i="5"/>
  <c r="AC195" i="5"/>
  <c r="E195" i="5"/>
  <c r="AO195" i="5"/>
  <c r="AG195" i="5"/>
  <c r="Y195" i="5"/>
  <c r="I195" i="5"/>
  <c r="AJ195" i="5"/>
  <c r="X195" i="5"/>
  <c r="AI195" i="5"/>
  <c r="J195" i="5"/>
  <c r="AR195" i="5"/>
  <c r="AP195" i="5"/>
  <c r="AB195" i="5"/>
  <c r="AL195" i="5"/>
  <c r="AA156" i="5"/>
  <c r="AI156" i="5"/>
  <c r="AA157" i="5"/>
  <c r="AI157" i="5"/>
  <c r="AA158" i="5"/>
  <c r="AI158" i="5"/>
  <c r="AA159" i="5"/>
  <c r="AI159" i="5"/>
  <c r="AA160" i="5"/>
  <c r="AI160" i="5"/>
  <c r="AA161" i="5"/>
  <c r="AI161" i="5"/>
  <c r="AA162" i="5"/>
  <c r="AI162" i="5"/>
  <c r="AA163" i="5"/>
  <c r="AI163" i="5"/>
  <c r="AA164" i="5"/>
  <c r="AI164" i="5"/>
  <c r="AA165" i="5"/>
  <c r="AI165" i="5"/>
  <c r="AA166" i="5"/>
  <c r="AI166" i="5"/>
  <c r="AA167" i="5"/>
  <c r="AI167" i="5"/>
  <c r="AA168" i="5"/>
  <c r="AI168" i="5"/>
  <c r="K169" i="5"/>
  <c r="AA169" i="5"/>
  <c r="AI169" i="5"/>
  <c r="K170" i="5"/>
  <c r="AA170" i="5"/>
  <c r="AI170" i="5"/>
  <c r="K171" i="5"/>
  <c r="AA171" i="5"/>
  <c r="AI171" i="5"/>
  <c r="K172" i="5"/>
  <c r="AA172" i="5"/>
  <c r="AI172" i="5"/>
  <c r="K173" i="5"/>
  <c r="AA173" i="5"/>
  <c r="AI173" i="5"/>
  <c r="K174" i="5"/>
  <c r="AA174" i="5"/>
  <c r="AI174" i="5"/>
  <c r="K175" i="5"/>
  <c r="AA175" i="5"/>
  <c r="AI175" i="5"/>
  <c r="K176" i="5"/>
  <c r="AA176" i="5"/>
  <c r="AI176" i="5"/>
  <c r="K177" i="5"/>
  <c r="AA177" i="5"/>
  <c r="AI177" i="5"/>
  <c r="K178" i="5"/>
  <c r="AA178" i="5"/>
  <c r="AI178" i="5"/>
  <c r="K179" i="5"/>
  <c r="AA179" i="5"/>
  <c r="AI179" i="5"/>
  <c r="K180" i="5"/>
  <c r="AA180" i="5"/>
  <c r="AI180" i="5"/>
  <c r="K181" i="5"/>
  <c r="AA181" i="5"/>
  <c r="AI181" i="5"/>
  <c r="K182" i="5"/>
  <c r="AA182" i="5"/>
  <c r="AK182" i="5"/>
  <c r="AQ185" i="5"/>
  <c r="AI185" i="5"/>
  <c r="AA185" i="5"/>
  <c r="AT185" i="5"/>
  <c r="AL185" i="5"/>
  <c r="AD185" i="5"/>
  <c r="F185" i="5"/>
  <c r="AC185" i="5"/>
  <c r="AN185" i="5"/>
  <c r="AQ186" i="5"/>
  <c r="AI186" i="5"/>
  <c r="AA186" i="5"/>
  <c r="AT186" i="5"/>
  <c r="AL186" i="5"/>
  <c r="AD186" i="5"/>
  <c r="F186" i="5"/>
  <c r="AC186" i="5"/>
  <c r="AN186" i="5"/>
  <c r="AQ187" i="5"/>
  <c r="AI187" i="5"/>
  <c r="AA187" i="5"/>
  <c r="AT187" i="5"/>
  <c r="AL187" i="5"/>
  <c r="AD187" i="5"/>
  <c r="F187" i="5"/>
  <c r="AC187" i="5"/>
  <c r="AN187" i="5"/>
  <c r="AQ188" i="5"/>
  <c r="AI188" i="5"/>
  <c r="AA188" i="5"/>
  <c r="AT188" i="5"/>
  <c r="AL188" i="5"/>
  <c r="AD188" i="5"/>
  <c r="F188" i="5"/>
  <c r="AE188" i="5"/>
  <c r="AO188" i="5"/>
  <c r="AS190" i="5"/>
  <c r="AO190" i="5"/>
  <c r="AG190" i="5"/>
  <c r="Y190" i="5"/>
  <c r="I190" i="5"/>
  <c r="AP190" i="5"/>
  <c r="AF190" i="5"/>
  <c r="W190" i="5"/>
  <c r="E190" i="5"/>
  <c r="AN190" i="5"/>
  <c r="AE190" i="5"/>
  <c r="AT190" i="5"/>
  <c r="AJ190" i="5"/>
  <c r="AA190" i="5"/>
  <c r="H190" i="5"/>
  <c r="Z190" i="5"/>
  <c r="AM190" i="5"/>
  <c r="F191" i="5"/>
  <c r="AN191" i="5"/>
  <c r="AU195" i="5"/>
  <c r="AV195" i="5" s="1"/>
  <c r="U195" i="5"/>
  <c r="AN195" i="5"/>
  <c r="O201" i="5"/>
  <c r="M201" i="5"/>
  <c r="Q201" i="5"/>
  <c r="T201" i="5"/>
  <c r="S201" i="5"/>
  <c r="R201" i="5"/>
  <c r="P201" i="5"/>
  <c r="L201" i="5"/>
  <c r="F189" i="5"/>
  <c r="AD189" i="5"/>
  <c r="R190" i="5"/>
  <c r="O191" i="5"/>
  <c r="M191" i="5"/>
  <c r="Q191" i="5"/>
  <c r="AM194" i="5"/>
  <c r="AE194" i="5"/>
  <c r="W194" i="5"/>
  <c r="G194" i="5"/>
  <c r="AS194" i="5"/>
  <c r="AK194" i="5"/>
  <c r="AC194" i="5"/>
  <c r="E194" i="5"/>
  <c r="AO194" i="5"/>
  <c r="AG194" i="5"/>
  <c r="Y194" i="5"/>
  <c r="I194" i="5"/>
  <c r="AA194" i="5"/>
  <c r="AN194" i="5"/>
  <c r="R196" i="5"/>
  <c r="H198" i="5"/>
  <c r="AH198" i="5"/>
  <c r="J199" i="5"/>
  <c r="O199" i="5"/>
  <c r="M199" i="5"/>
  <c r="Q199" i="5"/>
  <c r="AI199" i="5"/>
  <c r="X200" i="5"/>
  <c r="AM202" i="5"/>
  <c r="AE202" i="5"/>
  <c r="W202" i="5"/>
  <c r="G202" i="5"/>
  <c r="AS202" i="5"/>
  <c r="AK202" i="5"/>
  <c r="AC202" i="5"/>
  <c r="E202" i="5"/>
  <c r="AO202" i="5"/>
  <c r="AG202" i="5"/>
  <c r="Y202" i="5"/>
  <c r="I202" i="5"/>
  <c r="AA202" i="5"/>
  <c r="AN202" i="5"/>
  <c r="O197" i="5"/>
  <c r="M197" i="5"/>
  <c r="Q197" i="5"/>
  <c r="Z199" i="5"/>
  <c r="AM200" i="5"/>
  <c r="AE200" i="5"/>
  <c r="W200" i="5"/>
  <c r="G200" i="5"/>
  <c r="AS200" i="5"/>
  <c r="AK200" i="5"/>
  <c r="AC200" i="5"/>
  <c r="E200" i="5"/>
  <c r="AO200" i="5"/>
  <c r="AG200" i="5"/>
  <c r="Y200" i="5"/>
  <c r="I200" i="5"/>
  <c r="AA200" i="5"/>
  <c r="AN200" i="5"/>
  <c r="AU204" i="5"/>
  <c r="AV204" i="5" s="1"/>
  <c r="U204" i="5"/>
  <c r="O196" i="5"/>
  <c r="M196" i="5"/>
  <c r="Q196" i="5"/>
  <c r="AM199" i="5"/>
  <c r="AE199" i="5"/>
  <c r="W199" i="5"/>
  <c r="G199" i="5"/>
  <c r="AS199" i="5"/>
  <c r="AK199" i="5"/>
  <c r="AC199" i="5"/>
  <c r="E199" i="5"/>
  <c r="AO199" i="5"/>
  <c r="AG199" i="5"/>
  <c r="Y199" i="5"/>
  <c r="I199" i="5"/>
  <c r="AA199" i="5"/>
  <c r="AN199" i="5"/>
  <c r="AB200" i="5"/>
  <c r="AP200" i="5"/>
  <c r="AU203" i="5"/>
  <c r="AV203" i="5" s="1"/>
  <c r="U203" i="5"/>
  <c r="AO189" i="5"/>
  <c r="AG189" i="5"/>
  <c r="J189" i="5"/>
  <c r="Z189" i="5"/>
  <c r="AI189" i="5"/>
  <c r="AR189" i="5"/>
  <c r="AU194" i="5"/>
  <c r="AV194" i="5" s="1"/>
  <c r="U194" i="5"/>
  <c r="O195" i="5"/>
  <c r="M195" i="5"/>
  <c r="Q195" i="5"/>
  <c r="K196" i="5"/>
  <c r="L197" i="5"/>
  <c r="AM198" i="5"/>
  <c r="AE198" i="5"/>
  <c r="W198" i="5"/>
  <c r="G198" i="5"/>
  <c r="AS198" i="5"/>
  <c r="AK198" i="5"/>
  <c r="AC198" i="5"/>
  <c r="E198" i="5"/>
  <c r="AO198" i="5"/>
  <c r="AG198" i="5"/>
  <c r="Y198" i="5"/>
  <c r="I198" i="5"/>
  <c r="AA198" i="5"/>
  <c r="AN198" i="5"/>
  <c r="AB199" i="5"/>
  <c r="AP199" i="5"/>
  <c r="AD200" i="5"/>
  <c r="AQ200" i="5"/>
  <c r="AU202" i="5"/>
  <c r="AV202" i="5" s="1"/>
  <c r="U202" i="5"/>
  <c r="O203" i="5"/>
  <c r="M203" i="5"/>
  <c r="Q203" i="5"/>
  <c r="K183" i="5"/>
  <c r="K184" i="5"/>
  <c r="K188" i="5"/>
  <c r="K189" i="5"/>
  <c r="AA189" i="5"/>
  <c r="AJ189" i="5"/>
  <c r="AS189" i="5"/>
  <c r="N190" i="5"/>
  <c r="R191" i="5"/>
  <c r="J194" i="5"/>
  <c r="O194" i="5"/>
  <c r="M194" i="5"/>
  <c r="Q194" i="5"/>
  <c r="AI194" i="5"/>
  <c r="K195" i="5"/>
  <c r="L196" i="5"/>
  <c r="AM197" i="5"/>
  <c r="AE197" i="5"/>
  <c r="W197" i="5"/>
  <c r="G197" i="5"/>
  <c r="AS197" i="5"/>
  <c r="AK197" i="5"/>
  <c r="AC197" i="5"/>
  <c r="E197" i="5"/>
  <c r="AO197" i="5"/>
  <c r="AG197" i="5"/>
  <c r="Y197" i="5"/>
  <c r="I197" i="5"/>
  <c r="N197" i="5"/>
  <c r="AA197" i="5"/>
  <c r="AN197" i="5"/>
  <c r="AB198" i="5"/>
  <c r="AP198" i="5"/>
  <c r="R199" i="5"/>
  <c r="AD199" i="5"/>
  <c r="AQ199" i="5"/>
  <c r="F200" i="5"/>
  <c r="AF200" i="5"/>
  <c r="AR200" i="5"/>
  <c r="J202" i="5"/>
  <c r="O202" i="5"/>
  <c r="M202" i="5"/>
  <c r="Q202" i="5"/>
  <c r="AI202" i="5"/>
  <c r="K203" i="5"/>
  <c r="Q204" i="5"/>
  <c r="M204" i="5"/>
  <c r="J18" i="4" l="1"/>
  <c r="M8" i="5"/>
  <c r="L8" i="5"/>
  <c r="P8" i="5"/>
  <c r="K8" i="5"/>
  <c r="O8" i="5"/>
  <c r="J20" i="4"/>
  <c r="M10" i="5"/>
  <c r="P10" i="5"/>
  <c r="O10" i="5"/>
  <c r="K10" i="5"/>
  <c r="U13" i="5"/>
  <c r="AU13" i="5"/>
  <c r="K23" i="4"/>
  <c r="AU198" i="5"/>
  <c r="AV198" i="5" s="1"/>
  <c r="U198" i="5"/>
  <c r="AU69" i="5"/>
  <c r="AV69" i="5" s="1"/>
  <c r="U69" i="5"/>
  <c r="AU55" i="5"/>
  <c r="AV55" i="5" s="1"/>
  <c r="U55" i="5"/>
  <c r="U137" i="5"/>
  <c r="AU137" i="5"/>
  <c r="AV137" i="5" s="1"/>
  <c r="AU167" i="5"/>
  <c r="AV167" i="5" s="1"/>
  <c r="U167" i="5"/>
  <c r="U117" i="5"/>
  <c r="AU117" i="5"/>
  <c r="AV117" i="5" s="1"/>
  <c r="U153" i="5"/>
  <c r="AU153" i="5"/>
  <c r="AV153" i="5" s="1"/>
  <c r="AU68" i="5"/>
  <c r="AV68" i="5" s="1"/>
  <c r="U68" i="5"/>
  <c r="AU61" i="5"/>
  <c r="AV61" i="5" s="1"/>
  <c r="U61" i="5"/>
  <c r="AU45" i="5"/>
  <c r="AV45" i="5" s="1"/>
  <c r="U45" i="5"/>
  <c r="AU64" i="5"/>
  <c r="AV64" i="5" s="1"/>
  <c r="U64" i="5"/>
  <c r="L7" i="5"/>
  <c r="K7" i="5"/>
  <c r="R7" i="5" s="1"/>
  <c r="N7" i="5"/>
  <c r="M7" i="5"/>
  <c r="L17" i="4"/>
  <c r="P7" i="5"/>
  <c r="O7" i="5"/>
  <c r="T17" i="5"/>
  <c r="L17" i="5"/>
  <c r="S17" i="5"/>
  <c r="K17" i="5"/>
  <c r="R17" i="5"/>
  <c r="P17" i="5"/>
  <c r="O17" i="5"/>
  <c r="N17" i="5"/>
  <c r="M17" i="5"/>
  <c r="L27" i="4"/>
  <c r="Q17" i="5"/>
  <c r="T19" i="5"/>
  <c r="L19" i="5"/>
  <c r="L29" i="4"/>
  <c r="S19" i="5"/>
  <c r="K19" i="5"/>
  <c r="R19" i="5"/>
  <c r="Q19" i="5"/>
  <c r="P19" i="5"/>
  <c r="O19" i="5"/>
  <c r="N19" i="5"/>
  <c r="M19" i="5"/>
  <c r="O6" i="5"/>
  <c r="AU201" i="5"/>
  <c r="AV201" i="5" s="1"/>
  <c r="U201" i="5"/>
  <c r="U144" i="5"/>
  <c r="AU144" i="5"/>
  <c r="AV144" i="5" s="1"/>
  <c r="U118" i="5"/>
  <c r="AU118" i="5"/>
  <c r="AV118" i="5" s="1"/>
  <c r="AU104" i="5"/>
  <c r="AV104" i="5" s="1"/>
  <c r="U104" i="5"/>
  <c r="AU112" i="5"/>
  <c r="AV112" i="5" s="1"/>
  <c r="U112" i="5"/>
  <c r="U71" i="5"/>
  <c r="AU71" i="5"/>
  <c r="AV71" i="5" s="1"/>
  <c r="AU48" i="5"/>
  <c r="AV48" i="5" s="1"/>
  <c r="U48" i="5"/>
  <c r="AU62" i="5"/>
  <c r="AV62" i="5" s="1"/>
  <c r="U62" i="5"/>
  <c r="AU53" i="5"/>
  <c r="AV53" i="5" s="1"/>
  <c r="U53" i="5"/>
  <c r="T24" i="5"/>
  <c r="L24" i="5"/>
  <c r="S24" i="5"/>
  <c r="K24" i="5"/>
  <c r="R24" i="5"/>
  <c r="L34" i="4"/>
  <c r="O24" i="5"/>
  <c r="Q24" i="5"/>
  <c r="P24" i="5"/>
  <c r="N24" i="5"/>
  <c r="M24" i="5"/>
  <c r="AU33" i="5"/>
  <c r="U33" i="5"/>
  <c r="K43" i="4"/>
  <c r="U41" i="5"/>
  <c r="AU41" i="5"/>
  <c r="K51" i="4"/>
  <c r="L9" i="5"/>
  <c r="K9" i="5"/>
  <c r="S9" i="5" s="1"/>
  <c r="P9" i="5"/>
  <c r="O9" i="5"/>
  <c r="N9" i="5"/>
  <c r="M9" i="5"/>
  <c r="L19" i="4"/>
  <c r="L11" i="5"/>
  <c r="K11" i="5"/>
  <c r="R11" i="5" s="1"/>
  <c r="P11" i="5"/>
  <c r="L21" i="4"/>
  <c r="O11" i="5"/>
  <c r="N11" i="5"/>
  <c r="M11" i="5"/>
  <c r="P6" i="5"/>
  <c r="U150" i="5"/>
  <c r="AU150" i="5"/>
  <c r="AV150" i="5" s="1"/>
  <c r="U142" i="5"/>
  <c r="AU142" i="5"/>
  <c r="AV142" i="5" s="1"/>
  <c r="AU54" i="5"/>
  <c r="AV54" i="5" s="1"/>
  <c r="U54" i="5"/>
  <c r="AU49" i="5"/>
  <c r="AV49" i="5" s="1"/>
  <c r="U49" i="5"/>
  <c r="AU58" i="5"/>
  <c r="AV58" i="5" s="1"/>
  <c r="U58" i="5"/>
  <c r="AU38" i="5"/>
  <c r="K48" i="4"/>
  <c r="U38" i="5"/>
  <c r="U148" i="5"/>
  <c r="AU148" i="5"/>
  <c r="AV148" i="5" s="1"/>
  <c r="U129" i="5"/>
  <c r="AU129" i="5"/>
  <c r="AV129" i="5" s="1"/>
  <c r="U149" i="5"/>
  <c r="AU149" i="5"/>
  <c r="AV149" i="5" s="1"/>
  <c r="U131" i="5"/>
  <c r="AU131" i="5"/>
  <c r="AV131" i="5" s="1"/>
  <c r="U152" i="5"/>
  <c r="AU152" i="5"/>
  <c r="AV152" i="5" s="1"/>
  <c r="U147" i="5"/>
  <c r="AU147" i="5"/>
  <c r="AV147" i="5" s="1"/>
  <c r="U136" i="5"/>
  <c r="AU136" i="5"/>
  <c r="AV136" i="5" s="1"/>
  <c r="AU66" i="5"/>
  <c r="AV66" i="5" s="1"/>
  <c r="U66" i="5"/>
  <c r="U44" i="5"/>
  <c r="AU44" i="5"/>
  <c r="AV44" i="5" s="1"/>
  <c r="L10" i="5"/>
  <c r="AU18" i="5"/>
  <c r="K28" i="4"/>
  <c r="U18" i="5"/>
  <c r="U40" i="5"/>
  <c r="AU40" i="5"/>
  <c r="K50" i="4"/>
  <c r="U21" i="5"/>
  <c r="AU21" i="5"/>
  <c r="K31" i="4"/>
  <c r="U20" i="5"/>
  <c r="K30" i="4"/>
  <c r="AU20" i="5"/>
  <c r="U12" i="5"/>
  <c r="AU12" i="5"/>
  <c r="K22" i="4"/>
  <c r="U133" i="5"/>
  <c r="AU133" i="5"/>
  <c r="AV133" i="5" s="1"/>
  <c r="AU50" i="5"/>
  <c r="AV50" i="5" s="1"/>
  <c r="U50" i="5"/>
  <c r="AU32" i="5"/>
  <c r="U32" i="5"/>
  <c r="K42" i="4"/>
  <c r="L5" i="5"/>
  <c r="C12" i="3" s="1"/>
  <c r="D12" i="3" s="1"/>
  <c r="C10" i="4"/>
  <c r="C7" i="4"/>
  <c r="E3" i="3"/>
  <c r="N5" i="5"/>
  <c r="C14" i="3" s="1"/>
  <c r="D14" i="3" s="1"/>
  <c r="C11" i="4"/>
  <c r="C8" i="4"/>
  <c r="C6" i="4"/>
  <c r="P5" i="5"/>
  <c r="C16" i="3" s="1"/>
  <c r="D16" i="3" s="1"/>
  <c r="C9" i="4"/>
  <c r="L15" i="4"/>
  <c r="M5" i="5"/>
  <c r="C13" i="3" s="1"/>
  <c r="D13" i="3" s="1"/>
  <c r="AU36" i="5"/>
  <c r="U36" i="5"/>
  <c r="K46" i="4"/>
  <c r="U134" i="5"/>
  <c r="AU134" i="5"/>
  <c r="AV134" i="5" s="1"/>
  <c r="AU159" i="5"/>
  <c r="AV159" i="5" s="1"/>
  <c r="U159" i="5"/>
  <c r="U145" i="5"/>
  <c r="AU145" i="5"/>
  <c r="AV145" i="5" s="1"/>
  <c r="U130" i="5"/>
  <c r="AU130" i="5"/>
  <c r="AV130" i="5" s="1"/>
  <c r="U43" i="5"/>
  <c r="AU43" i="5"/>
  <c r="AV43" i="5" s="1"/>
  <c r="AU60" i="5"/>
  <c r="AV60" i="5" s="1"/>
  <c r="U60" i="5"/>
  <c r="AU52" i="5"/>
  <c r="AV52" i="5" s="1"/>
  <c r="U52" i="5"/>
  <c r="AU37" i="5"/>
  <c r="U37" i="5"/>
  <c r="K47" i="4"/>
  <c r="AU29" i="5"/>
  <c r="K39" i="4"/>
  <c r="U29" i="5"/>
  <c r="AU30" i="5"/>
  <c r="K40" i="4"/>
  <c r="U30" i="5"/>
  <c r="M6" i="5"/>
  <c r="U16" i="5"/>
  <c r="AU16" i="5"/>
  <c r="K26" i="4"/>
  <c r="U151" i="5"/>
  <c r="AU151" i="5"/>
  <c r="AV151" i="5" s="1"/>
  <c r="U155" i="5"/>
  <c r="AU155" i="5"/>
  <c r="AV155" i="5" s="1"/>
  <c r="AU163" i="5"/>
  <c r="AV163" i="5" s="1"/>
  <c r="U163" i="5"/>
  <c r="AU109" i="5"/>
  <c r="AV109" i="5" s="1"/>
  <c r="U109" i="5"/>
  <c r="AU67" i="5"/>
  <c r="AV67" i="5" s="1"/>
  <c r="U67" i="5"/>
  <c r="AU63" i="5"/>
  <c r="AV63" i="5" s="1"/>
  <c r="U63" i="5"/>
  <c r="H5" i="5"/>
  <c r="O5" i="5" s="1"/>
  <c r="C15" i="3" s="1"/>
  <c r="D15" i="3" s="1"/>
  <c r="E35" i="3"/>
  <c r="AU28" i="5"/>
  <c r="U28" i="5"/>
  <c r="K38" i="4"/>
  <c r="U154" i="5"/>
  <c r="AU154" i="5"/>
  <c r="AV154" i="5" s="1"/>
  <c r="AU57" i="5"/>
  <c r="AV57" i="5" s="1"/>
  <c r="U57" i="5"/>
  <c r="J15" i="4"/>
  <c r="G39" i="3"/>
  <c r="B16" i="3"/>
  <c r="AU34" i="5"/>
  <c r="U34" i="5"/>
  <c r="K44" i="4"/>
  <c r="AU26" i="5"/>
  <c r="K36" i="4"/>
  <c r="U26" i="5"/>
  <c r="AU27" i="5"/>
  <c r="U27" i="5"/>
  <c r="K37" i="4"/>
  <c r="T15" i="5"/>
  <c r="L15" i="5"/>
  <c r="L25" i="4"/>
  <c r="S15" i="5"/>
  <c r="K15" i="5"/>
  <c r="R15" i="5"/>
  <c r="N15" i="5"/>
  <c r="M15" i="5"/>
  <c r="Q15" i="5"/>
  <c r="P15" i="5"/>
  <c r="O15" i="5"/>
  <c r="T25" i="5"/>
  <c r="L25" i="5"/>
  <c r="S25" i="5"/>
  <c r="K25" i="5"/>
  <c r="R25" i="5"/>
  <c r="O25" i="5"/>
  <c r="P25" i="5"/>
  <c r="L35" i="4"/>
  <c r="N25" i="5"/>
  <c r="M25" i="5"/>
  <c r="Q25" i="5"/>
  <c r="AU35" i="5"/>
  <c r="U35" i="5"/>
  <c r="K45" i="4"/>
  <c r="U22" i="5"/>
  <c r="AU22" i="5"/>
  <c r="K32" i="4"/>
  <c r="K6" i="5"/>
  <c r="U132" i="5"/>
  <c r="AU132" i="5"/>
  <c r="AV132" i="5" s="1"/>
  <c r="AU59" i="5"/>
  <c r="AV59" i="5" s="1"/>
  <c r="U59" i="5"/>
  <c r="AU39" i="5"/>
  <c r="U39" i="5"/>
  <c r="K49" i="4"/>
  <c r="AU193" i="5"/>
  <c r="AV193" i="5" s="1"/>
  <c r="U193" i="5"/>
  <c r="U139" i="5"/>
  <c r="AU139" i="5"/>
  <c r="AV139" i="5" s="1"/>
  <c r="U143" i="5"/>
  <c r="AU143" i="5"/>
  <c r="AV143" i="5" s="1"/>
  <c r="U140" i="5"/>
  <c r="AU140" i="5"/>
  <c r="AV140" i="5" s="1"/>
  <c r="AU70" i="5"/>
  <c r="AV70" i="5" s="1"/>
  <c r="U70" i="5"/>
  <c r="AU56" i="5"/>
  <c r="AV56" i="5" s="1"/>
  <c r="U56" i="5"/>
  <c r="U42" i="5"/>
  <c r="AU42" i="5"/>
  <c r="AV42" i="5" s="1"/>
  <c r="AU47" i="5"/>
  <c r="AV47" i="5" s="1"/>
  <c r="U47" i="5"/>
  <c r="U146" i="5"/>
  <c r="AU146" i="5"/>
  <c r="AV146" i="5" s="1"/>
  <c r="U138" i="5"/>
  <c r="AU138" i="5"/>
  <c r="AV138" i="5" s="1"/>
  <c r="U124" i="5"/>
  <c r="AU124" i="5"/>
  <c r="AV124" i="5" s="1"/>
  <c r="U141" i="5"/>
  <c r="AU141" i="5"/>
  <c r="AV141" i="5" s="1"/>
  <c r="U135" i="5"/>
  <c r="AU135" i="5"/>
  <c r="AV135" i="5" s="1"/>
  <c r="AU65" i="5"/>
  <c r="AV65" i="5" s="1"/>
  <c r="U65" i="5"/>
  <c r="U119" i="5"/>
  <c r="AU119" i="5"/>
  <c r="AV119" i="5" s="1"/>
  <c r="AU51" i="5"/>
  <c r="AV51" i="5" s="1"/>
  <c r="U51" i="5"/>
  <c r="AU110" i="5"/>
  <c r="AV110" i="5" s="1"/>
  <c r="U110" i="5"/>
  <c r="U120" i="5"/>
  <c r="AU120" i="5"/>
  <c r="AV120" i="5" s="1"/>
  <c r="AU31" i="5"/>
  <c r="K41" i="4"/>
  <c r="U31" i="5"/>
  <c r="N10" i="5"/>
  <c r="T23" i="5"/>
  <c r="L23" i="5"/>
  <c r="L33" i="4"/>
  <c r="S23" i="5"/>
  <c r="K23" i="5"/>
  <c r="R23" i="5"/>
  <c r="O23" i="5"/>
  <c r="P23" i="5"/>
  <c r="N23" i="5"/>
  <c r="M23" i="5"/>
  <c r="Q23" i="5"/>
  <c r="K24" i="4"/>
  <c r="U14" i="5"/>
  <c r="AU14" i="5"/>
  <c r="N8" i="5"/>
  <c r="N6" i="5"/>
  <c r="AV21" i="5" l="1"/>
  <c r="N31" i="4" s="1"/>
  <c r="M31" i="4"/>
  <c r="AV41" i="5"/>
  <c r="N51" i="4" s="1"/>
  <c r="M51" i="4"/>
  <c r="K27" i="4"/>
  <c r="U17" i="5"/>
  <c r="AU17" i="5"/>
  <c r="M32" i="4"/>
  <c r="AV22" i="5"/>
  <c r="N32" i="4" s="1"/>
  <c r="AV37" i="5"/>
  <c r="N47" i="4" s="1"/>
  <c r="M47" i="4"/>
  <c r="M49" i="4"/>
  <c r="AV39" i="5"/>
  <c r="N49" i="4" s="1"/>
  <c r="M46" i="4"/>
  <c r="AV36" i="5"/>
  <c r="N46" i="4" s="1"/>
  <c r="AV30" i="5"/>
  <c r="N40" i="4" s="1"/>
  <c r="M40" i="4"/>
  <c r="S7" i="5"/>
  <c r="M37" i="4"/>
  <c r="AV27" i="5"/>
  <c r="N37" i="4" s="1"/>
  <c r="AV28" i="5"/>
  <c r="N38" i="4" s="1"/>
  <c r="M38" i="4"/>
  <c r="M26" i="4"/>
  <c r="AV16" i="5"/>
  <c r="N26" i="4" s="1"/>
  <c r="AV29" i="5"/>
  <c r="N39" i="4" s="1"/>
  <c r="M39" i="4"/>
  <c r="AV26" i="5"/>
  <c r="N36" i="4" s="1"/>
  <c r="M36" i="4"/>
  <c r="AV14" i="5"/>
  <c r="N24" i="4" s="1"/>
  <c r="M24" i="4"/>
  <c r="M41" i="4"/>
  <c r="AV31" i="5"/>
  <c r="N41" i="4" s="1"/>
  <c r="K25" i="4"/>
  <c r="U15" i="5"/>
  <c r="AU15" i="5"/>
  <c r="M44" i="4"/>
  <c r="AV34" i="5"/>
  <c r="N44" i="4" s="1"/>
  <c r="S11" i="5"/>
  <c r="AV35" i="5"/>
  <c r="N45" i="4" s="1"/>
  <c r="M45" i="4"/>
  <c r="AV12" i="5"/>
  <c r="N22" i="4" s="1"/>
  <c r="M22" i="4"/>
  <c r="R9" i="5"/>
  <c r="AV40" i="5"/>
  <c r="N50" i="4" s="1"/>
  <c r="M50" i="4"/>
  <c r="M23" i="4"/>
  <c r="AV13" i="5"/>
  <c r="N23" i="4" s="1"/>
  <c r="Q8" i="5"/>
  <c r="T8" i="5" s="1"/>
  <c r="S8" i="5"/>
  <c r="R8" i="5"/>
  <c r="M42" i="4"/>
  <c r="AV32" i="5"/>
  <c r="N42" i="4" s="1"/>
  <c r="M30" i="4"/>
  <c r="AV20" i="5"/>
  <c r="N30" i="4" s="1"/>
  <c r="Q9" i="5"/>
  <c r="T9" i="5" s="1"/>
  <c r="M43" i="4"/>
  <c r="AV33" i="5"/>
  <c r="N43" i="4" s="1"/>
  <c r="Q7" i="5"/>
  <c r="T7" i="5" s="1"/>
  <c r="AU23" i="5"/>
  <c r="U23" i="5"/>
  <c r="K33" i="4"/>
  <c r="S6" i="5"/>
  <c r="R6" i="5"/>
  <c r="Q6" i="5"/>
  <c r="T6" i="5" s="1"/>
  <c r="AU25" i="5"/>
  <c r="U25" i="5"/>
  <c r="K35" i="4"/>
  <c r="B14" i="3"/>
  <c r="H15" i="4"/>
  <c r="E39" i="3"/>
  <c r="AV38" i="5"/>
  <c r="N48" i="4" s="1"/>
  <c r="M48" i="4"/>
  <c r="U19" i="5"/>
  <c r="AU19" i="5"/>
  <c r="K29" i="4"/>
  <c r="R10" i="5"/>
  <c r="Q10" i="5"/>
  <c r="T10" i="5" s="1"/>
  <c r="S10" i="5"/>
  <c r="K5" i="5"/>
  <c r="Q11" i="5"/>
  <c r="T11" i="5" s="1"/>
  <c r="M28" i="4"/>
  <c r="AV18" i="5"/>
  <c r="N28" i="4" s="1"/>
  <c r="AU24" i="5"/>
  <c r="U24" i="5"/>
  <c r="K34" i="4"/>
  <c r="K18" i="4" l="1"/>
  <c r="AU8" i="5"/>
  <c r="U8" i="5"/>
  <c r="U11" i="5"/>
  <c r="AU11" i="5"/>
  <c r="K21" i="4"/>
  <c r="K19" i="4"/>
  <c r="U9" i="5"/>
  <c r="AU9" i="5"/>
  <c r="M27" i="4"/>
  <c r="AV17" i="5"/>
  <c r="N27" i="4" s="1"/>
  <c r="AU10" i="5"/>
  <c r="K20" i="4"/>
  <c r="U10" i="5"/>
  <c r="C11" i="3"/>
  <c r="D11" i="3" s="1"/>
  <c r="S5" i="5"/>
  <c r="R5" i="5"/>
  <c r="Q5" i="5"/>
  <c r="M34" i="4"/>
  <c r="AV24" i="5"/>
  <c r="N34" i="4" s="1"/>
  <c r="M33" i="4"/>
  <c r="AV23" i="5"/>
  <c r="N33" i="4" s="1"/>
  <c r="M25" i="4"/>
  <c r="AV15" i="5"/>
  <c r="N25" i="4" s="1"/>
  <c r="K17" i="4"/>
  <c r="U7" i="5"/>
  <c r="AU7" i="5"/>
  <c r="U6" i="5"/>
  <c r="K16" i="4"/>
  <c r="AU6" i="5"/>
  <c r="AV19" i="5"/>
  <c r="N29" i="4" s="1"/>
  <c r="M29" i="4"/>
  <c r="AV25" i="5"/>
  <c r="N35" i="4" s="1"/>
  <c r="M35" i="4"/>
  <c r="M16" i="4" l="1"/>
  <c r="HZ6" i="2"/>
  <c r="AV6" i="5"/>
  <c r="HZ7" i="2"/>
  <c r="AV7" i="5"/>
  <c r="M17" i="4"/>
  <c r="B7" i="4"/>
  <c r="B11" i="4"/>
  <c r="B10" i="4"/>
  <c r="B6" i="4"/>
  <c r="B9" i="4"/>
  <c r="B8" i="4"/>
  <c r="T5" i="5"/>
  <c r="AV11" i="5"/>
  <c r="M21" i="4"/>
  <c r="HZ11" i="2"/>
  <c r="M20" i="4"/>
  <c r="AV10" i="5"/>
  <c r="HZ10" i="2"/>
  <c r="M18" i="4"/>
  <c r="AV8" i="5"/>
  <c r="HZ8" i="2"/>
  <c r="M19" i="4"/>
  <c r="AV9" i="5"/>
  <c r="HZ9" i="2"/>
  <c r="N18" i="4" l="1"/>
  <c r="IA8" i="2"/>
  <c r="U5" i="5"/>
  <c r="B8" i="3" s="1"/>
  <c r="AU5" i="5"/>
  <c r="B7" i="3"/>
  <c r="K15" i="4"/>
  <c r="N17" i="4"/>
  <c r="IA7" i="2"/>
  <c r="N21" i="4"/>
  <c r="IA11" i="2"/>
  <c r="N19" i="4"/>
  <c r="IA9" i="2"/>
  <c r="N16" i="4"/>
  <c r="IA6" i="2"/>
  <c r="N20" i="4"/>
  <c r="IA10" i="2"/>
  <c r="AV5" i="5" l="1"/>
  <c r="M15" i="4"/>
  <c r="B4" i="3"/>
  <c r="HZ5" i="2"/>
  <c r="B20" i="3"/>
  <c r="B28" i="3"/>
  <c r="B24" i="3"/>
  <c r="B29" i="3" l="1"/>
  <c r="B30" i="3"/>
  <c r="B26" i="3"/>
  <c r="B25" i="3"/>
  <c r="B21" i="3"/>
  <c r="B22" i="3"/>
  <c r="N15" i="4"/>
  <c r="E4" i="3"/>
  <c r="IA5" i="2"/>
  <c r="I4" i="4" l="1"/>
  <c r="M4" i="4"/>
  <c r="K4" i="4"/>
</calcChain>
</file>

<file path=xl/sharedStrings.xml><?xml version="1.0" encoding="utf-8"?>
<sst xmlns="http://schemas.openxmlformats.org/spreadsheetml/2006/main" count="2499" uniqueCount="1105">
  <si>
    <t>APLIKASI PENELUSURAN MINAT KARIR HOLLAND RIASEC — VERSI FINAL 2026</t>
  </si>
  <si>
    <t>Data</t>
  </si>
  <si>
    <t>Isi</t>
  </si>
  <si>
    <t>Sekolah</t>
  </si>
  <si>
    <t>SMA  Negeri Bengkulu</t>
  </si>
  <si>
    <t>Kelas</t>
  </si>
  <si>
    <t>XI . IPA. 1</t>
  </si>
  <si>
    <t>Tahun Pelajaran</t>
  </si>
  <si>
    <t>2009/2010</t>
  </si>
  <si>
    <t>Tanggal Layanan</t>
  </si>
  <si>
    <t>Sheet</t>
  </si>
  <si>
    <t>Fungsi</t>
  </si>
  <si>
    <t>Data Menu</t>
  </si>
  <si>
    <t>Informasi workbook, alur penggunaan, dan catatan pemutakhiran.</t>
  </si>
  <si>
    <t>Pertanyaan</t>
  </si>
  <si>
    <t>Lembar 216 pertanyaan yang telah dimodernisasi + 12 self-estimate.</t>
  </si>
  <si>
    <t>entri hasil dari isian siswa</t>
  </si>
  <si>
    <t>Identitas, jawaban item 1–216, 12 self-estimate, status data, pasangan dominan, dan tingkat konsistensi.</t>
  </si>
  <si>
    <t>Hasil Tes siswa</t>
  </si>
  <si>
    <t>Laporan individual: skor, kode 3 huruf, konsistensi, interpretasi, dan rekomendasi pekerjaan.</t>
  </si>
  <si>
    <t>Laporan Kelompok</t>
  </si>
  <si>
    <t>Ringkasan hasil seluruh siswa termasuk kode dan tingkat konsistensi.</t>
  </si>
  <si>
    <t>Hasil</t>
  </si>
  <si>
    <t>Perhitungan skor, peringkat, kode 3 huruf unik, rekomendasi, dan konsistensi.</t>
  </si>
  <si>
    <t>Kunci dari RIASEC</t>
  </si>
  <si>
    <t>120 kombinasi kode tiga huruf dengan rekomendasi pekerjaan modern.</t>
  </si>
  <si>
    <t>Kunci Jawaban</t>
  </si>
  <si>
    <t>Pemetaan 216 item ke tipe RIASEC dan teks pernyataan versi pemutakhiran.</t>
  </si>
  <si>
    <t>ALUR PENGGUNAAN</t>
  </si>
  <si>
    <t>Isi identitas sekolah/kelas pada bagian Data di atas.</t>
  </si>
  <si>
    <t>Gunakan sheet “Pertanyaan” sebagai lembar soal/referensi saat pelaksanaan tes.</t>
  </si>
  <si>
    <t>Masukkan identitas siswa pada sheet “entri hasil dari isian siswa”.</t>
  </si>
  <si>
    <t>Item 1–216: masukkan 1 untuk setuju/dipilih; 0 atau kosong untuk tidak.</t>
  </si>
  <si>
    <t>Isi seluruh 12 nilai Self Estimate (6 Pengetahuan + 6 Keterampilan), skala 1–7.</t>
  </si>
  <si>
    <t>Pastikan Status Data = OK. Kode RIASEC, pasangan dominan, dan konsistensi akan terbentuk otomatis.</t>
  </si>
  <si>
    <t>Pilih NIS/ID pada “Hasil Tes siswa” untuk laporan individual; gunakan “Laporan Kelompok” untuk rekap kelas.</t>
  </si>
  <si>
    <t>RUJUKAN PEMUTAKHIRAN</t>
  </si>
  <si>
    <t>O*NET Database 31.0 (Agustus 2026) dan O*NET OnLine Career Interest Types digunakan untuk memutakhirkan istilah/contoh pekerjaan.</t>
  </si>
  <si>
    <t>URL O*NET Database</t>
  </si>
  <si>
    <t>https://www.onetcenter.org/db_releases.html</t>
  </si>
  <si>
    <t>URL O*NET Interest Types</t>
  </si>
  <si>
    <t>https://www.onetonline.org/explore/interests/</t>
  </si>
  <si>
    <t>ENTRI HASIL ISIAN SISWA — HOLLAND RIASEC</t>
  </si>
  <si>
    <t>PETUNJUK: Item 1–216 diisi 1 = setuju/dipilih; 0 atau kosong = tidak. SELF ESTIMATE wajib diisi lengkap untuk 6 tipe RIASEC pada PENGETAHUAN dan KETERAMPILAN dengan nilai 1–7. Setelah data lengkap, sistem membentuk kode RIASEC 3 huruf unik dan tingkat konsistensi berdasarkan dua huruf dominan. Kapasitas: 200 siswa.</t>
  </si>
  <si>
    <t>IDENTITAS</t>
  </si>
  <si>
    <t>AKTIVITAS — Item 1–66</t>
  </si>
  <si>
    <t>KEMAMPUAN/KETERAMPILAN — Item 67–132</t>
  </si>
  <si>
    <t>PEKERJAAN — Item 133–216</t>
  </si>
  <si>
    <t>SELF ESTIMATE — PENGETAHUAN</t>
  </si>
  <si>
    <t>SELF ESTIMATE — KETERAMPILAN</t>
  </si>
  <si>
    <t>KONTROL &amp; KONSISTENSI</t>
  </si>
  <si>
    <t>No</t>
  </si>
  <si>
    <t>NIS / ID</t>
  </si>
  <si>
    <t>Nama Siswa</t>
  </si>
  <si>
    <t>L/P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</si>
  <si>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</si>
  <si>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</si>
  <si>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</si>
  <si>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</si>
  <si>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</si>
  <si>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</si>
  <si>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</si>
  <si>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</si>
  <si>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</si>
  <si>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</si>
  <si>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</si>
  <si>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</si>
  <si>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</si>
  <si>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</si>
  <si>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</si>
  <si>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</si>
  <si>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</si>
  <si>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</si>
  <si>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</si>
  <si>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</si>
  <si>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</si>
  <si>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</si>
  <si>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</si>
  <si>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</si>
  <si>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</si>
  <si>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</si>
  <si>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</si>
  <si>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</si>
  <si>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</si>
  <si>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</si>
  <si>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</si>
  <si>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</si>
  <si>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</si>
  <si>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</si>
  <si>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</si>
  <si>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</si>
  <si>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</si>
  <si>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</si>
  <si>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</si>
  <si>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</si>
  <si>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</si>
  <si>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</si>
  <si>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</si>
  <si>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</si>
  <si>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</si>
  <si>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</si>
  <si>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</si>
  <si>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</si>
  <si>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</si>
  <si>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</si>
  <si>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</si>
  <si>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</si>
  <si>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</si>
  <si>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</si>
  <si>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</si>
  <si>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</si>
  <si>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</si>
  <si>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</si>
  <si>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</si>
  <si>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</si>
  <si>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</si>
  <si>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</si>
  <si>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</si>
  <si>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</si>
  <si>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</si>
  <si>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</si>
  <si>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</si>
  <si>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</si>
  <si>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</si>
  <si>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</si>
  <si>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</si>
  <si>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</si>
  <si>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</si>
  <si>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</si>
  <si>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</si>
  <si>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</si>
  <si>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</si>
  <si>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</si>
  <si>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</si>
  <si>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</si>
  <si>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</si>
  <si>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</si>
  <si>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</si>
  <si>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</si>
  <si>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</si>
  <si>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</si>
  <si>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</si>
  <si>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</si>
  <si>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</si>
  <si>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</si>
  <si>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</si>
  <si>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</si>
  <si>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</si>
  <si>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</si>
  <si>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</si>
  <si>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</si>
  <si>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</si>
  <si>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</si>
  <si>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</si>
  <si>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</si>
  <si>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</si>
  <si>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</si>
  <si>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</si>
  <si>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</si>
  <si>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</si>
  <si>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</si>
  <si>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</si>
  <si>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</si>
  <si>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</si>
  <si>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</si>
  <si>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</si>
  <si>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</si>
  <si>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</si>
  <si>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</si>
  <si>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</si>
  <si>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</si>
  <si>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</si>
  <si>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</si>
  <si>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</si>
  <si>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</si>
  <si>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</si>
  <si>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</si>
  <si>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</si>
  <si>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</si>
  <si>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</si>
  <si>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</si>
  <si>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</si>
  <si>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</si>
  <si>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</si>
  <si>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</si>
  <si>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</si>
  <si>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</si>
  <si>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</si>
  <si>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</si>
  <si>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</si>
  <si>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</si>
  <si>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</si>
  <si>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</si>
  <si>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</si>
  <si>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</si>
  <si>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</si>
  <si>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</si>
  <si>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</si>
  <si>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</si>
  <si>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</si>
  <si>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</si>
  <si>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</si>
  <si>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</si>
  <si>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</si>
  <si>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</si>
  <si>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</si>
  <si>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</si>
  <si>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</si>
  <si>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</si>
  <si>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</si>
  <si>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</si>
  <si>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</si>
  <si>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</si>
  <si>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</si>
  <si>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</si>
  <si>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</si>
  <si>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</si>
  <si>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</si>
  <si>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</si>
  <si>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</si>
  <si>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</si>
  <si>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</si>
  <si>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</si>
  <si>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</si>
  <si>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</si>
  <si>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</si>
  <si>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</si>
  <si>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</si>
  <si>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</si>
  <si>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</si>
  <si>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</si>
  <si>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</si>
  <si>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</si>
  <si>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</si>
  <si>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</si>
  <si>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</si>
  <si>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</si>
  <si>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</si>
  <si>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</si>
  <si>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</si>
  <si>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</si>
  <si>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</si>
  <si>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</si>
  <si>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</si>
  <si>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</si>
  <si>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</si>
  <si>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</si>
  <si>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</si>
  <si>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</si>
  <si>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</si>
  <si>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</si>
  <si>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</si>
  <si>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</si>
  <si>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</si>
  <si>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</si>
  <si>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</si>
  <si>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</si>
  <si>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</si>
  <si>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</si>
  <si>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</si>
  <si>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</si>
  <si>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</si>
  <si>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</si>
  <si>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</si>
  <si>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</si>
  <si>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</si>
  <si>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</si>
  <si>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</si>
  <si>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</si>
  <si>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</si>
  <si>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</si>
  <si>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R</t>
  </si>
  <si>
    <t>I</t>
  </si>
  <si>
    <t>A</t>
  </si>
  <si>
    <t>S</t>
  </si>
  <si>
    <t>E</t>
  </si>
  <si>
    <t>C</t>
  </si>
  <si>
    <t>Status Data</t>
  </si>
  <si>
    <t>Pasangan Dominan</t>
  </si>
  <si>
    <t>Tingkat Konsistensi</t>
  </si>
  <si>
    <t>22001</t>
  </si>
  <si>
    <t>Selly Aljannah</t>
  </si>
  <si>
    <t>L</t>
  </si>
  <si>
    <t>22002</t>
  </si>
  <si>
    <t>Siti Solekha</t>
  </si>
  <si>
    <t>22003</t>
  </si>
  <si>
    <t>Sri Panca Lestari</t>
  </si>
  <si>
    <t>22004</t>
  </si>
  <si>
    <t>Widi Hartanto</t>
  </si>
  <si>
    <t>22005</t>
  </si>
  <si>
    <t>Puji Lestari</t>
  </si>
  <si>
    <t>22006</t>
  </si>
  <si>
    <t>Silvia Noviana N</t>
  </si>
  <si>
    <t>22007</t>
  </si>
  <si>
    <t>Sinta Intani Fitriana</t>
  </si>
  <si>
    <t>22008</t>
  </si>
  <si>
    <t>Siti Nur Fadhilah</t>
  </si>
  <si>
    <t>22009</t>
  </si>
  <si>
    <t>Khotimatuz Zuhriyah</t>
  </si>
  <si>
    <t>22010</t>
  </si>
  <si>
    <t>Kukuh Priyatin</t>
  </si>
  <si>
    <t>22011</t>
  </si>
  <si>
    <t>Mas Karebet Setiawan</t>
  </si>
  <si>
    <t>22012</t>
  </si>
  <si>
    <t>Mauidhotul Hasanah Ismail</t>
  </si>
  <si>
    <t>22013</t>
  </si>
  <si>
    <t>Ririn Fauziyah</t>
  </si>
  <si>
    <t>22014</t>
  </si>
  <si>
    <t>Ulfatul Maula</t>
  </si>
  <si>
    <t>22015</t>
  </si>
  <si>
    <t>Rizki Imam Fauzi</t>
  </si>
  <si>
    <t>22016</t>
  </si>
  <si>
    <t>Siti Arisah</t>
  </si>
  <si>
    <t>22017</t>
  </si>
  <si>
    <t>Slamet Riyadi</t>
  </si>
  <si>
    <t>22018</t>
  </si>
  <si>
    <t>Sri Harnita</t>
  </si>
  <si>
    <t>22019</t>
  </si>
  <si>
    <t>Tentri Year Itqa Retma N</t>
  </si>
  <si>
    <t>22020</t>
  </si>
  <si>
    <t>Winda Andriyani</t>
  </si>
  <si>
    <t>22021</t>
  </si>
  <si>
    <t>Hasan Agus Salim</t>
  </si>
  <si>
    <t>22022</t>
  </si>
  <si>
    <t>Muhammad Tondi Prasetyo</t>
  </si>
  <si>
    <t>22023</t>
  </si>
  <si>
    <t>Raudatul Jannah</t>
  </si>
  <si>
    <t>22024</t>
  </si>
  <si>
    <t>Titi Larasati</t>
  </si>
  <si>
    <t>22025</t>
  </si>
  <si>
    <t>Tri Purwaningsih</t>
  </si>
  <si>
    <t>22026</t>
  </si>
  <si>
    <t>Vindi Apriyanasari</t>
  </si>
  <si>
    <t>22027</t>
  </si>
  <si>
    <t>Sofiyani</t>
  </si>
  <si>
    <t>22028</t>
  </si>
  <si>
    <t>Alfarisi Akbar Efendi</t>
  </si>
  <si>
    <t>22029</t>
  </si>
  <si>
    <t>Untung Pambudhi Aji</t>
  </si>
  <si>
    <t>22030</t>
  </si>
  <si>
    <t>Usriyah</t>
  </si>
  <si>
    <t>22031</t>
  </si>
  <si>
    <t>Vivit Al Hidayah</t>
  </si>
  <si>
    <t>22032</t>
  </si>
  <si>
    <t>Siti Fatonah</t>
  </si>
  <si>
    <t>22033</t>
  </si>
  <si>
    <t>Susanti</t>
  </si>
  <si>
    <t>22034</t>
  </si>
  <si>
    <t>Tri Widyaningrum</t>
  </si>
  <si>
    <t>22035</t>
  </si>
  <si>
    <t>Udi Ismoyo</t>
  </si>
  <si>
    <t>22036</t>
  </si>
  <si>
    <t>Vijay Soemantri</t>
  </si>
  <si>
    <t>22037</t>
  </si>
  <si>
    <t>Yuli Aji Yakup</t>
  </si>
  <si>
    <t>HASIL TES SISWA — HOLLAND RIASEC</t>
  </si>
  <si>
    <t>NIS / ID Siswa</t>
  </si>
  <si>
    <t>Nama</t>
  </si>
  <si>
    <t>Jenis Kelamin</t>
  </si>
  <si>
    <t>Kode RIASEC</t>
  </si>
  <si>
    <t>Rekomendasi Karier</t>
  </si>
  <si>
    <t>Tipe</t>
  </si>
  <si>
    <t>Skor</t>
  </si>
  <si>
    <t>Peringkat</t>
  </si>
  <si>
    <t>Posisi</t>
  </si>
  <si>
    <t>INTERPRETASI TIGA TIPE TERATAS</t>
  </si>
  <si>
    <t>Dominan 1</t>
  </si>
  <si>
    <t>Karakteristik</t>
  </si>
  <si>
    <t>Jurusan yang relevan</t>
  </si>
  <si>
    <t>Dominan 2</t>
  </si>
  <si>
    <t>Dominan 3</t>
  </si>
  <si>
    <t>RINGKASAN KONTRIBUSI SKOR</t>
  </si>
  <si>
    <t>Aspek</t>
  </si>
  <si>
    <t>Aktivitas</t>
  </si>
  <si>
    <t>Kemampuan / Keterampilan</t>
  </si>
  <si>
    <t>Pekerjaan</t>
  </si>
  <si>
    <t>Self Estimate</t>
  </si>
  <si>
    <t>TOTAL</t>
  </si>
  <si>
    <t>Catatan: hasil RIASEC menggambarkan pola minat karier relatif pada enam tipe Holland. Gunakan bersama informasi akademik, pengalaman, nilai pribadi, dan proses bimbingan; hasil ini bukan diagnosis psikologis.</t>
  </si>
  <si>
    <t>LAPORAN KELOMPOK — HOLLAND RIASEC</t>
  </si>
  <si>
    <t>Tahun</t>
  </si>
  <si>
    <t>Data Siap</t>
  </si>
  <si>
    <t>Perlu Dilengkapi</t>
  </si>
  <si>
    <t>Tinggi</t>
  </si>
  <si>
    <t>Sedang</t>
  </si>
  <si>
    <t>Rendah</t>
  </si>
  <si>
    <t>Jumlah Dominan Utama</t>
  </si>
  <si>
    <t>Rata-rata Skor</t>
  </si>
  <si>
    <t>Konsistensi</t>
  </si>
  <si>
    <t>HASIL PERHITUNGAN RIASEC — KODE 3 HURUF UNIK</t>
  </si>
  <si>
    <t>Jika skor seri, tie-break tetap R → I → A → S → E → C. Rank unik 1–6 memastikan tiga huruf hasil selalu berbeda.</t>
  </si>
  <si>
    <t>Rank R</t>
  </si>
  <si>
    <t>Rank I</t>
  </si>
  <si>
    <t>Rank A</t>
  </si>
  <si>
    <t>Rank S</t>
  </si>
  <si>
    <t>Rank E</t>
  </si>
  <si>
    <t>Rank C</t>
  </si>
  <si>
    <t>Top 1</t>
  </si>
  <si>
    <t>Top 2</t>
  </si>
  <si>
    <t>Top 3</t>
  </si>
  <si>
    <t>Akt R</t>
  </si>
  <si>
    <t>Akt I</t>
  </si>
  <si>
    <t>Akt A</t>
  </si>
  <si>
    <t>Akt S</t>
  </si>
  <si>
    <t>Akt E</t>
  </si>
  <si>
    <t>Akt C</t>
  </si>
  <si>
    <t>Kem R</t>
  </si>
  <si>
    <t>Kem I</t>
  </si>
  <si>
    <t>Kem A</t>
  </si>
  <si>
    <t>Kem S</t>
  </si>
  <si>
    <t>Kem E</t>
  </si>
  <si>
    <t>Kem C</t>
  </si>
  <si>
    <t>Pek R</t>
  </si>
  <si>
    <t>Pek I</t>
  </si>
  <si>
    <t>Pek A</t>
  </si>
  <si>
    <t>Pek S</t>
  </si>
  <si>
    <t>Pek E</t>
  </si>
  <si>
    <t>Pek C</t>
  </si>
  <si>
    <t>Self R</t>
  </si>
  <si>
    <t>Self I</t>
  </si>
  <si>
    <t>Self A</t>
  </si>
  <si>
    <t>Self S</t>
  </si>
  <si>
    <t>Self E</t>
  </si>
  <si>
    <t>Self C</t>
  </si>
  <si>
    <t>KUNCI RIASEC — 120 KODE + REKOMENDASI PEKERJAAN MODERN</t>
  </si>
  <si>
    <t>TINGKAT KONSISTENSI DUA HURUF DOMINAN</t>
  </si>
  <si>
    <t>Daftar pekerjaan diperbarui dengan istilah pekerjaan yang masih relevan saat ini. Rekomendasi merupakan contoh bidang/peran yang selaras dengan pola RIASEC, bukan daftar profesi yang bersifat eksklusif.</t>
  </si>
  <si>
    <t>Rujukan pemutakhiran: O*NET OnLine Career Interest Types / O*NET Database 31.0 (Agustus 2026).</t>
  </si>
  <si>
    <t>Dasar</t>
  </si>
  <si>
    <t>Tinggi = berdampingan pada heksagon R-I-A-S-E-C; Sedang = selang satu; Rendah = berlawanan.</t>
  </si>
  <si>
    <t>Rekomendasi Pekerjaan Modern</t>
  </si>
  <si>
    <t>Fokus Kombinasi</t>
  </si>
  <si>
    <t>Sumber Rujukan</t>
  </si>
  <si>
    <t>Ringkasan Karakteristik Modern</t>
  </si>
  <si>
    <t>Jurusan / Bidang Studi Relevan</t>
  </si>
  <si>
    <t>RIA</t>
  </si>
  <si>
    <t>Realistic &gt; Investigative &gt; Artistic</t>
  </si>
  <si>
    <t>Realistic</t>
  </si>
  <si>
    <t>AC</t>
  </si>
  <si>
    <t>RIS</t>
  </si>
  <si>
    <t>Realistic &gt; Investigative &gt; Social</t>
  </si>
  <si>
    <t>Investigative</t>
  </si>
  <si>
    <t>AE</t>
  </si>
  <si>
    <t>RIE</t>
  </si>
  <si>
    <t>Realistic &gt; Investigative &gt; Enterprising</t>
  </si>
  <si>
    <t>Artistic</t>
  </si>
  <si>
    <t>AI</t>
  </si>
  <si>
    <t>RIC</t>
  </si>
  <si>
    <t>Realistic &gt; Investigative &gt; Conventional</t>
  </si>
  <si>
    <t>Social</t>
  </si>
  <si>
    <t>AR</t>
  </si>
  <si>
    <t>RAI</t>
  </si>
  <si>
    <t>Realistic &gt; Artistic &gt; Investigative</t>
  </si>
  <si>
    <t>Enterprising</t>
  </si>
  <si>
    <t>AS</t>
  </si>
  <si>
    <t>RAS</t>
  </si>
  <si>
    <t>Realistic &gt; Artistic &gt; Social</t>
  </si>
  <si>
    <t>Conventional</t>
  </si>
  <si>
    <t>CA</t>
  </si>
  <si>
    <t>RAE</t>
  </si>
  <si>
    <t>Realistic &gt; Artistic &gt; Enterprising</t>
  </si>
  <si>
    <t>CE</t>
  </si>
  <si>
    <t>RAC</t>
  </si>
  <si>
    <t>Realistic &gt; Artistic &gt; Conventional</t>
  </si>
  <si>
    <t>CI</t>
  </si>
  <si>
    <t>RSI</t>
  </si>
  <si>
    <t>Realistic &gt; Social &gt; Investigative</t>
  </si>
  <si>
    <t>CR</t>
  </si>
  <si>
    <t>RSA</t>
  </si>
  <si>
    <t>Realistic &gt; Social &gt; Artistic</t>
  </si>
  <si>
    <t>CS</t>
  </si>
  <si>
    <t>RSE</t>
  </si>
  <si>
    <t>Realistic &gt; Social &gt; Enterprising</t>
  </si>
  <si>
    <t>EA</t>
  </si>
  <si>
    <t>RSC</t>
  </si>
  <si>
    <t>Realistic &gt; Social &gt; Conventional</t>
  </si>
  <si>
    <t>EC</t>
  </si>
  <si>
    <t>REI</t>
  </si>
  <si>
    <t>Realistic &gt; Enterprising &gt; Investigative</t>
  </si>
  <si>
    <t>EI</t>
  </si>
  <si>
    <t>REA</t>
  </si>
  <si>
    <t>Realistic &gt; Enterprising &gt; Artistic</t>
  </si>
  <si>
    <t>ER</t>
  </si>
  <si>
    <t>RES</t>
  </si>
  <si>
    <t>Realistic &gt; Enterprising &gt; Social</t>
  </si>
  <si>
    <t>ES</t>
  </si>
  <si>
    <t>REC</t>
  </si>
  <si>
    <t>Realistic &gt; Enterprising &gt; Conventional</t>
  </si>
  <si>
    <t>IA</t>
  </si>
  <si>
    <t>RCI</t>
  </si>
  <si>
    <t>Realistic &gt; Conventional &gt; Investigative</t>
  </si>
  <si>
    <t>IC</t>
  </si>
  <si>
    <t>RCA</t>
  </si>
  <si>
    <t>Realistic &gt; Conventional &gt; Artistic</t>
  </si>
  <si>
    <t>IE</t>
  </si>
  <si>
    <t>RCS</t>
  </si>
  <si>
    <t>Realistic &gt; Conventional &gt; Social</t>
  </si>
  <si>
    <t>IR</t>
  </si>
  <si>
    <t>RCE</t>
  </si>
  <si>
    <t>Realistic &gt; Conventional &gt; Enterprising</t>
  </si>
  <si>
    <t>IS</t>
  </si>
  <si>
    <t>IRA</t>
  </si>
  <si>
    <t>Investigative &gt; Realistic &gt; Artistic</t>
  </si>
  <si>
    <t>RA</t>
  </si>
  <si>
    <t>IRS</t>
  </si>
  <si>
    <t>Investigative &gt; Realistic &gt; Social</t>
  </si>
  <si>
    <t>RC</t>
  </si>
  <si>
    <t>IRE</t>
  </si>
  <si>
    <t>Investigative &gt; Realistic &gt; Enterprising</t>
  </si>
  <si>
    <t>RE</t>
  </si>
  <si>
    <t>IRC</t>
  </si>
  <si>
    <t>Investigative &gt; Realistic &gt; Conventional</t>
  </si>
  <si>
    <t>RI</t>
  </si>
  <si>
    <t>IAR</t>
  </si>
  <si>
    <t>Investigative &gt; Artistic &gt; Realistic</t>
  </si>
  <si>
    <t>RS</t>
  </si>
  <si>
    <t>IAS</t>
  </si>
  <si>
    <t>Investigative &gt; Artistic &gt; Social</t>
  </si>
  <si>
    <t>SA</t>
  </si>
  <si>
    <t>IAE</t>
  </si>
  <si>
    <t>Investigative &gt; Artistic &gt; Enterprising</t>
  </si>
  <si>
    <t>SC</t>
  </si>
  <si>
    <t>IAC</t>
  </si>
  <si>
    <t>Investigative &gt; Artistic &gt; Conventional</t>
  </si>
  <si>
    <t>SE</t>
  </si>
  <si>
    <t>ISR</t>
  </si>
  <si>
    <t>Investigative &gt; Social &gt; Realistic</t>
  </si>
  <si>
    <t>SI</t>
  </si>
  <si>
    <t>ISA</t>
  </si>
  <si>
    <t>Investigative &gt; Social &gt; Artistic</t>
  </si>
  <si>
    <t>SR</t>
  </si>
  <si>
    <t>ISE</t>
  </si>
  <si>
    <t>Investigative &gt; Social &gt; Enterprising</t>
  </si>
  <si>
    <t>ISC</t>
  </si>
  <si>
    <t>Investigative &gt; Social &gt; Conventional</t>
  </si>
  <si>
    <t>Catatan</t>
  </si>
  <si>
    <t>Pola CR ditambahkan pada kategori Tinggi agar seluruh 30 pasangan dua huruf unik terklasifikasi.</t>
  </si>
  <si>
    <t>IER</t>
  </si>
  <si>
    <t>Investigative &gt; Enterprising &gt; Realistic</t>
  </si>
  <si>
    <t>Sumber awal</t>
  </si>
  <si>
    <t>Tabel kode dan jabatan Holland pada PDF yang dilampirkan pengguna.</t>
  </si>
  <si>
    <t>IEA</t>
  </si>
  <si>
    <t>Investigative &gt; Enterprising &gt; Artistic</t>
  </si>
  <si>
    <t>Rujukan</t>
  </si>
  <si>
    <t>IES</t>
  </si>
  <si>
    <t>Investigative &gt; Enterprising &gt; Social</t>
  </si>
  <si>
    <t>IEC</t>
  </si>
  <si>
    <t>Investigative &gt; Enterprising &gt; Conventional</t>
  </si>
  <si>
    <t>ICR</t>
  </si>
  <si>
    <t>Investigative &gt; Conventional &gt; Realistic</t>
  </si>
  <si>
    <t>ICA</t>
  </si>
  <si>
    <t>Investigative &gt; Conventional &gt; Artistic</t>
  </si>
  <si>
    <t>ICS</t>
  </si>
  <si>
    <t>Investigative &gt; Conventional &gt; Social</t>
  </si>
  <si>
    <t>ICE</t>
  </si>
  <si>
    <t>Investigative &gt; Conventional &gt; Enterprising</t>
  </si>
  <si>
    <t>ARI</t>
  </si>
  <si>
    <t>Artistic &gt; Realistic &gt; Investigative</t>
  </si>
  <si>
    <t>ARS</t>
  </si>
  <si>
    <t>Artistic &gt; Realistic &gt; Social</t>
  </si>
  <si>
    <t>ARE</t>
  </si>
  <si>
    <t>Artistic &gt; Realistic &gt; Enterprising</t>
  </si>
  <si>
    <t>ARC</t>
  </si>
  <si>
    <t>Artistic &gt; Realistic &gt; Conventional</t>
  </si>
  <si>
    <t>AIR</t>
  </si>
  <si>
    <t>Artistic &gt; Investigative &gt; Realistic</t>
  </si>
  <si>
    <t>AIS</t>
  </si>
  <si>
    <t>Artistic &gt; Investigative &gt; Social</t>
  </si>
  <si>
    <t>AIE</t>
  </si>
  <si>
    <t>Artistic &gt; Investigative &gt; Enterprising</t>
  </si>
  <si>
    <t>AIC</t>
  </si>
  <si>
    <t>Artistic &gt; Investigative &gt; Conventional</t>
  </si>
  <si>
    <t>ASR</t>
  </si>
  <si>
    <t>Artistic &gt; Social &gt; Realistic</t>
  </si>
  <si>
    <t>ASI</t>
  </si>
  <si>
    <t>Artistic &gt; Social &gt; Investigative</t>
  </si>
  <si>
    <t>ASE</t>
  </si>
  <si>
    <t>Artistic &gt; Social &gt; Enterprising</t>
  </si>
  <si>
    <t>ASC</t>
  </si>
  <si>
    <t>Artistic &gt; Social &gt; Conventional</t>
  </si>
  <si>
    <t>AER</t>
  </si>
  <si>
    <t>Artistic &gt; Enterprising &gt; Realistic</t>
  </si>
  <si>
    <t>AEI</t>
  </si>
  <si>
    <t>Artistic &gt; Enterprising &gt; Investigative</t>
  </si>
  <si>
    <t>AES</t>
  </si>
  <si>
    <t>Artistic &gt; Enterprising &gt; Social</t>
  </si>
  <si>
    <t>AEC</t>
  </si>
  <si>
    <t>Artistic &gt; Enterprising &gt; Conventional</t>
  </si>
  <si>
    <t>ACR</t>
  </si>
  <si>
    <t>Artistic &gt; Conventional &gt; Realistic</t>
  </si>
  <si>
    <t>ACI</t>
  </si>
  <si>
    <t>Artistic &gt; Conventional &gt; Investigative</t>
  </si>
  <si>
    <t>ACS</t>
  </si>
  <si>
    <t>Artistic &gt; Conventional &gt; Social</t>
  </si>
  <si>
    <t>ACE</t>
  </si>
  <si>
    <t>Artistic &gt; Conventional &gt; Enterprising</t>
  </si>
  <si>
    <t>SRI</t>
  </si>
  <si>
    <t>Social &gt; Realistic &gt; Investigative</t>
  </si>
  <si>
    <t>SRA</t>
  </si>
  <si>
    <t>Social &gt; Realistic &gt; Artistic</t>
  </si>
  <si>
    <t>SRE</t>
  </si>
  <si>
    <t>Social &gt; Realistic &gt; Enterprising</t>
  </si>
  <si>
    <t>SRC</t>
  </si>
  <si>
    <t>Social &gt; Realistic &gt; Conventional</t>
  </si>
  <si>
    <t>SIR</t>
  </si>
  <si>
    <t>Social &gt; Investigative &gt; Realistic</t>
  </si>
  <si>
    <t>SIA</t>
  </si>
  <si>
    <t>Social &gt; Investigative &gt; Artistic</t>
  </si>
  <si>
    <t>SIE</t>
  </si>
  <si>
    <t>Social &gt; Investigative &gt; Enterprising</t>
  </si>
  <si>
    <t>SIC</t>
  </si>
  <si>
    <t>Social &gt; Investigative &gt; Conventional</t>
  </si>
  <si>
    <t>SAR</t>
  </si>
  <si>
    <t>Social &gt; Artistic &gt; Realistic</t>
  </si>
  <si>
    <t>SAI</t>
  </si>
  <si>
    <t>Social &gt; Artistic &gt; Investigative</t>
  </si>
  <si>
    <t>SAE</t>
  </si>
  <si>
    <t>Social &gt; Artistic &gt; Enterprising</t>
  </si>
  <si>
    <t>SAC</t>
  </si>
  <si>
    <t>Social &gt; Artistic &gt; Conventional</t>
  </si>
  <si>
    <t>SER</t>
  </si>
  <si>
    <t>Social &gt; Enterprising &gt; Realistic</t>
  </si>
  <si>
    <t>SEI</t>
  </si>
  <si>
    <t>Social &gt; Enterprising &gt; Investigative</t>
  </si>
  <si>
    <t>SEA</t>
  </si>
  <si>
    <t>Social &gt; Enterprising &gt; Artistic</t>
  </si>
  <si>
    <t>SEC</t>
  </si>
  <si>
    <t>Social &gt; Enterprising &gt; Conventional</t>
  </si>
  <si>
    <t>SCR</t>
  </si>
  <si>
    <t>Social &gt; Conventional &gt; Realistic</t>
  </si>
  <si>
    <t>SCI</t>
  </si>
  <si>
    <t>Social &gt; Conventional &gt; Investigative</t>
  </si>
  <si>
    <t>SCA</t>
  </si>
  <si>
    <t>Social &gt; Conventional &gt; Artistic</t>
  </si>
  <si>
    <t>SCE</t>
  </si>
  <si>
    <t>Social &gt; Conventional &gt; Enterprising</t>
  </si>
  <si>
    <t>ERI</t>
  </si>
  <si>
    <t>Enterprising &gt; Realistic &gt; Investigative</t>
  </si>
  <si>
    <t>ERA</t>
  </si>
  <si>
    <t>Enterprising &gt; Realistic &gt; Artistic</t>
  </si>
  <si>
    <t>ERS</t>
  </si>
  <si>
    <t>Enterprising &gt; Realistic &gt; Social</t>
  </si>
  <si>
    <t>ERC</t>
  </si>
  <si>
    <t>Enterprising &gt; Realistic &gt; Conventional</t>
  </si>
  <si>
    <t>EIR</t>
  </si>
  <si>
    <t>Enterprising &gt; Investigative &gt; Realistic</t>
  </si>
  <si>
    <t>EIA</t>
  </si>
  <si>
    <t>Enterprising &gt; Investigative &gt; Artistic</t>
  </si>
  <si>
    <t>EIS</t>
  </si>
  <si>
    <t>Enterprising &gt; Investigative &gt; Social</t>
  </si>
  <si>
    <t>EIC</t>
  </si>
  <si>
    <t>Enterprising &gt; Investigative &gt; Conventional</t>
  </si>
  <si>
    <t>EAR</t>
  </si>
  <si>
    <t>Enterprising &gt; Artistic &gt; Realistic</t>
  </si>
  <si>
    <t>EAI</t>
  </si>
  <si>
    <t>Enterprising &gt; Artistic &gt; Investigative</t>
  </si>
  <si>
    <t>EAS</t>
  </si>
  <si>
    <t>Enterprising &gt; Artistic &gt; Social</t>
  </si>
  <si>
    <t>EAC</t>
  </si>
  <si>
    <t>Enterprising &gt; Artistic &gt; Conventional</t>
  </si>
  <si>
    <t>ESR</t>
  </si>
  <si>
    <t>Enterprising &gt; Social &gt; Realistic</t>
  </si>
  <si>
    <t>ESI</t>
  </si>
  <si>
    <t>Enterprising &gt; Social &gt; Investigative</t>
  </si>
  <si>
    <t>ESA</t>
  </si>
  <si>
    <t>Enterprising &gt; Social &gt; Artistic</t>
  </si>
  <si>
    <t>ESC</t>
  </si>
  <si>
    <t>Enterprising &gt; Social &gt; Conventional</t>
  </si>
  <si>
    <t>ECR</t>
  </si>
  <si>
    <t>Enterprising &gt; Conventional &gt; Realistic</t>
  </si>
  <si>
    <t>ECI</t>
  </si>
  <si>
    <t>Enterprising &gt; Conventional &gt; Investigative</t>
  </si>
  <si>
    <t>ECA</t>
  </si>
  <si>
    <t>Enterprising &gt; Conventional &gt; Artistic</t>
  </si>
  <si>
    <t>ECS</t>
  </si>
  <si>
    <t>Enterprising &gt; Conventional &gt; Social</t>
  </si>
  <si>
    <t>CRI</t>
  </si>
  <si>
    <t>Conventional &gt; Realistic &gt; Investigative</t>
  </si>
  <si>
    <t>CRA</t>
  </si>
  <si>
    <t>Conventional &gt; Realistic &gt; Artistic</t>
  </si>
  <si>
    <t>CRS</t>
  </si>
  <si>
    <t>Conventional &gt; Realistic &gt; Social</t>
  </si>
  <si>
    <t>CRE</t>
  </si>
  <si>
    <t>Conventional &gt; Realistic &gt; Enterprising</t>
  </si>
  <si>
    <t>CIR</t>
  </si>
  <si>
    <t>Conventional &gt; Investigative &gt; Realistic</t>
  </si>
  <si>
    <t>CIA</t>
  </si>
  <si>
    <t>Conventional &gt; Investigative &gt; Artistic</t>
  </si>
  <si>
    <t>CIS</t>
  </si>
  <si>
    <t>Conventional &gt; Investigative &gt; Social</t>
  </si>
  <si>
    <t>CIE</t>
  </si>
  <si>
    <t>Conventional &gt; Investigative &gt; Enterprising</t>
  </si>
  <si>
    <t>CAR</t>
  </si>
  <si>
    <t>Conventional &gt; Artistic &gt; Realistic</t>
  </si>
  <si>
    <t>CAI</t>
  </si>
  <si>
    <t>Conventional &gt; Artistic &gt; Investigative</t>
  </si>
  <si>
    <t>CAS</t>
  </si>
  <si>
    <t>Conventional &gt; Artistic &gt; Social</t>
  </si>
  <si>
    <t>CAE</t>
  </si>
  <si>
    <t>Conventional &gt; Artistic &gt; Enterprising</t>
  </si>
  <si>
    <t>CSR</t>
  </si>
  <si>
    <t>Conventional &gt; Social &gt; Realistic</t>
  </si>
  <si>
    <t>CSI</t>
  </si>
  <si>
    <t>Conventional &gt; Social &gt; Investigative</t>
  </si>
  <si>
    <t>CSA</t>
  </si>
  <si>
    <t>Conventional &gt; Social &gt; Artistic</t>
  </si>
  <si>
    <t>CSE</t>
  </si>
  <si>
    <t>Conventional &gt; Social &gt; Enterprising</t>
  </si>
  <si>
    <t>CER</t>
  </si>
  <si>
    <t>Conventional &gt; Enterprising &gt; Realistic</t>
  </si>
  <si>
    <t>CEI</t>
  </si>
  <si>
    <t>Conventional &gt; Enterprising &gt; Investigative</t>
  </si>
  <si>
    <t>CEA</t>
  </si>
  <si>
    <t>Conventional &gt; Enterprising &gt; Artistic</t>
  </si>
  <si>
    <t>CES</t>
  </si>
  <si>
    <t>Conventional &gt; Enterprising &gt; Social</t>
  </si>
  <si>
    <t>KUNCI PEMETAAN ITEM DAN PERNYATAAN HOLLAND RIASEC</t>
  </si>
  <si>
    <t>VERSI FINAL 2026 — 216 item tetap dipertahankan (36 item per tipe). Redaksi telah ditinjau ulang untuk mengurangi tumpang tindih konstruk antar-RIASEC tanpa mengubah nomor item, kelompok, atau kunci skornya.</t>
  </si>
  <si>
    <t>Item</t>
  </si>
  <si>
    <t>Kelompok</t>
  </si>
  <si>
    <t>Tipe RIASEC</t>
  </si>
  <si>
    <t>Aturan Skor</t>
  </si>
  <si>
    <t>Pernyataan</t>
  </si>
  <si>
    <t>1 = dipilih/setuju; 0/kosong = tidak dipilih</t>
  </si>
  <si>
    <t>Saya suka memperbaiki atau merakit perangkat listrik/elektronik sederhana.</t>
  </si>
  <si>
    <t>Saya suka memperbaiki alat mekanik atau kendaraan.</t>
  </si>
  <si>
    <t>Saya suka membuat atau merakit benda dari kayu atau bahan lain.</t>
  </si>
  <si>
    <t>Saya suka merakit peralatan mekanik atau perangkat teknis.</t>
  </si>
  <si>
    <t>Saya suka mengoperasikan kendaraan, alat berat, atau mesin untuk kegiatan lapangan.</t>
  </si>
  <si>
    <t>Saya suka menggunakan perkakas mesin, peralatan kerja logam, atau alat produksi.</t>
  </si>
  <si>
    <t>Saya suka bekerja di bengkel, workshop, atau ruang praktik teknik.</t>
  </si>
  <si>
    <t>Saya suka mempelajari keterampilan teknis dan pertukangan.</t>
  </si>
  <si>
    <t>Saya suka mempelajari gambar teknik, CAD, atau rancangan konstruksi.</t>
  </si>
  <si>
    <t>Saya suka mempelajari pembuatan dan perakitan benda dari kayu atau bahan lain.</t>
  </si>
  <si>
    <t>Saya suka mempelajari cara merawat dan memperbaiki kendaraan atau mesin.</t>
  </si>
  <si>
    <t>Saya suka membaca buku, artikel, atau konten ilmiah.</t>
  </si>
  <si>
    <t>Saya suka bekerja di laboratorium.</t>
  </si>
  <si>
    <t>Saya suka mengerjakan proyek ilmiah atau penelitian.</t>
  </si>
  <si>
    <t>Saya suka menganalisis cara kerja teknologi, kendaraan, pesawat, atau sistem teknik.</t>
  </si>
  <si>
    <t>Saya suka melakukan percobaan dengan bahan atau zat kimia secara aman.</t>
  </si>
  <si>
    <t>Saya suka membaca laporan atau karya ilmiah.</t>
  </si>
  <si>
    <t>Saya suka menyelesaikan persoalan matematika atau logika.</t>
  </si>
  <si>
    <t>Saya suka mempelajari fisika.</t>
  </si>
  <si>
    <t>Saya suka mempelajari kimia.</t>
  </si>
  <si>
    <t>Saya suka mempelajari geometri atau pola ruang.</t>
  </si>
  <si>
    <t>Saya suka mempelajari biologi dan kehidupan.</t>
  </si>
  <si>
    <t>Saya suka membuat sketsa, gambar, ilustrasi, atau lukisan.</t>
  </si>
  <si>
    <t>Saya suka menonton pertunjukan teater, film, atau karya seni pertunjukan.</t>
  </si>
  <si>
    <t>Saya suka merancang ruang, furnitur, atau produk.</t>
  </si>
  <si>
    <t>Saya suka bermain musik dalam kelompok, paduan suara, atau ansambel.</t>
  </si>
  <si>
    <t>Saya suka memainkan alat musik.</t>
  </si>
  <si>
    <t>Saya suka menghadiri konser, pertunjukan musik, atau acara seni.</t>
  </si>
  <si>
    <t>Saya suka membaca karya fiksi, cerpen, novel, atau cerita digital.</t>
  </si>
  <si>
    <t>Saya suka mengolah foto, video, atau membuat karya visual digital.</t>
  </si>
  <si>
    <t>Saya suka membaca atau menulis skenario untuk teater, film, video, atau gim.</t>
  </si>
  <si>
    <t>Saya suka membaca atau menulis puisi.</t>
  </si>
  <si>
    <t>Saya suka mengikuti kegiatan seni rupa, desain, atau kreativitas visual.</t>
  </si>
  <si>
    <t>Saya suka berkomunikasi dan menjaga hubungan dengan teman melalui pesan, percakapan, atau kegiatan bersama.</t>
  </si>
  <si>
    <t>Saya suka mengikuti diskusi atau kegiatan yang membahas isu sosial, kemanusiaan, atau keagamaan.</t>
  </si>
  <si>
    <t>Saya suka menjadi anggota kelompok kegiatan sosial, relawan, pramuka, donor darah, atau tim kemanusiaan.</t>
  </si>
  <si>
    <t>Saya suka membantu orang lain mencari solusi atas masalah pribadinya.</t>
  </si>
  <si>
    <t>Saya suka mendampingi atau mengasuh anak-anak.</t>
  </si>
  <si>
    <t>Saya suka mengikuti kegiatan sosial masyarakat, seperti gotong royong, kegiatan relawan, atau acara komunitas.</t>
  </si>
  <si>
    <t>Saya suka mengikuti kegiatan kelompok yang memberi kesempatan untuk berinteraksi dan bekerja sama dengan orang lain.</t>
  </si>
  <si>
    <t>Saya suka mendengarkan orang lain dan membantu mereka memahami masalah yang sedang dihadapi.</t>
  </si>
  <si>
    <t>Saya suka berkumpul, berdiskusi, dan mengobrol dengan orang lain.</t>
  </si>
  <si>
    <t>Saya suka berkenalan dan membangun hubungan dengan teman baru.</t>
  </si>
  <si>
    <t>Saya suka meyakinkan orang lain mengenai suatu ide, produk, atau layanan.</t>
  </si>
  <si>
    <t>Saya suka menawarkan atau menjual produk maupun layanan.</t>
  </si>
  <si>
    <t>Saya suka menjalankan usaha atau mengembangkan ide bisnis sendiri.</t>
  </si>
  <si>
    <t>Saya suka menghadiri pertemuan untuk membangun jejaring dan mencari peluang bisnis.</t>
  </si>
  <si>
    <t>Saya suka mempresentasikan atau mendemonstrasikan produk, layanan, atau ide baru.</t>
  </si>
  <si>
    <t>Saya suka mengorganisasi suatu kegiatan atau proyek.</t>
  </si>
  <si>
    <t>Saya suka mengarahkan dan mengawasi pekerjaan orang lain.</t>
  </si>
  <si>
    <t>Saya suka bertemu dan membangun jejaring dengan tokoh, profesional, atau mitra penting.</t>
  </si>
  <si>
    <t>Saya suka memimpin kelompok kerja agar tujuan bersama tercapai.</t>
  </si>
  <si>
    <t>Saya suka menjadi juru bicara atau mempromosikan suatu program, produk, atau ide.</t>
  </si>
  <si>
    <t>Saya suka merapikan dan mengatur ruang kerja atau ruang pribadi secara sistematis.</t>
  </si>
  <si>
    <t>Saya suka menyusun dan memformat dokumen digital dengan rapi.</t>
  </si>
  <si>
    <t>Saya suka melakukan perhitungan angka untuk keperluan administrasi, keuangan, atau pekerjaan.</t>
  </si>
  <si>
    <t>Saya suka menggunakan kalkulator, spreadsheet, atau aplikasi untuk mengolah angka.</t>
  </si>
  <si>
    <t>Saya suka merinci dan memeriksa catatan keuangan.</t>
  </si>
  <si>
    <t>Saya suka mempelajari penggunaan aplikasi perkantoran dan pengelolaan dokumen.</t>
  </si>
  <si>
    <t>Saya suka mempelajari administrasi usaha, koperasi, atau organisasi.</t>
  </si>
  <si>
    <t>Saya suka melakukan praktik pembukuan atau pencatatan keuangan.</t>
  </si>
  <si>
    <t>Saya suka mempelajari perhitungan bisnis menggunakan angka atau spreadsheet.</t>
  </si>
  <si>
    <t>Saya suka mengelola arsip dan dokumen, baik fisik maupun digital.</t>
  </si>
  <si>
    <t>Saya suka menulis surat, email, atau dokumen resmi dengan format yang rapi.</t>
  </si>
  <si>
    <t>Kemampuan/Keterampilan</t>
  </si>
  <si>
    <t>Saya terampil menggunakan peralatan pertukangan atau alat fabrikasi sederhana.</t>
  </si>
  <si>
    <t>Saya terampil menggunakan multimeter atau alat ukur listrik sederhana.</t>
  </si>
  <si>
    <t>Saya dapat mendiagnosis dan memperbaiki gangguan sederhana pada mesin atau kendaraan.</t>
  </si>
  <si>
    <t>Saya terampil menggunakan perkakas seperti bor, gerinda, gergaji, atau alat kerja sejenis.</t>
  </si>
  <si>
    <t>Saya terampil menjahit atau membuat produk tekstil sederhana.</t>
  </si>
  <si>
    <t>Saya dapat membaca gambar teknik, denah, atau rancangan bangunan.</t>
  </si>
  <si>
    <t>Saya dapat memperbaiki perangkat listrik atau elektronik sederhana.</t>
  </si>
  <si>
    <t>Saya dapat memperbaiki atau merakit perabot rumah tangga.</t>
  </si>
  <si>
    <t>Saya dapat membuat gambar teknik secara manual atau dengan aplikasi CAD sederhana.</t>
  </si>
  <si>
    <t>Saya dapat melakukan perawatan atau perbaikan dasar pada perangkat elektronik/digital.</t>
  </si>
  <si>
    <t>Saya dapat melakukan perbaikan dasar pada instalasi air atau perlengkapan mekanik rumah.</t>
  </si>
  <si>
    <t>Saya dapat menjelaskan prinsip kerja komponen elektronik, sensor, atau rangkaian sederhana.</t>
  </si>
  <si>
    <t>Saya dapat menganalisis informasi ilmiah dan menarik kesimpulan berdasarkan fakta yang tersedia.</t>
  </si>
  <si>
    <t>Saya dapat memahami konsep ilmiah yang kompleks dengan menelaah hubungan sebab-akibatnya.</t>
  </si>
  <si>
    <t>Saya dapat membuat program komputer atau otomasi sederhana.</t>
  </si>
  <si>
    <t>Saya dapat menjelaskan dan menggunakan metode statistika dasar.</t>
  </si>
  <si>
    <t>Saya dapat mengoperasikan mikroskop atau peralatan laboratorium dasar.</t>
  </si>
  <si>
    <t>Saya dapat mengamati fenomena alam dan mencari penjelasan ilmiah yang masuk akal.</t>
  </si>
  <si>
    <t>Saya dapat memahami dan menjelaskan proses biologis berdasarkan informasi atau bukti ilmiah.</t>
  </si>
  <si>
    <t>Saya dapat memahami rumus kimia sederhana.</t>
  </si>
  <si>
    <t>Saya dapat membandingkan beberapa penjelasan dan memilih penjelasan yang paling didukung oleh bukti.</t>
  </si>
  <si>
    <t>Saya mampu merancang dan melaksanakan proyek penelitian sederhana.</t>
  </si>
  <si>
    <t>Saya dapat memainkan alat musik seperti drum, gitar, piano, seruling, atau alat musik lainnya.</t>
  </si>
  <si>
    <t>Saya mampu bernyanyi dalam paduan suara atau kelompok vokal.</t>
  </si>
  <si>
    <t>Saya mampu tampil memainkan musik secara mandiri.</t>
  </si>
  <si>
    <t>Saya dapat berakting dalam drama, film pendek, atau pertunjukan.</t>
  </si>
  <si>
    <t>Saya dapat menginterpretasikan puisi, prosa, atau karya sastra.</t>
  </si>
  <si>
    <t>Saya dapat menafsirkan atau menampilkan gerak dan tarian.</t>
  </si>
  <si>
    <t>Saya terampil membuat sketsa atau ilustrasi sehingga objeknya mudah dikenali.</t>
  </si>
  <si>
    <t>Saya mampu membuat patung, model 3D, atau karya bentuk tiga dimensi.</t>
  </si>
  <si>
    <t>Saya mampu membuat lukisan atau karya visual yang menggambarkan suatu suasana atau objek.</t>
  </si>
  <si>
    <t>Saya mampu menulis puisi atau karya sastra pendek.</t>
  </si>
  <si>
    <t>Saya terampil merancang pakaian, poster, produk, atau karya visual digital.</t>
  </si>
  <si>
    <t>Saya mampu menjelaskan informasi kepada orang lain dengan cara yang mudah dipahami.</t>
  </si>
  <si>
    <t>Saya mampu mendampingi orang lain saat belajar atau menyelesaikan tugas yang mereka anggap sulit.</t>
  </si>
  <si>
    <t>Saya dapat bekerja sama dengan orang lain secara efektif.</t>
  </si>
  <si>
    <t>Saya mampu berkomunikasi dengan nyaman dengan orang dari usia atau latar belakang yang berbeda.</t>
  </si>
  <si>
    <t>Saya dapat memandu pengunjung, tamu, atau peserta kegiatan dengan baik.</t>
  </si>
  <si>
    <t>Saya dapat mengajar atau membimbing anak-anak dengan baik.</t>
  </si>
  <si>
    <t>Saya mampu memfasilitasi kegiatan kelompok agar setiap anggota dapat berpartisipasi dan berkembang.</t>
  </si>
  <si>
    <t>Saya dapat memberi dukungan dan bantuan kepada orang yang sedang mengalami kesulitan.</t>
  </si>
  <si>
    <t>Saya mampu terlibat sebagai relawan dalam kegiatan sosial, kesehatan, kemanusiaan, atau keagamaan.</t>
  </si>
  <si>
    <t>Saya dapat membantu menghubungkan orang yang membutuhkan bantuan dengan sumber dukungan yang sesuai.</t>
  </si>
  <si>
    <t>Saya dapat memahami perasaan dan kebutuhan orang lain melalui percakapan dan perilakunya.</t>
  </si>
  <si>
    <t>Saya mampu mengambil inisiatif untuk mengoordinasikan orang dan sumber daya agar suatu kegiatan mencapai tujuannya.</t>
  </si>
  <si>
    <t>Saya dapat membimbing, membagi tugas, dan mengawasi kerja anggota tim.</t>
  </si>
  <si>
    <t>Saya memiliki inisiatif dan semangat yang kuat untuk memulai atau mengembangkan suatu usaha/proyek.</t>
  </si>
  <si>
    <t>Saya dapat meyakinkan dan mengarahkan orang lain untuk bekerja menuju tujuan bersama.</t>
  </si>
  <si>
    <t>Saya mampu menawarkan dan menjual produk atau layanan dengan baik.</t>
  </si>
  <si>
    <t>Saya dapat memimpin atau berperan aktif dalam proses negosiasi.</t>
  </si>
  <si>
    <t>Saya mampu mengarahkan proyek atau kegiatan produktif dari tahap perencanaan sampai pelaksanaan.</t>
  </si>
  <si>
    <t>Saya terampil menjelaskan manfaat produk atau layanan sehingga orang lain tertarik.</t>
  </si>
  <si>
    <t>Saya dapat mengambil keputusan secara mandiri dan bertanggung jawab atas hasilnya.</t>
  </si>
  <si>
    <t>Saya mampu memimpin tim secara efektif.</t>
  </si>
  <si>
    <t>Saya mampu menyampaikan argumen secara meyakinkan dalam diskusi atau presentasi.</t>
  </si>
  <si>
    <t>Saya dapat mengetik dengan cepat dan akurat serta memformat dokumen dengan rapi.</t>
  </si>
  <si>
    <t>Saya dapat menggunakan aplikasi perkantoran, spreadsheet, atau sistem administrasi digital.</t>
  </si>
  <si>
    <t>Saya dapat mencatat hasil rapat dan merangkum informasi secara sistematis.</t>
  </si>
  <si>
    <t>Saya dapat mengelola arsip dan dokumen fisik maupun digital dengan tertib.</t>
  </si>
  <si>
    <t>Saya dapat mengelola data, dokumen, dan pekerjaan administrasi kantor.</t>
  </si>
  <si>
    <t>Saya dapat menyusun laporan keuangan atau neraca sederhana.</t>
  </si>
  <si>
    <t>Saya dapat menyusun dan membalas email atau surat resmi dengan cepat dan tepat.</t>
  </si>
  <si>
    <t>Saya terampil menggunakan kalkulator, spreadsheet, atau aplikasi pengolah angka.</t>
  </si>
  <si>
    <t>Saya terampil mencatat dan mengelola utang-piutang atau transaksi keuangan.</t>
  </si>
  <si>
    <t>Saya cermat mencatat dan memeriksa transaksi penjualan atau pembayaran.</t>
  </si>
  <si>
    <t>Saya tertarik bekerja sebagai teknisi perawatan dan perbaikan pesawat (aircraft maintenance technician).</t>
  </si>
  <si>
    <t>Saya tertarik bekerja sebagai teknisi budidaya perikanan atau akuakultur.</t>
  </si>
  <si>
    <t>Saya tertarik bekerja sebagai teknisi otomotif atau kendaraan listrik.</t>
  </si>
  <si>
    <t>Saya tertarik bekerja sebagai teknisi kayu, furnitur, atau konstruksi interior.</t>
  </si>
  <si>
    <t>Saya tertarik bekerja sebagai operator alat berat.</t>
  </si>
  <si>
    <t>Saya tertarik bekerja sebagai surveyor atau teknisi pemetaan/GIS lapangan.</t>
  </si>
  <si>
    <t>Saya tertarik bekerja sebagai pengawas lapangan konstruksi.</t>
  </si>
  <si>
    <t>Saya tertarik bekerja sebagai teknisi jaringan, telekomunikasi, atau perangkat.</t>
  </si>
  <si>
    <t>Saya tertarik bekerja sebagai petugas operasi bandara / airfield operations specialist.</t>
  </si>
  <si>
    <t>Saya tertarik bekerja sebagai petugas konservasi hutan atau lingkungan lapangan.</t>
  </si>
  <si>
    <t>Saya tertarik bekerja sebagai pengemudi kendaraan komersial profesional.</t>
  </si>
  <si>
    <t>Saya tertarik bekerja sebagai masinis kereta api.</t>
  </si>
  <si>
    <t>Saya tertarik bekerja sebagai teknisi pemeliharaan mesin industri.</t>
  </si>
  <si>
    <t>Saya tertarik bekerja sebagai teknisi listrik atau energi terbarukan.</t>
  </si>
  <si>
    <t>Saya tertarik bekerja sebagai meteorolog atau analis cuaca.</t>
  </si>
  <si>
    <t>Saya tertarik bekerja sebagai biolog atau peneliti biologi.</t>
  </si>
  <si>
    <t>Saya tertarik bekerja sebagai astronom atau peneliti antariksa.</t>
  </si>
  <si>
    <t>Saya tertarik bekerja sebagai analis laboratorium.</t>
  </si>
  <si>
    <t>Saya tertarik bekerja sebagai antropolog atau peneliti budaya.</t>
  </si>
  <si>
    <t>Saya tertarik bekerja sebagai zoolog atau peneliti satwa.</t>
  </si>
  <si>
    <t>Saya tertarik bekerja sebagai kimiawan atau peneliti farmasi.</t>
  </si>
  <si>
    <t>Saya tertarik bekerja sebagai peneliti ilmiah.</t>
  </si>
  <si>
    <t>Saya tertarik bekerja sebagai analis riset atau peneliti kebijakan berbasis data.</t>
  </si>
  <si>
    <t>Saya tertarik bekerja sebagai epidemiolog atau peneliti kesehatan.</t>
  </si>
  <si>
    <t>Saya tertarik bekerja sebagai geolog atau ahli ilmu kebumian.</t>
  </si>
  <si>
    <t>Saya tertarik bekerja sebagai botanis atau peneliti tanaman.</t>
  </si>
  <si>
    <t>Saya tertarik bekerja sebagai asisten peneliti / research assistant.</t>
  </si>
  <si>
    <t>Saya tertarik bekerja sebagai data scientist atau analis data riset.</t>
  </si>
  <si>
    <t>Saya tertarik bekerja sebagai penulis kreatif atau penyair.</t>
  </si>
  <si>
    <t>Saya tertarik bekerja sebagai konduktor atau pengarah musik.</t>
  </si>
  <si>
    <t>Saya tertarik bekerja sebagai musisi atau performer.</t>
  </si>
  <si>
    <t>Saya tertarik bekerja sebagai pengarang atau novelis.</t>
  </si>
  <si>
    <t>Saya tertarik bekerja sebagai desainer kreatif untuk iklan dan media.</t>
  </si>
  <si>
    <t>Saya tertarik bekerja sebagai content writer atau copywriter.</t>
  </si>
  <si>
    <t>Saya tertarik bekerja sebagai produser musik atau sound designer.</t>
  </si>
  <si>
    <t>Saya tertarik bekerja sebagai jurnalis budaya atau kreator dokumenter.</t>
  </si>
  <si>
    <t>Saya tertarik bekerja sebagai fotografer atau visual content creator.</t>
  </si>
  <si>
    <t>Saya tertarik bekerja sebagai penyanyi atau vokalis.</t>
  </si>
  <si>
    <t>Saya tertarik bekerja sebagai komposer atau penata musik.</t>
  </si>
  <si>
    <t>Saya tertarik bekerja sebagai pematung, 3D artist, atau digital sculptor.</t>
  </si>
  <si>
    <t>Saya tertarik bekerja sebagai penulis skenario untuk film, video, atau gim.</t>
  </si>
  <si>
    <t>Saya tertarik bekerja sebagai ilustrator, animator, atau motion designer.</t>
  </si>
  <si>
    <t>Saya tertarik bekerja sebagai pendamping masyarakat atau fasilitator pelayanan sosial.</t>
  </si>
  <si>
    <t>Saya tertarik bekerja sebagai guru sekolah menengah.</t>
  </si>
  <si>
    <t>Saya tertarik bekerja sebagai konselor remaja.</t>
  </si>
  <si>
    <t>Saya tertarik bekerja sebagai fasilitator komunitas atau edukator keagamaan.</t>
  </si>
  <si>
    <t>Saya tertarik bekerja sebagai konselor keluarga atau konselor perkawinan.</t>
  </si>
  <si>
    <t>Saya tertarik bekerja sebagai guru pembimbing atau pendamping perkembangan peserta didik.</t>
  </si>
  <si>
    <t>Saya tertarik bekerja sebagai pendidik anak usia dini.</t>
  </si>
  <si>
    <t>Saya tertarik bekerja sebagai psikolog.</t>
  </si>
  <si>
    <t>Saya tertarik bekerja sebagai guru ilmu sosial.</t>
  </si>
  <si>
    <t>Saya tertarik bekerja sebagai pekerja pengembangan masyarakat atau pendamping komunitas.</t>
  </si>
  <si>
    <t>Saya tertarik bekerja sebagai fasilitator pelatihan dan pengembangan peserta didik atau pemuda.</t>
  </si>
  <si>
    <t>Saya tertarik bekerja sebagai konselor pribadi atau konselor kesehatan mental.</t>
  </si>
  <si>
    <t>Saya tertarik bekerja sebagai pekerja sosial atau pendamping layanan psikososial.</t>
  </si>
  <si>
    <t>Saya tertarik bekerja sebagai konselor karier.</t>
  </si>
  <si>
    <t>Saya tertarik bekerja sebagai wirausahawan / founder usaha.</t>
  </si>
  <si>
    <t>Saya tertarik bekerja sebagai agen properti atau broker real estat.</t>
  </si>
  <si>
    <t>Saya tertarik bekerja sebagai manajer agensi iklan atau komunikasi.</t>
  </si>
  <si>
    <t>Saya tertarik bekerja sebagai account executive atau sales B2B.</t>
  </si>
  <si>
    <t>Saya tertarik bekerja sebagai spesialis pemasaran properti.</t>
  </si>
  <si>
    <t>Saya tertarik bekerja sebagai produser acara, siaran, atau konten.</t>
  </si>
  <si>
    <t>Saya tertarik bekerja sebagai manajer hotel atau hospitality.</t>
  </si>
  <si>
    <t>Saya tertarik bekerja sebagai manajer unit bisnis.</t>
  </si>
  <si>
    <t>Saya tertarik bekerja sebagai manajer restoran atau food service.</t>
  </si>
  <si>
    <t>Saya tertarik bekerja sebagai MC, presenter, atau host acara.</t>
  </si>
  <si>
    <t>Saya tertarik bekerja sebagai pengelola toko daring / e-commerce seller.</t>
  </si>
  <si>
    <t>Saya tertarik bekerja sebagai manajer public relations atau corporate communications.</t>
  </si>
  <si>
    <t>Saya tertarik bekerja sebagai promotor acara olahraga atau event organizer.</t>
  </si>
  <si>
    <t>Saya tertarik bekerja sebagai manajer pemasaran digital.</t>
  </si>
  <si>
    <t>Saya tertarik bekerja sebagai staf pembukuan atau accounting staff.</t>
  </si>
  <si>
    <t>Saya tertarik bekerja sebagai spesialis manajemen arsip dan dokumen digital.</t>
  </si>
  <si>
    <t>Saya tertarik bekerja sebagai budget analyst atau analis anggaran.</t>
  </si>
  <si>
    <t>Saya tertarik bekerja sebagai akuntan publik.</t>
  </si>
  <si>
    <t>Saya tertarik bekerja sebagai credit analyst atau analis kredit.</t>
  </si>
  <si>
    <t>Saya tertarik bekerja sebagai spesialis administrasi dan operasi perkantoran.</t>
  </si>
  <si>
    <t>Saya tertarik bekerja sebagai financial analyst atau analis keuangan.</t>
  </si>
  <si>
    <t>Saya tertarik bekerja sebagai cost estimator atau analis estimasi biaya.</t>
  </si>
  <si>
    <t>Saya tertarik bekerja sebagai payroll specialist atau staf penggajian.</t>
  </si>
  <si>
    <t>Saya tertarik bekerja sebagai auditor perbankan atau auditor internal.</t>
  </si>
  <si>
    <t>Saya tertarik bekerja sebagai panitera atau administrator hukum.</t>
  </si>
  <si>
    <t>Saya tertarik bekerja sebagai bank teller atau petugas layanan transaksi.</t>
  </si>
  <si>
    <t>Saya tertarik bekerja sebagai tax specialist atau staf perpajakan.</t>
  </si>
  <si>
    <t>Saya tertarik bekerja sebagai inventory / receiving specialist atau petugas penerimaan barang.</t>
  </si>
  <si>
    <t>Self Estimate - Pengetahuan</t>
  </si>
  <si>
    <t>Nilai 1–7 (wajib diisi; 1 = terendah, 7 = tertinggi)</t>
  </si>
  <si>
    <t>Nilai pengetahuan diri Anda pada bidang praktis-teknis: alat, mesin, perangkat, konstruksi, atau pekerjaan lapangan.</t>
  </si>
  <si>
    <t>Nilai pengetahuan diri Anda pada bidang analitis-ilmiah: penelitian, data, sains, logika, dan pemecahan masalah.</t>
  </si>
  <si>
    <t>Nilai pengetahuan diri Anda pada bidang kreatif-artistik: desain, visual, musik, media, bahasa, dan ekspresi kreatif.</t>
  </si>
  <si>
    <t>Nilai pengetahuan diri Anda pada bidang sosial: membantu, mengajar, membimbing, merawat, dan berkomunikasi.</t>
  </si>
  <si>
    <t>Nilai pengetahuan diri Anda pada bidang kepemimpinan-bisnis: memimpin, bernegosiasi, menjual, dan mengembangkan peluang.</t>
  </si>
  <si>
    <t>Nilai pengetahuan diri Anda pada bidang terstruktur-administratif: data, keuangan, dokumen, prosedur, dan ketelitian.</t>
  </si>
  <si>
    <t>Self Estimate - Keterampilan</t>
  </si>
  <si>
    <t>Nilai keterampilan diri Anda pada bidang praktis-teknis: alat, mesin, perangkat, konstruksi, atau pekerjaan lapangan.</t>
  </si>
  <si>
    <t>Nilai keterampilan diri Anda pada bidang analitis-ilmiah: penelitian, data, sains, logika, dan pemecahan masalah.</t>
  </si>
  <si>
    <t>Nilai keterampilan diri Anda pada bidang kreatif-artistik: desain, visual, musik, media, bahasa, dan ekspresi kreatif.</t>
  </si>
  <si>
    <t>Nilai keterampilan diri Anda pada bidang sosial: membantu, mengajar, membimbing, merawat, dan berkomunikasi.</t>
  </si>
  <si>
    <t>Nilai keterampilan diri Anda pada bidang kepemimpinan-bisnis: memimpin, bernegosiasi, menjual, dan mengembangkan peluang.</t>
  </si>
  <si>
    <t>Nilai keterampilan diri Anda pada bidang terstruktur-administratif: data, keuangan, dokumen, prosedur, dan ketelitian.</t>
  </si>
  <si>
    <t>LEMBAR PERTANYAAN TES MINAT KARIR HOLLAND RIASEC — 216 ITEM — VERSI FINAL</t>
  </si>
  <si>
    <t>Petunjuk: baca setiap pernyataan dan pilih 1 jika sesuai dengan minat/kondisi Anda, atau 0 jika tidak. Tidak ada jawaban benar atau salah. Jawablah sesuai diri Anda, bukan berdasarkan harapan orang lain.</t>
  </si>
  <si>
    <t>No.</t>
  </si>
  <si>
    <t>Bagian</t>
  </si>
  <si>
    <t>Jawaban (0/1)</t>
  </si>
  <si>
    <t>SELF ESTIMATE — 12 PENILAIAN TAMBAHAN (BUKAN BAGIAN DARI 216 ITEM)</t>
  </si>
  <si>
    <t>Beri nilai 1–7 pada setiap bidang: 1 = sangat rendah, 7 = sangat tinggi. Enam baris pertama menilai pengetahuan diri; enam baris berikutnya menilai keterampilan diri.</t>
  </si>
  <si>
    <t>Bidang</t>
  </si>
  <si>
    <t>Nilai (1–7)</t>
  </si>
  <si>
    <t>Pengetahuan</t>
  </si>
  <si>
    <t>Praktis–Teknis — praktis-teknis: alat, mesin, perangkat, konstruksi, atau pekerjaan lapangan</t>
  </si>
  <si>
    <t>Analitis–Ilmiah — analitis-ilmiah: penelitian, data, sains, logika, dan pemecahan masalah</t>
  </si>
  <si>
    <t>Kreatif–Artistik — kreatif-artistik: desain, visual, musik, media, bahasa, dan ekspresi kreatif</t>
  </si>
  <si>
    <t>Sosial–Membantu — sosial: membantu, mengajar, membimbing, merawat, dan berkomunikasi</t>
  </si>
  <si>
    <t>Kepemimpinan–Bisnis — kepemimpinan-bisnis: memimpin, bernegosiasi, menjual, dan mengembangkan peluang</t>
  </si>
  <si>
    <t>Terstruktur–Administratif — terstruktur-administratif: data, keuangan, dokumen, prosedur, dan ketelitian</t>
  </si>
  <si>
    <t>Keterampilan</t>
  </si>
  <si>
    <t>Menyukai aktivitas praktis dan langsung, bekerja dengan alat, mesin, teknologi, material, hewan, atau lingkungan fisik. Cenderung nyaman dengan pemecahan masalah konkret, aktivitas lapangan, dan hasil kerja yang dapat diamati.</t>
  </si>
  <si>
    <t>Teknik Mesin, Teknik Elektro, Teknik Sipil, Mekatronika, Teknik Otomotif, Teknik Energi/Energi Terbarukan, Geomatika, Pertanian, Perikanan, Kehutanan, Teknik Industri.</t>
  </si>
  <si>
    <t>Menyukai kegiatan analitis, penelitian, eksplorasi konsep dan data, serta pemecahan masalah kompleks. Cenderung tertarik memahami bagaimana sesuatu bekerja melalui observasi, penalaran, eksperimen, penelitian, atau pemodelan.</t>
  </si>
  <si>
    <t>Sains Data, Statistika, Matematika, Ilmu Komputer, Keamanan Siber, Bioinformatika, Biologi, Kimia, Fisika, Geologi, Kedokteran, Farmasi, Kesehatan Masyarakat.</t>
  </si>
  <si>
    <t>Menyukai ekspresi kreatif, penciptaan ide, desain, bahasa, musik, seni pertunjukan, media, dan karya visual. Cenderung menghargai kebebasan berekspresi dan pekerjaan yang memberi ruang bagi kreativitas serta orisinalitas.</t>
  </si>
  <si>
    <t>Desain Komunikasi Visual, Desain Produk, Desain Interior, Arsitektur, Seni Rupa, Animasi, Film, Musik, Sastra, Fotografi, Desain Gim, Media Digital, Teknologi Kreatif.</t>
  </si>
  <si>
    <t>Menyukai aktivitas membantu, mengajar, membimbing, merawat, mendampingi, berkomunikasi, dan bekerja bersama orang lain. Cenderung memperoleh kepuasan dari perkembangan, pembelajaran, kesehatan, dan kesejahteraan individu atau komunitas.</t>
  </si>
  <si>
    <t>Pendidikan, Bimbingan dan Konseling, Psikologi, Keperawatan, Kesehatan Masyarakat, Pekerjaan Sosial, Pendidikan Khusus, Terapi/Rehabilitasi, Pengembangan Masyarakat, Pengembangan SDM, Sosiologi.</t>
  </si>
  <si>
    <t>Menyukai aktivitas memimpin, memengaruhi, meyakinkan, bernegosiasi, mengembangkan peluang, mengorganisasi kegiatan, menjalankan usaha atau proyek, dan mencapai target. Cenderung tertarik pada kepemimpinan, bisnis, kewirausahaan, pemasaran, dan pengambilan keputusan.</t>
  </si>
  <si>
    <t>Manajemen, Kewirausahaan, Administrasi Bisnis, Pemasaran, Manajemen Produk, Hubungan Masyarakat, Manajemen Penjualan, Hukum, Keuangan, Bisnis Digital, Manajemen Perhotelan, Bisnis Internasional.</t>
  </si>
  <si>
    <t>Menyukai aktivitas yang terstruktur, teratur, teliti, sistematis, dan berbasis prosedur, data, angka, dokumen, serta pengelolaan informasi. Cenderung nyaman dengan aturan yang jelas, ketepatan, pencatatan, dan standar kerja yang konsisten.</t>
  </si>
  <si>
    <t>Akuntansi, Perpajakan, Keuangan, Administrasi Bisnis, Administrasi Perkantoran, Sistem Informasi, Manajemen Data, Audit, Perbankan, Manajemen Rantai Pasok, Manajemen Operasi, Kearsipan dan Manajemen Dokumen.</t>
  </si>
  <si>
    <t>Saya suka mengajar atau membimbing orang lain dalam mempelajari sesuatu.</t>
  </si>
  <si>
    <t>Saya suka bernegosiasi dengan orang lain untuk mencapai suatu kesepakatan</t>
  </si>
  <si>
    <t>Saya mampu mengikuti prosedur kerja serta memeriksa kelengkapan data dan dokumen secara teliti.</t>
  </si>
  <si>
    <t>Engineer mekatronika; Teknisi instrumentasi dan kontrol; Teknisi peralatan biomedis; Spesialis pengujian non-destruktif (NDT); Teknolog survei dan pemetaan; Desainer prototipe teknis; Spesialis CAD pengembangan produk; Technical visualization specialist; Engineer robotika/robotics engineer; Engineer sistem energi terbarukan; Architect; Teknisi sistem drone/UAS; Engineer perangkat biomedis</t>
  </si>
  <si>
    <t>Engineer mekatronika; Teknisi instrumentasi dan kontrol; Teknisi peralatan biomedis; Spesialis pengujian non-destruktif (NDT); Teknolog survei dan pemetaan; Teknisi layanan peralatan medis; Spesialis teknologi rehabilitasi; Instruktur teknis lapangan; Engineer robotika/robotics engineer; Engineer sistem energi terbarukan; Forester / forestry technician; Teknisi sistem drone/UAS; Engineer perangkat biomedis</t>
  </si>
  <si>
    <t>Engineer mekatronika; Teknisi instrumentasi dan kontrol; Teknisi peralatan biomedis; Spesialis pengujian non-destruktif (NDT); Teknolog survei dan pemetaan; Technical sales engineer; Koordinator proyek teknik; Supervisor pemeliharaan teknis; Engineer robotika/robotics engineer; Engineer sistem energi terbarukan; Teknisi sistem drone/UAS; Engineer perangkat biomedis</t>
  </si>
  <si>
    <t>Engineer mekatronika; Teknisi instrumentasi dan kontrol; Teknisi peralatan biomedis; Spesialis pengujian non-destruktif (NDT); Teknolog survei dan pemetaan; Teknisi kalibrasi; Quality control technician; Reliability/maintenance analyst; Engineer robotika/robotics engineer; Engineer sistem energi terbarukan; Dental laboratory technician; Industrial engineer; Automotive engineer / EV engineer; Automotive technician / EV technician; Telecommunications technician</t>
  </si>
  <si>
    <t>Desainer produk industri; Drafter/BIM modeler; Desainer furnitur; Teknisi prototipe dan maker; Teknisi fabrikasi pameran/set; R&amp;D prototype designer; Desainer produk berbasis riset pengguna; Spesialis material dan prototyping; Spesialis fabrikasi digital/additive manufacturing; Desainer prototipe produk; Teknisi pencetakan 3D; Spesialis produksi pameran dan instalasi kreatif</t>
  </si>
  <si>
    <t>Desainer produk industri; Drafter/BIM modeler; Desainer furnitur; Teknisi prototipe dan maker; Teknisi fabrikasi pameran/set; Desainer produk asistif; Instruktur keterampilan desain/fabrikasi; Desainer ruang pembelajaran; Spesialis fabrikasi digital/additive manufacturing; Desainer prototipe produk; Teknisi pencetakan 3D; Spesialis produksi pameran dan instalasi kreatif</t>
  </si>
  <si>
    <t>Desainer produk industri; Drafter/BIM modeler; Desainer furnitur; Teknisi prototipe dan maker; Teknisi fabrikasi pameran/set; Koordinator produksi kreatif; Supervisor workshop desain; Product development coordinator; Spesialis fabrikasi digital/additive manufacturing; Desainer prototipe produk; Teknisi pencetakan 3D; Spesialis produksi pameran dan instalasi kreatif</t>
  </si>
  <si>
    <t>Desainer produk industri; Drafter/BIM modeler; Desainer furnitur; Teknisi prototipe dan maker; Teknisi fabrikasi pameran/set; Technical illustrator/drafter; Koordinator dokumentasi desain; Spesialis standardisasi gambar teknik; Spesialis fabrikasi digital/additive manufacturing; Desainer prototipe produk; Floral designer; Woodworker / furniture maker; Architectural drafter / BIM technician; Carpenter; Teknisi pencetakan 3D</t>
  </si>
  <si>
    <t>Paramedis lapangan; Asisten fisioterapi; Asisten terapi okupasi; Teknisi veteriner/perawat hewan; Instruktur kebugaran dan aktivitas fisik; Teknisi rehabilitasi medis; Asisten laboratorium klinis lapangan; Teknisi peralatan terapi; Teknisi teknologi rehabilitasi; Emergency Medical Technician (EMT); Spesialis peralatan adaptif; Instruktur aktivitas luar ruang</t>
  </si>
  <si>
    <t>Paramedis lapangan; Asisten fisioterapi; Asisten terapi okupasi; Teknisi veteriner/perawat hewan; Instruktur kebugaran dan aktivitas fisik; Instruktur aktivitas rekreatif; Fasilitator terapi berbasis aktivitas; Pelatih gerak/aktivitas kreatif; Teknisi teknologi rehabilitasi; Emergency Medical Technician (EMT); Spesialis peralatan adaptif; Instruktur aktivitas luar ruang</t>
  </si>
  <si>
    <t>Paramedis lapangan; Asisten fisioterapi; Asisten terapi okupasi; Teknisi veteriner/perawat hewan; Instruktur kebugaran dan aktivitas fisik; Koordinator layanan lapangan; Supervisor pusat kebugaran; Koordinator operasi klinik rehabilitasi; Teknisi teknologi rehabilitasi; Emergency Medical Technician (EMT); Baker; Cook / chef; Spesialis peralatan adaptif; Instruktur aktivitas luar ruang</t>
  </si>
  <si>
    <t>Paramedis lapangan; Asisten fisioterapi; Asisten terapi okupasi; Teknisi veteriner/perawat hewan; Instruktur kebugaran dan aktivitas fisik; Koordinator alat dan logistik medis; Teknisi sterilisasi dan persiapan alat; Petugas dokumentasi layanan lapangan; Teknisi teknologi rehabilitasi; Emergency Medical Technician (EMT); Spesialis peralatan adaptif; Instruktur aktivitas luar ruang</t>
  </si>
  <si>
    <t>Supervisor konstruksi; Supervisor produksi; Manajer fasilitas; Supervisor operasi lapangan; Technical sales specialist; Technical project coordinator; Supervisor commissioning; Manajer proyek instalasi teknis; Manajer operasi fasilitas pintar; Supervisor operasi energi terbarukan; Field service manager</t>
  </si>
  <si>
    <t>Supervisor konstruksi; Supervisor produksi; Manajer fasilitas; Supervisor operasi lapangan; Technical sales specialist; Manajer produksi pameran; Supervisor workshop kreatif; Koordinator proyek desain-konstruksi; Manajer operasi fasilitas pintar; Supervisor operasi energi terbarukan; Field service manager</t>
  </si>
  <si>
    <t>Supervisor konstruksi; Supervisor produksi; Manajer fasilitas; Supervisor operasi lapangan; Technical sales specialist; Supervisor layanan teknis; Manajer operasi fasilitas publik; Koordinator keselamatan dan pelatihan lapangan; Manajer operasi fasilitas pintar; Supervisor operasi energi terbarukan; Firefighter; Correctional officer; Field service manager</t>
  </si>
  <si>
    <t>Supervisor konstruksi; Supervisor produksi; Manajer fasilitas; Supervisor operasi lapangan; Technical sales specialist; Manajer pemeliharaan; Supervisor perencanaan produksi; Koordinator supply chain teknis; Manajer operasi fasilitas pintar; Supervisor operasi energi terbarukan; Field service manager</t>
  </si>
  <si>
    <t>Teknisi quality control; Programmer/operator CNC; Teknisi kalibrasi; Maintenance planner; Production planner; Quality assurance technician; Reliability analyst teknis; Teknisi pengujian dan inspeksi; Teknisi smart manufacturing; Maintenance planning specialist; Building inspector; Civil engineering technician; Surveyor / surveying technician; Marine engineer / ship engineer; Safety inspector</t>
  </si>
  <si>
    <t>Teknisi quality control; Programmer/operator CNC; Teknisi kalibrasi; Maintenance planner; Production planner; CAD/CAM production specialist; Teknisi produksi prototipe; Spesialis finishing presisi; Teknisi smart manufacturing; Maintenance planning specialist; QA/QC technician; Koordinator otomasi gudang</t>
  </si>
  <si>
    <t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t>
  </si>
  <si>
    <t>Teknisi quality control; Programmer/operator CNC; Teknisi kalibrasi; Maintenance planner; Production planner; Supervisor quality control; Supervisor gudang teknis; Koordinator produksi; Teknisi smart manufacturing; Maintenance planning specialist; Security guard / security officer; Construction worker / construction trades worker; Truck driver; QA/QC technician; Koordinator otomasi gudang</t>
  </si>
  <si>
    <t>Engineer mekanik; Engineer elektro; Engineer sipil; Engineer lingkungan; Engineer robotika; Engineer desain produk; Computational design engineer; Spesialis visualisasi teknik; AI/robotics research engineer; Materials research engineer; Physicist / physics researcher; Geospatial data scientist; Environmental monitoring scientist</t>
  </si>
  <si>
    <t>Engineer mekanik; Engineer elektro; Engineer sipil; Engineer lingkungan; Engineer robotika; Biomedical engineer; Engineer keselamatan dan ergonomi; Engineer teknologi asistif; AI/robotics research engineer; Materials research engineer; Ecologist; Medical laboratory technologist; Radiologic technologist; Meteorologist; Geospatial data scientist</t>
  </si>
  <si>
    <t>Engineer mekanik; Engineer elektro; Engineer sipil; Engineer lingkungan; Engineer robotika; Engineering consultant; Technical product manager; Innovation engineer; AI/robotics research engineer; Materials research engineer; Civil engineer; Geospatial data scientist; Environmental monitoring scientist</t>
  </si>
  <si>
    <t>Engineer mekanik; Engineer elektro; Engineer sipil; Engineer lingkungan; Engineer robotika; Engineer quality/reliability; Validation engineer; Systems engineer; AI/robotics research engineer; Materials research engineer; Computer hardware engineer; Software developer / programmer; Biochemist; Chemical engineer; Electrical engineer</t>
  </si>
  <si>
    <t>UX researcher; Spesialis visualisasi data; Ilustrator ilmiah; Computational designer; Peneliti human-computer interaction; Human factors engineer; Prototype research specialist; Design technologist; Human-computer interaction researcher; Data visualization specialist; Archaeologist; Scientific communication designer</t>
  </si>
  <si>
    <t>UX researcher; Spesialis visualisasi data; Ilustrator ilmiah; Computational designer; Peneliti human-computer interaction; UX researcher untuk layanan publik; Peneliti desain pembelajaran; Researcher pengalaman pasien; Human-computer interaction researcher; Data visualization specialist; Scientific communication designer</t>
  </si>
  <si>
    <t>UX researcher; Spesialis visualisasi data; Ilustrator ilmiah; Computational designer; Peneliti human-computer interaction; Product discovery researcher; Market insight researcher; Innovation research consultant; Human-computer interaction researcher; Data visualization specialist; Scientific communication designer</t>
  </si>
  <si>
    <t>UX researcher; Spesialis visualisasi data; Ilustrator ilmiah; Computational designer; Peneliti human-computer interaction; Information architect; Research data visualization specialist; Design research operations specialist; Human-computer interaction researcher; Data visualization specialist; Web developer; Scientific communication designer</t>
  </si>
  <si>
    <t>Epidemiolog; Psikolog klinis; Peneliti kesehatan masyarakat; Peneliti pendidikan; Ilmuwan gizi; Peneliti ergonomi dan rehabilitasi; Clinical research technologist; Peneliti kesehatan kerja lapangan; Health data scientist; Behavioral scientist; Veterinarian; Dentist; Public health researcher; Clinical research coordinator</t>
  </si>
  <si>
    <t>Epidemiolog; Psikolog klinis; Peneliti kesehatan masyarakat; Peneliti pendidikan; Ilmuwan gizi; Peneliti komunikasi kesehatan; Behavioral design researcher; Pengembang media edukasi berbasis riset; Health data scientist; Behavioral scientist; Physician / psychiatrist; Sociologist; Public health researcher; Clinical research coordinator</t>
  </si>
  <si>
    <t>Epidemiolog; Psikolog klinis; Peneliti kesehatan masyarakat; Peneliti pendidikan; Ilmuwan gizi; Health program analyst; Research program manager; Policy research consultant; Health data scientist; Behavioral scientist; Public health researcher; Clinical research coordinator</t>
  </si>
  <si>
    <t>Epidemiolog; Psikolog klinis; Peneliti kesehatan masyarakat; Peneliti pendidikan; Ilmuwan gizi; Clinical data analyst; Health informatics analyst; Research data manager; Health data scientist; Behavioral scientist; Public health researcher; Clinical research coordinator</t>
  </si>
  <si>
    <t>Market research analyst; Operations research analyst; Product analyst; Strategy analyst; Business intelligence analyst; Industrial operations analyst; Technical market analyst; Supply chain analytics specialist; Product insights analyst; Innovation strategy analyst; R&amp;D manager; Management consultant; Market intelligence analyst; AI product analyst</t>
  </si>
  <si>
    <t>Market research analyst; Operations research analyst; Product analyst; Strategy analyst; Business intelligence analyst; Consumer insight strategist; Innovation concept researcher; Product experience analyst; Product insights analyst; Innovation strategy analyst; Market intelligence analyst; AI product analyst</t>
  </si>
  <si>
    <t>Market research analyst; Operations research analyst; Product analyst; Strategy analyst; Business intelligence analyst; People analytics specialist; Education program analyst; Customer research analyst; Product insights analyst; Innovation strategy analyst; Urban/regional planner; Market intelligence analyst; AI product analyst</t>
  </si>
  <si>
    <t>Market research analyst; Operations research analyst; Product analyst; Strategy analyst; Business intelligence analyst; Business data analyst; Financial planning analyst; Decision-support analyst; Product insights analyst; Innovation strategy analyst; Systems analyst; Market intelligence analyst; AI product analyst</t>
  </si>
  <si>
    <t>Data scientist; Statistikawan; Aktuaris; Analis keamanan siber; Risk analyst; Industrial data analyst; Quality data analyst; Cyber-physical systems analyst; Machine learning engineer / AI engineer; Cybersecurity analyst; Mathematician; Statistician; Detective / criminal investigator; Data governance analyst; Quantitative analyst</t>
  </si>
  <si>
    <t>Data scientist; Statistikawan; Aktuaris; Analis keamanan siber; Risk analyst; Data visualization analyst; Information design analyst; Digital experience analytics specialist; Machine learning engineer / AI engineer; Cybersecurity analyst; Data governance analyst; Quantitative analyst</t>
  </si>
  <si>
    <t>Data scientist; Statistikawan; Aktuaris; Analis keamanan siber; Risk analyst; Health data analyst; Education data analyst; People analytics specialist; Machine learning engineer / AI engineer; Cybersecurity analyst; Data governance analyst; Quantitative analyst</t>
  </si>
  <si>
    <t>Data scientist; Statistikawan; Aktuaris; Analis keamanan siber; Risk analyst; Business intelligence consultant; Risk strategy analyst; Pricing/revenue analyst; Machine learning engineer / AI engineer; Cybersecurity analyst; Data governance analyst; Quantitative analyst</t>
  </si>
  <si>
    <t>Industrial designer; Product designer; Interior designer; Exhibition/set designer; 3D artist/modeler; Design researcher; Material/CMF designer; Product innovation designer; Creative technologist; Immersive media designer (AR/VR); Desainer interior; Industrial/Product Designer; 3D product visualizer; Digital fabrication designer</t>
  </si>
  <si>
    <t>Industrial designer; Product designer; Interior designer; Exhibition/set designer; 3D artist/modeler; Desainer produk inklusif; Community design facilitator; Desainer ruang edukatif; Creative technologist; Immersive media designer (AR/VR); 3D product visualizer; Digital fabrication designer</t>
  </si>
  <si>
    <t>Industrial designer; Product designer; Interior designer; Exhibition/set designer; 3D artist/modeler; Creative product lead; Design entrepreneur; Creative production manager; Creative technologist; Immersive media designer (AR/VR); Fotografer / visual content creator; Fashion designer; 3D product visualizer; Digital fabrication designer</t>
  </si>
  <si>
    <t>Industrial designer; Product designer; Interior designer; Exhibition/set designer; 3D artist/modeler; Design production coordinator; Technical design documentation specialist; Digital fabrication planner; Creative technologist; Immersive media designer (AR/VR); 3D product visualizer; Digital fabrication designer</t>
  </si>
  <si>
    <t>UX/UI designer; Information visualization designer; Game designer; Interaction designer; Creative technologist; Interaction prototyping designer; XR/immersive experience designer; Digital fabrication designer; Generative-AI creative specialist; Pelukis / visual artist</t>
  </si>
  <si>
    <t>UX/UI designer; Information visualization designer; Game designer; Interaction designer; Creative technologist; Learning experience designer; Accessible UX designer; Service designer untuk layanan publik; Generative-AI creative specialist; Kurator museum</t>
  </si>
  <si>
    <t>UX/UI designer; Information visualization designer; Game designer; Interaction designer; Creative technologist; Creative technology lead; Digital product design lead; Experience strategy designer; Generative-AI creative specialist</t>
  </si>
  <si>
    <t>UX/UI designer; Information visualization designer; Game designer; Interaction designer; Creative technologist; Design systems specialist; UX operations specialist; Digital asset workflow designer; Generative-AI creative specialist; Desainer grafis / visual designer; Ilustrator</t>
  </si>
  <si>
    <t>Art therapist; Music therapist; Guru seni; Instructional designer; Edukator museum; Art-based activity instructor; Desainer alat bantu pembelajaran; Fasilitator workshop kreatif; Learning experience designer; Digital learning content designer; Museum educator; Community arts facilitator</t>
  </si>
  <si>
    <t>Art therapist; Music therapist; Guru seni; Instructional designer; Edukator museum; Educational media researcher; Learning experience researcher; Arts education researcher; Learning experience designer; Digital learning content designer; Guru musik; Museum educator; Community arts facilitator</t>
  </si>
  <si>
    <t>Art therapist; Music therapist; Guru seni; Instructional designer; Edukator museum; Program manager seni komunitas; Creative education coordinator; Manajer program museum; Learning experience designer; Digital learning content designer; Museum educator; Community arts facilitator</t>
  </si>
  <si>
    <t>Art therapist; Music therapist; Guru seni; Instructional designer; Edukator museum; Koordinator produksi materi pembelajaran; Administrator program seni; Learning content operations specialist; Learning experience designer; Digital learning content designer; Museum educator; Community arts facilitator</t>
  </si>
  <si>
    <t>Creative director; Brand strategist; Advertising art director; Creative producer; Content strategist; Creative production supervisor; Experiential marketing producer; Event production lead; Digital creative director; Content strategy lead; Brand experience manager; Social media creative lead</t>
  </si>
  <si>
    <t>Creative director; Brand strategist; Advertising art director; Creative producer; Content strategist; Brand insights strategist; Creative research strategist; Audience intelligence specialist; Digital creative director; Content strategy lead; Brand experience manager; Social media creative lead</t>
  </si>
  <si>
    <t>Creative director; Brand strategist; Advertising art director; Creative producer; Content strategist; Community engagement creative lead; Social campaign strategist; Partnerships creative manager; Digital creative director; Content strategy lead; Aktor/Aktris; Penari / Koreografer; Brand experience manager; Social media creative lead</t>
  </si>
  <si>
    <t>Creative director; Brand strategist; Advertising art director; Creative producer; Content strategist; Marketing operations creative lead; Campaign production manager; Creative operations manager; Digital creative director; Content strategy lead; Art Director / Creative Director; Produser film/video/konten; Produser / sutradara; Brand experience manager; Social media creative lead</t>
  </si>
  <si>
    <t>Production designer; Publishing designer; Digital asset manager; Prepress/digital production designer; Design system specialist; Packaging production designer; Signage/wayfinding production designer; Digital fabrication coordinator; Design operations specialist; E-commerce content operations specialist; Publishing production specialist</t>
  </si>
  <si>
    <t>Production designer; Publishing designer; Digital asset manager; Prepress/digital production designer; Design system specialist; Information design specialist; Data-driven publishing designer; Content taxonomy designer; Design operations specialist; E-commerce content operations specialist; Publishing production specialist</t>
  </si>
  <si>
    <t>Production designer; Publishing designer; Digital asset manager; Prepress/digital production designer; Design system specialist; Educational publishing coordinator; Accessibility content specialist; Community content operations specialist; Design operations specialist; E-commerce content operations specialist; Publishing production specialist</t>
  </si>
  <si>
    <t>Production designer; Publishing designer; Digital asset manager; Prepress/digital production designer; Design system specialist; Creative operations coordinator; E-commerce content operations lead; Brand asset manager; Design operations specialist; E-commerce content operations specialist; Publishing production specialist</t>
  </si>
  <si>
    <t>Perawat; Fisioterapis; Terapis okupasi; Paramedis; Athletic trainer/pelatih rehabilitasi olahraga; Clinical rehabilitation specialist; Perawat kesehatan kerja; Spesialis rehabilitasi berbasis bukti; Emergency Medical Technician (EMT); Occupational therapy assistant; Dental hygienist; Massage therapist; Athletic trainer; Physical therapist assistant; Sports rehabilitation assistant</t>
  </si>
  <si>
    <t>Perawat; Fisioterapis; Terapis okupasi; Paramedis; Athletic trainer/pelatih rehabilitasi olahraga; Terapis rekreasi; Terapis seni berbasis aktivitas; Instruktur aktivitas adaptif; Emergency Medical Technician (EMT); Occupational therapy assistant; Physical therapist assistant; Sports rehabilitation assistant</t>
  </si>
  <si>
    <t>Perawat; Fisioterapis; Terapis okupasi; Paramedis; Athletic trainer/pelatih rehabilitasi olahraga; Koordinator layanan rehabilitasi; Supervisor layanan kesehatan lapangan; Manajer pusat kebugaran/rehabilitasi; Emergency Medical Technician (EMT); Occupational therapy assistant; Athlete / professional athlete; Sports coach; Physical therapist assistant; Sports rehabilitation assistant</t>
  </si>
  <si>
    <t>Perawat; Fisioterapis; Terapis okupasi; Paramedis; Athletic trainer/pelatih rehabilitasi olahraga; Koordinator layanan klinik; Petugas manajemen alat medis; Koordinator jadwal terapi; Emergency Medical Technician (EMT); Occupational therapy assistant; Physical therapist assistant; Sports rehabilitation assistant</t>
  </si>
  <si>
    <t>Psikolog; Konselor; Terapis wicara; Dietisien; Pekerja sosial klinis; Konselor rehabilitasi vokasional; Spesialis kesehatan kerja; Terapis rehabilitasi komunitas; School psychologist; Behavior analyst; Pharmacy technician / pharmacy assistant; Nurse practitioner; Registered nurse; Dietitian / nutritionist; Physical therapist</t>
  </si>
  <si>
    <t>Psikolog; Konselor; Terapis wicara; Dietisien; Pekerja sosial klinis; Art therapist; Play therapist; Konselor dengan media kreatif; School psychologist; Behavior analyst; Psychologist; Counselor / therapist; Speech-language pathologist; Social worker; Counseling psychologist</t>
  </si>
  <si>
    <t>Psikolog; Konselor; Terapis wicara; Dietisien; Pekerja sosial klinis; Manajer program konseling; Koordinator layanan psikososial; Learning &amp; development specialist; School psychologist; Behavior analyst; Public health educator; Industrial-organizational psychologist; Genetic counselor</t>
  </si>
  <si>
    <t>Psikolog; Konselor; Terapis wicara; Dietisien; Pekerja sosial klinis; Case management specialist; Koordinator rekam layanan konseling; Program evaluation coordinator; School psychologist; Behavior analyst; Teaching assistant; Public health educator; Genetic counselor</t>
  </si>
  <si>
    <t>Guru; Guru seni/musik; Pendidik anak usia dini; Guru pendidikan khusus; Edukator komunitas; Guru vokasi/praktik; Instruktur keterampilan kerja; Edukator kegiatan luar ruang; Instructional designer; Special education teacher; Creative learning facilitator; Art/music therapist</t>
  </si>
  <si>
    <t>Guru; Guru seni/musik; Pendidik anak usia dini; Guru pendidikan khusus; Edukator komunitas; Guru sains; Instructional researcher; Pengembang asesmen pembelajaran; Instructional designer; Special education teacher; Teacher / educator; Librarian; Creative learning facilitator; Art/music therapist</t>
  </si>
  <si>
    <t>Guru; Guru seni/musik; Pendidik anak usia dini; Guru pendidikan khusus; Edukator komunitas; Koordinator program pendidikan; Kepala program pelatihan; Education partnership coordinator; Instructional designer; Special education teacher; Creative learning facilitator; Art/music therapist</t>
  </si>
  <si>
    <t>Guru; Guru seni/musik; Pendidik anak usia dini; Guru pendidikan khusus; Edukator komunitas; Administrator kurikulum; Koordinator akademik; Learning management system administrator; Instructional designer; Special education teacher; Creative learning facilitator; Art/music therapist</t>
  </si>
  <si>
    <t>HR business partner; Learning &amp; development manager; Customer success manager; Manajer program komunitas; Manajer layanan kesehatan; Manajer layanan fasilitas kesehatan; Koordinator program aktivitas fisik; Supervisor layanan lapangan komunitas; Talent development manager; Community program manager; Probation/parole officer; Healthcare services manager</t>
  </si>
  <si>
    <t>HR business partner; Learning &amp; development manager; Customer success manager; Manajer program komunitas; Manajer layanan kesehatan; People analytics manager; Program evaluation manager; Learning strategy manager; Talent development manager; Community program manager; Career counselor; Healthcare services manager</t>
  </si>
  <si>
    <t>HR business partner; Learning &amp; development manager; Customer success manager; Manajer program komunitas; Manajer layanan kesehatan; Community engagement manager; Creative learning program manager; Employee experience manager; Talent development manager; Community program manager; Healthcare services manager</t>
  </si>
  <si>
    <t>HR business partner; Learning &amp; development manager; Customer success manager; Manajer program komunitas; Manajer layanan kesehatan; HR operations manager; Training operations manager; Student services manager; Talent development manager; Community program manager; Healthcare services manager</t>
  </si>
  <si>
    <t>Koordinator layanan pasien; Petugas administrasi sekolah; Koordinator case management; HR operations specialist; Petugas rekam medis; Koordinator logistik layanan pasien; Supervisor fasilitas sekolah; Koordinator peralatan layanan; Patient services coordinator; Medical records specialist; Medical assistant; Education administration specialist</t>
  </si>
  <si>
    <t>Koordinator layanan pasien; Petugas administrasi sekolah; Koordinator case management; HR operations specialist; Petugas rekam medis; Health information coordinator; Program monitoring officer; Data coordinator layanan sosial; Patient services coordinator; Medical records specialist; Education administration specialist</t>
  </si>
  <si>
    <t>Koordinator layanan pasien; Petugas administrasi sekolah; Koordinator case management; HR operations specialist; Petugas rekam medis; Administrator program seni/pendidikan; Koordinator konten pembelajaran; Event administration coordinator; Patient services coordinator; Medical records specialist; Education administration specialist</t>
  </si>
  <si>
    <t>Koordinator layanan pasien; Petugas administrasi sekolah; Koordinator case management; HR operations specialist; Petugas rekam medis; Customer service supervisor; Admissions coordinator; HR service center coordinator; Patient services coordinator; Medical records specialist; Education administration specialist</t>
  </si>
  <si>
    <t>Technical sales manager; Manajer bisnis konstruksi; Manajer manufaktur; Manajer logistik; Manajer proyek energi; Technical business development manager; Engineering project manager; Product manager teknologi industri; Energy project manager; Construction business manager; Agribusiness operations manager</t>
  </si>
  <si>
    <t>Technical sales manager; Manajer bisnis konstruksi; Manajer manufaktur; Manajer logistik; Manajer proyek energi; Manajer bisnis desain/arsitektur; Experiential production manager; Manajer produk kreatif-fisik; Energy project manager; Construction business manager; Agribusiness operations manager</t>
  </si>
  <si>
    <t>Technical sales manager; Manajer bisnis konstruksi; Manajer manufaktur; Manajer logistik; Manajer proyek energi; Manajer layanan teknis; Manajer pusat kebugaran/olahraga; Community facilities manager; Energy project manager; Construction business manager; Police supervisor / captain; Agribusiness operations manager</t>
  </si>
  <si>
    <t>Technical sales manager; Manajer bisnis konstruksi; Manajer manufaktur; Manajer logistik; Manajer proyek energi; Plant operations manager; Maintenance manager; Warehouse operations manager; Energy project manager; Construction business manager; Construction manager; Construction project manager; Production manager; Agribusiness operations manager</t>
  </si>
  <si>
    <t>Product manager; Strategy manager; Konsultan manajemen; Innovation manager; Market intelligence manager; Industrial product manager; Technology commercialization manager; Engineering business consultant; AI product manager; Business intelligence manager</t>
  </si>
  <si>
    <t>Product manager; Strategy manager; Konsultan manajemen; Innovation manager; Market intelligence manager; Innovation portfolio manager; Design strategy manager; Digital product strategy manager; AI product manager; Business intelligence manager</t>
  </si>
  <si>
    <t>Product manager; Strategy manager; Konsultan manajemen; Innovation manager; Market intelligence manager; People strategy consultant; Health services strategy manager; Education innovation manager; AI product manager; Business intelligence manager; Lawyer / prosecutor</t>
  </si>
  <si>
    <t>Product manager; Strategy manager; Konsultan manajemen; Innovation manager; Market intelligence manager; Business analytics manager; Enterprise risk manager; Revenue strategy manager; AI product manager; Business intelligence manager; Financial planner / financial advisor</t>
  </si>
  <si>
    <t>Brand manager; Marketing manager; Creative producer; Media business manager; Event producer; Experiential marketing manager; Retail experience manager; Production/event operations manager; Digital marketing manager; Creative business manager; Media product manager</t>
  </si>
  <si>
    <t>Brand manager; Marketing manager; Creative producer; Media business manager; Event producer; Consumer insights manager; Brand research manager; Marketing analytics manager; Digital marketing manager; Creative business manager; Media product manager</t>
  </si>
  <si>
    <t>Brand manager; Marketing manager; Creative producer; Media business manager; Event producer; Community marketing manager; Partnerships manager; Public engagement manager; Digital marketing manager; Creative business manager; Public relations / community relations specialist; Public relations manager; Media product manager</t>
  </si>
  <si>
    <t>Brand manager; Marketing manager; Creative producer; Media business manager; Event producer; Marketing operations manager; Campaign operations manager; E-commerce merchandising manager; Digital marketing manager; Creative business manager; Media product manager</t>
  </si>
  <si>
    <t>HR manager; Recruitment manager; Learning &amp; development manager; Customer experience manager; Direktur program organisasi nirlaba; Sports program manager; Facilities service manager; Field service operations manager; People operations manager; Hospitality manager; Restaurant manager; Hotel / hospitality manager; Hospital / healthcare administrator; Recreation program director; Nonprofit program director</t>
  </si>
  <si>
    <t>HR manager; Recruitment manager; Learning &amp; development manager; Customer experience manager; Direktur program organisasi nirlaba; Organizational development manager; People analytics manager; Health program strategy manager; People operations manager; Hospitality manager; School principal / education administrator; School principal / administrator; Nonprofit program director</t>
  </si>
  <si>
    <t>HR manager; Recruitment manager; Learning &amp; development manager; Customer experience manager; Direktur program organisasi nirlaba; Employee experience manager; Community engagement director; Learning experience manager; People operations manager; Hospitality manager; Nonprofit program director</t>
  </si>
  <si>
    <t>HR manager; Recruitment manager; Learning &amp; development manager; Customer experience manager; Direktur program organisasi nirlaba; HR operations manager; Customer service operations manager; Program administration manager; People operations manager; Hospitality manager; HR manager / people operations manager; Recruiter / talent acquisition specialist; Nonprofit program director</t>
  </si>
  <si>
    <t>Finance manager; Operations manager; Project manager; Procurement manager; Supply chain manager; Operations manager manufaktur; Fleet operations manager; Warehouse operations manager; Revenue operations manager; Compliance manager; Insurance agent / advisor</t>
  </si>
  <si>
    <t>Finance manager; Operations manager; Project manager; Procurement manager; Supply chain manager; Business analytics manager; Risk and compliance manager; Financial planning manager; Revenue operations manager; Compliance manager</t>
  </si>
  <si>
    <t>Finance manager; Operations manager; Project manager; Procurement manager; Supply chain manager; Creative operations manager; Marketing operations manager; Content business operations manager; Revenue operations manager; Compliance manager</t>
  </si>
  <si>
    <t>Finance manager; Operations manager; Project manager; Procurement manager; Supply chain manager; Service operations manager; HR operations manager; Customer operations manager; Revenue operations manager; Compliance manager; Administrative services manager</t>
  </si>
  <si>
    <t>Maintenance scheduler; Inventory control specialist; Production planner; Quality assurance coordinator; Logistics planner; Quality data coordinator; Reliability planning analyst; Technical compliance coordinator; Asset management administrator</t>
  </si>
  <si>
    <t>Maintenance scheduler; Inventory control specialist; Production planner; Quality assurance coordinator; Logistics planner; Production artwork coordinator; Technical drawing controller; Digital fabrication scheduler; Asset management administrator</t>
  </si>
  <si>
    <t>Maintenance scheduler; Inventory control specialist; Production planner; Quality assurance coordinator; Logistics planner; Service logistics coordinator; Hospital materials coordinator; School facilities coordinator; Asset management administrator; Staf administrasi logistik / inventory control; Shipping/receiving specialist</t>
  </si>
  <si>
    <t>Maintenance scheduler; Inventory control specialist; Production planner; Quality assurance coordinator; Logistics planner; Warehouse supervisor; Maintenance planning supervisor; Production control supervisor; Asset management administrator</t>
  </si>
  <si>
    <t>Data analyst; Financial analyst; Audit analyst; Risk analyst; Tax analyst; Manufacturing data analyst; Asset performance analyst; Quality systems analyst; Cybersecurity GRC analyst; Audit analytics specialist; Data operations / data entry specialist; Data operations specialist / data analyst junior; IT operations / systems operations specialist; Data quality specialist</t>
  </si>
  <si>
    <t>Data analyst; Financial analyst; Audit analyst; Risk analyst; Tax analyst; Data visualization specialist; Digital content metrics analyst; Information architecture analyst; Cybersecurity GRC analyst; Audit analytics specialist; Data quality specialist</t>
  </si>
  <si>
    <t>Data analyst; Financial analyst; Audit analyst; Risk analyst; Tax analyst; Health information analyst; Education data analyst; HR data analyst; Cybersecurity GRC analyst; Audit analytics specialist; Records/archives administrator; Metadata/cataloging librarian; Health information / medical records specialist; Health information manager; Data quality specialist</t>
  </si>
  <si>
    <t>Data analyst; Financial analyst; Audit analyst; Risk analyst; Tax analyst; Business planning analyst; Commercial risk analyst; Financial operations analyst; Cybersecurity GRC analyst; Audit analytics specialist; Budget analyst / analis anggaran; Internal auditor; Data quality specialist</t>
  </si>
  <si>
    <t>Content operations specialist; Publishing coordinator; Digital asset manager; Creative project coordinator; Marketing operations specialist; Print production coordinator; Packaging production coordinator; Signage production coordinator; Digital asset coordinator; E-commerce catalog specialist</t>
  </si>
  <si>
    <t>Content operations specialist; Publishing coordinator; Digital asset manager; Creative project coordinator; Marketing operations specialist; Digital asset taxonomy specialist; Content data analyst; Information architecture coordinator; Digital asset coordinator; E-commerce catalog specialist; Technical writer</t>
  </si>
  <si>
    <t>Content operations specialist; Publishing coordinator; Digital asset manager; Creative project coordinator; Marketing operations specialist; Educational content coordinator; Library digital services coordinator; Accessibility content coordinator; Digital asset coordinator; E-commerce catalog specialist</t>
  </si>
  <si>
    <t>Content operations specialist; Publishing coordinator; Digital asset manager; Creative project coordinator; Marketing operations specialist; E-commerce operations specialist; Campaign operations coordinator; Brand operations coordinator; Digital asset coordinator; E-commerce catalog specialist</t>
  </si>
  <si>
    <t>HR administration specialist; Koordinator registrasi pasien; Petugas administrasi sekolah; Petugas rekam medis; Training administrator; Facilities service administrator; Medical equipment records coordinator; Transport service administrator; Health information administrator; Student services administrator; Customer service operations specialist</t>
  </si>
  <si>
    <t>HR administration specialist; Koordinator registrasi pasien; Petugas administrasi sekolah; Petugas rekam medis; Training administrator; Health records analyst; Student data administrator; Program monitoring administrator; Health information administrator; Student services administrator; Bookkeeping/accounting clerk; Customer service operations specialist</t>
  </si>
  <si>
    <t>HR administration specialist; Koordinator registrasi pasien; Petugas administrasi sekolah; Petugas rekam medis; Training administrator; Arts program administrator; Publishing administration coordinator; Learning content administrator; Health information administrator; Student services administrator; Customer service operations specialist</t>
  </si>
  <si>
    <t>HR administration specialist; Koordinator registrasi pasien; Petugas administrasi sekolah; Petugas rekam medis; Training administrator; Customer service coordinator; Admissions supervisor; HR service administrator; Health information administrator; Student services administrator; Administrative assistant / executive assistant; Medical administrative assistant; Legal administrative assistant; Bank teller / transaction services officer; Kasir / retail checkout associate</t>
  </si>
  <si>
    <t>Akuntan; Auditor; Procurement specialist; Business operations analyst; Banking operations specialist; Procurement operations coordinator; Inventory finance coordinator; Fleet administration specialist; Finance operations analyst; Payroll specialist</t>
  </si>
  <si>
    <t>Akuntan; Auditor; Procurement specialist; Business operations analyst; Banking operations specialist; Financial planning analyst; Compliance analyst; Business reporting analyst; Finance operations analyst; Payroll specialist; Konsultan pajak / tax specialist; Tax accountant</t>
  </si>
  <si>
    <t>Akuntan; Auditor; Procurement specialist; Business operations analyst; Banking operations specialist; Marketing finance coordinator; Creative project administrator; E-commerce operations analyst; Finance operations analyst; Payroll specialist</t>
  </si>
  <si>
    <t>Akuntan; Auditor; Procurement specialist; Business operations analyst; Banking operations specialist; Payroll and benefits administrator; Customer billing supervisor; School finance administrator; Finance operations analyst; Payroll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</si>
</sst>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4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i/>
      <sz val="11"/>
      <color rgb="FF7F6000"/>
      <name val="Carlito"/>
    </font>
    <font>
      <b/>
      <sz val="11"/>
      <color rgb="FF17365D"/>
      <name val="Carlito"/>
    </font>
    <font>
      <i/>
      <sz val="10"/>
      <color rgb="FF264653"/>
      <name val="Carlito"/>
    </font>
    <font>
      <b/>
      <sz val="10"/>
      <color rgb="FF17365D"/>
      <name val="Carlito"/>
    </font>
    <font>
      <b/>
      <sz val="11"/>
      <color rgb="FF7F6000"/>
      <name val="Carlito"/>
    </font>
    <font>
      <b/>
      <sz val="11"/>
      <name val="Carlito"/>
    </font>
    <font>
      <b/>
      <sz val="20"/>
      <color rgb="FF553C9A"/>
      <name val="Carlito"/>
    </font>
    <font>
      <sz val="11"/>
      <color rgb="FF334155"/>
      <name val="Carlito"/>
    </font>
    <font>
      <b/>
      <sz val="11"/>
      <color rgb="FF275317"/>
      <name val="Carlito"/>
    </font>
    <font>
      <i/>
      <sz val="11"/>
      <color rgb="FF7C4A03"/>
      <name val="Carlito"/>
    </font>
    <font>
      <b/>
      <sz val="11"/>
      <color rgb="FF553C9A"/>
      <name val="Carlito"/>
    </font>
    <font>
      <b/>
      <sz val="14"/>
      <color rgb="FFFFFFFF"/>
      <name val="Carlito"/>
    </font>
    <font>
      <i/>
      <sz val="9"/>
      <color rgb="FF1F1F1F"/>
      <name val="Carlito"/>
    </font>
    <font>
      <sz val="9"/>
      <name val="Carlito"/>
    </font>
    <font>
      <i/>
      <sz val="9"/>
      <name val="Carlito"/>
    </font>
    <font>
      <b/>
      <sz val="15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sz val="11"/>
      <color theme="1"/>
      <name val="Carlito"/>
    </font>
  </fonts>
  <fills count="3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5B6573"/>
      </patternFill>
    </fill>
    <fill>
      <patternFill patternType="solid">
        <fgColor rgb="FF2F75B5"/>
      </patternFill>
    </fill>
    <fill>
      <patternFill patternType="solid">
        <fgColor rgb="FF2A9D8F"/>
      </patternFill>
    </fill>
    <fill>
      <patternFill patternType="solid">
        <fgColor rgb="FFC77C2E"/>
      </patternFill>
    </fill>
    <fill>
      <patternFill patternType="solid">
        <fgColor rgb="FF8064A2"/>
      </patternFill>
    </fill>
    <fill>
      <patternFill patternType="solid">
        <fgColor rgb="FF9B5A8F"/>
      </patternFill>
    </fill>
    <fill>
      <patternFill patternType="solid">
        <fgColor rgb="FFF7FBFF"/>
      </patternFill>
    </fill>
    <fill>
      <patternFill patternType="solid">
        <fgColor rgb="FFFFFDF2"/>
      </patternFill>
    </fill>
    <fill>
      <patternFill patternType="solid">
        <fgColor rgb="FFF7F2FC"/>
      </patternFill>
    </fill>
    <fill>
      <patternFill patternType="solid">
        <fgColor rgb="FFF4F8F0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245C8A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rgb="FFE9D8FD"/>
      </patternFill>
    </fill>
    <fill>
      <patternFill patternType="solid">
        <fgColor rgb="FFF8FAFC"/>
      </patternFill>
    </fill>
    <fill>
      <patternFill patternType="solid">
        <fgColor rgb="FFE2F0D9"/>
      </patternFill>
    </fill>
    <fill>
      <patternFill patternType="solid">
        <fgColor rgb="FFFFF7E6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15" borderId="7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8" xfId="0" applyFill="1" applyBorder="1" applyAlignment="1">
      <alignment vertical="center"/>
    </xf>
    <xf numFmtId="0" fontId="0" fillId="15" borderId="9" xfId="0" applyFill="1" applyBorder="1" applyAlignment="1">
      <alignment vertical="center"/>
    </xf>
    <xf numFmtId="0" fontId="0" fillId="15" borderId="10" xfId="0" applyFill="1" applyBorder="1" applyAlignment="1">
      <alignment vertical="center"/>
    </xf>
    <xf numFmtId="0" fontId="0" fillId="15" borderId="11" xfId="0" applyFill="1" applyBorder="1" applyAlignment="1">
      <alignment vertical="center"/>
    </xf>
    <xf numFmtId="0" fontId="0" fillId="16" borderId="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8" fillId="19" borderId="4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vertical="center" wrapText="1"/>
    </xf>
    <xf numFmtId="0" fontId="6" fillId="19" borderId="9" xfId="0" applyFont="1" applyFill="1" applyBorder="1" applyAlignment="1">
      <alignment vertical="center" wrapText="1"/>
    </xf>
    <xf numFmtId="0" fontId="2" fillId="20" borderId="12" xfId="0" applyFont="1" applyFill="1" applyBorder="1" applyAlignment="1">
      <alignment horizontal="center" vertical="center" wrapText="1"/>
    </xf>
    <xf numFmtId="0" fontId="0" fillId="20" borderId="13" xfId="0" applyFill="1" applyBorder="1" applyAlignment="1">
      <alignment wrapText="1"/>
    </xf>
    <xf numFmtId="0" fontId="0" fillId="0" borderId="11" xfId="0" applyBorder="1" applyAlignment="1">
      <alignment wrapText="1"/>
    </xf>
    <xf numFmtId="0" fontId="2" fillId="21" borderId="4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6" fillId="19" borderId="0" xfId="0" applyFont="1" applyFill="1" applyAlignment="1">
      <alignment vertical="center" wrapText="1"/>
    </xf>
    <xf numFmtId="0" fontId="9" fillId="22" borderId="15" xfId="0" applyFont="1" applyFill="1" applyBorder="1" applyAlignment="1">
      <alignment horizontal="center"/>
    </xf>
    <xf numFmtId="0" fontId="6" fillId="19" borderId="0" xfId="0" applyFont="1" applyFill="1" applyAlignment="1">
      <alignment vertical="center"/>
    </xf>
    <xf numFmtId="0" fontId="10" fillId="23" borderId="15" xfId="0" applyFont="1" applyFill="1" applyBorder="1" applyAlignment="1">
      <alignment horizontal="center"/>
    </xf>
    <xf numFmtId="0" fontId="6" fillId="19" borderId="4" xfId="0" applyFont="1" applyFill="1" applyBorder="1" applyAlignment="1">
      <alignment vertical="center" wrapText="1"/>
    </xf>
    <xf numFmtId="0" fontId="11" fillId="24" borderId="15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top" wrapText="1"/>
    </xf>
    <xf numFmtId="0" fontId="6" fillId="19" borderId="4" xfId="0" applyFont="1" applyFill="1" applyBorder="1" applyAlignment="1">
      <alignment vertical="center"/>
    </xf>
    <xf numFmtId="0" fontId="6" fillId="19" borderId="5" xfId="0" applyFont="1" applyFill="1" applyBorder="1" applyAlignment="1">
      <alignment vertical="center"/>
    </xf>
    <xf numFmtId="0" fontId="6" fillId="19" borderId="6" xfId="0" applyFont="1" applyFill="1" applyBorder="1" applyAlignment="1">
      <alignment vertical="center"/>
    </xf>
    <xf numFmtId="0" fontId="0" fillId="0" borderId="10" xfId="0" applyBorder="1"/>
    <xf numFmtId="0" fontId="6" fillId="0" borderId="7" xfId="0" applyFont="1" applyBorder="1"/>
    <xf numFmtId="0" fontId="6" fillId="0" borderId="9" xfId="0" applyFon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3" fillId="26" borderId="1" xfId="0" applyFont="1" applyFill="1" applyBorder="1"/>
    <xf numFmtId="0" fontId="13" fillId="26" borderId="2" xfId="0" applyFont="1" applyFill="1" applyBorder="1" applyAlignment="1">
      <alignment horizontal="center"/>
    </xf>
    <xf numFmtId="0" fontId="13" fillId="26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vertical="center" wrapText="1"/>
    </xf>
    <xf numFmtId="0" fontId="13" fillId="26" borderId="1" xfId="0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3" fillId="21" borderId="6" xfId="0" applyFont="1" applyFill="1" applyBorder="1" applyAlignment="1">
      <alignment horizontal="center" vertical="center"/>
    </xf>
    <xf numFmtId="0" fontId="15" fillId="0" borderId="0" xfId="0" applyFont="1"/>
    <xf numFmtId="0" fontId="15" fillId="0" borderId="10" xfId="0" applyFont="1" applyBorder="1"/>
    <xf numFmtId="0" fontId="0" fillId="0" borderId="0" xfId="0" applyAlignment="1">
      <alignment vertical="top" wrapText="1"/>
    </xf>
    <xf numFmtId="0" fontId="2" fillId="30" borderId="0" xfId="0" applyFont="1" applyFill="1" applyAlignment="1">
      <alignment horizontal="center" vertical="center" wrapText="1"/>
    </xf>
    <xf numFmtId="0" fontId="3" fillId="30" borderId="0" xfId="0" applyFont="1" applyFill="1" applyAlignment="1">
      <alignment wrapText="1"/>
    </xf>
    <xf numFmtId="0" fontId="3" fillId="30" borderId="0" xfId="0" applyFont="1" applyFill="1" applyAlignment="1">
      <alignment horizontal="center" vertical="center" wrapText="1"/>
    </xf>
    <xf numFmtId="0" fontId="18" fillId="29" borderId="0" xfId="0" applyFont="1" applyFill="1" applyAlignment="1">
      <alignment wrapText="1"/>
    </xf>
    <xf numFmtId="0" fontId="3" fillId="30" borderId="0" xfId="0" applyFont="1" applyFill="1" applyAlignment="1">
      <alignment horizontal="center"/>
    </xf>
    <xf numFmtId="0" fontId="3" fillId="30" borderId="0" xfId="0" applyFont="1" applyFill="1" applyAlignment="1">
      <alignment horizontal="center" vertical="center"/>
    </xf>
    <xf numFmtId="0" fontId="10" fillId="31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32" borderId="0" xfId="0" applyFill="1" applyAlignment="1">
      <alignment vertical="top"/>
    </xf>
    <xf numFmtId="0" fontId="0" fillId="33" borderId="0" xfId="0" applyFill="1" applyAlignment="1">
      <alignment vertical="top"/>
    </xf>
    <xf numFmtId="0" fontId="0" fillId="34" borderId="0" xfId="0" applyFill="1" applyAlignment="1">
      <alignment vertical="top"/>
    </xf>
    <xf numFmtId="0" fontId="10" fillId="31" borderId="0" xfId="0" applyFont="1" applyFill="1" applyAlignment="1">
      <alignment horizontal="center"/>
    </xf>
    <xf numFmtId="0" fontId="2" fillId="30" borderId="4" xfId="0" applyFont="1" applyFill="1" applyBorder="1" applyAlignment="1">
      <alignment horizontal="center" vertical="center" wrapText="1"/>
    </xf>
    <xf numFmtId="0" fontId="2" fillId="30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3" fillId="30" borderId="0" xfId="0" applyFont="1" applyFill="1" applyAlignment="1">
      <alignment vertical="center" wrapText="1"/>
    </xf>
    <xf numFmtId="0" fontId="3" fillId="30" borderId="13" xfId="0" applyFont="1" applyFill="1" applyBorder="1" applyAlignment="1">
      <alignment horizontal="center" vertical="center" wrapText="1"/>
    </xf>
    <xf numFmtId="0" fontId="3" fillId="30" borderId="13" xfId="0" applyFont="1" applyFill="1" applyBorder="1" applyAlignment="1">
      <alignment vertical="center" wrapText="1"/>
    </xf>
    <xf numFmtId="0" fontId="10" fillId="29" borderId="0" xfId="0" applyFont="1" applyFill="1" applyAlignment="1">
      <alignment horizontal="center"/>
    </xf>
    <xf numFmtId="0" fontId="6" fillId="6" borderId="9" xfId="0" applyFont="1" applyFill="1" applyBorder="1" applyAlignment="1">
      <alignment vertical="center" wrapText="1"/>
    </xf>
    <xf numFmtId="0" fontId="6" fillId="35" borderId="0" xfId="0" applyFont="1" applyFill="1"/>
    <xf numFmtId="0" fontId="10" fillId="36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0" borderId="0" xfId="0"/>
    <xf numFmtId="0" fontId="7" fillId="8" borderId="0" xfId="0" applyFont="1" applyFill="1" applyAlignment="1">
      <alignment vertical="center" wrapText="1"/>
    </xf>
    <xf numFmtId="0" fontId="3" fillId="28" borderId="0" xfId="0" applyFont="1" applyFill="1" applyAlignment="1">
      <alignment horizontal="center" vertical="center"/>
    </xf>
    <xf numFmtId="0" fontId="12" fillId="25" borderId="1" xfId="0" applyFont="1" applyFill="1" applyBorder="1" applyAlignment="1">
      <alignment vertical="top" wrapText="1"/>
    </xf>
    <xf numFmtId="0" fontId="12" fillId="25" borderId="2" xfId="0" applyFont="1" applyFill="1" applyBorder="1" applyAlignment="1">
      <alignment vertical="top" wrapText="1"/>
    </xf>
    <xf numFmtId="0" fontId="12" fillId="25" borderId="3" xfId="0" applyFont="1" applyFill="1" applyBorder="1" applyAlignment="1">
      <alignment vertical="top" wrapText="1"/>
    </xf>
    <xf numFmtId="0" fontId="2" fillId="21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21" borderId="0" xfId="0" applyFont="1" applyFill="1" applyAlignment="1">
      <alignment horizontal="center" vertical="center"/>
    </xf>
    <xf numFmtId="0" fontId="14" fillId="27" borderId="4" xfId="0" applyFont="1" applyFill="1" applyBorder="1" applyAlignment="1">
      <alignment vertical="center" wrapText="1"/>
    </xf>
    <xf numFmtId="0" fontId="14" fillId="27" borderId="5" xfId="0" applyFont="1" applyFill="1" applyBorder="1" applyAlignment="1">
      <alignment vertical="center" wrapText="1"/>
    </xf>
    <xf numFmtId="0" fontId="14" fillId="27" borderId="6" xfId="0" applyFont="1" applyFill="1" applyBorder="1" applyAlignment="1">
      <alignment vertical="center" wrapText="1"/>
    </xf>
    <xf numFmtId="0" fontId="14" fillId="27" borderId="7" xfId="0" applyFont="1" applyFill="1" applyBorder="1" applyAlignment="1">
      <alignment vertical="center" wrapText="1"/>
    </xf>
    <xf numFmtId="0" fontId="14" fillId="27" borderId="0" xfId="0" applyFont="1" applyFill="1" applyAlignment="1">
      <alignment vertical="center" wrapText="1"/>
    </xf>
    <xf numFmtId="0" fontId="14" fillId="27" borderId="8" xfId="0" applyFont="1" applyFill="1" applyBorder="1" applyAlignment="1">
      <alignment vertical="center" wrapText="1"/>
    </xf>
    <xf numFmtId="0" fontId="14" fillId="27" borderId="9" xfId="0" applyFont="1" applyFill="1" applyBorder="1" applyAlignment="1">
      <alignment vertical="center" wrapText="1"/>
    </xf>
    <xf numFmtId="0" fontId="14" fillId="27" borderId="10" xfId="0" applyFont="1" applyFill="1" applyBorder="1" applyAlignment="1">
      <alignment vertical="center" wrapText="1"/>
    </xf>
    <xf numFmtId="0" fontId="14" fillId="27" borderId="11" xfId="0" applyFont="1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10" fillId="35" borderId="5" xfId="0" applyFont="1" applyFill="1" applyBorder="1" applyAlignment="1">
      <alignment wrapText="1"/>
    </xf>
    <xf numFmtId="0" fontId="10" fillId="0" borderId="5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10" fillId="35" borderId="0" xfId="0" applyFont="1" applyFill="1" applyAlignment="1">
      <alignment wrapText="1"/>
    </xf>
    <xf numFmtId="0" fontId="10" fillId="0" borderId="0" xfId="0" applyFont="1" applyAlignment="1">
      <alignment horizontal="center" wrapText="1"/>
    </xf>
    <xf numFmtId="0" fontId="0" fillId="0" borderId="8" xfId="0" applyBorder="1" applyAlignment="1">
      <alignment wrapText="1"/>
    </xf>
    <xf numFmtId="0" fontId="6" fillId="8" borderId="2" xfId="0" applyFont="1" applyFill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wrapText="1"/>
    </xf>
    <xf numFmtId="0" fontId="16" fillId="28" borderId="0" xfId="0" applyFont="1" applyFill="1" applyAlignment="1">
      <alignment horizontal="center" vertical="center"/>
    </xf>
    <xf numFmtId="0" fontId="17" fillId="29" borderId="0" xfId="0" applyFont="1" applyFill="1" applyAlignment="1">
      <alignment vertical="center" wrapText="1"/>
    </xf>
    <xf numFmtId="0" fontId="19" fillId="29" borderId="0" xfId="0" applyFont="1" applyFill="1" applyAlignment="1">
      <alignment vertical="center" wrapText="1"/>
    </xf>
    <xf numFmtId="0" fontId="20" fillId="28" borderId="0" xfId="0" applyFont="1" applyFill="1" applyAlignment="1">
      <alignment horizontal="center" vertical="center"/>
    </xf>
    <xf numFmtId="0" fontId="21" fillId="29" borderId="0" xfId="0" applyFont="1" applyFill="1" applyAlignment="1">
      <alignment vertical="center" wrapText="1"/>
    </xf>
    <xf numFmtId="0" fontId="3" fillId="28" borderId="0" xfId="0" applyFont="1" applyFill="1" applyAlignment="1">
      <alignment horizontal="center"/>
    </xf>
    <xf numFmtId="0" fontId="18" fillId="29" borderId="0" xfId="0" applyFont="1" applyFill="1" applyAlignment="1">
      <alignment wrapText="1"/>
    </xf>
    <xf numFmtId="164" fontId="0" fillId="20" borderId="14" xfId="0" applyNumberFormat="1" applyFill="1" applyBorder="1" applyAlignment="1">
      <alignment horizontal="left" wrapText="1"/>
    </xf>
    <xf numFmtId="0" fontId="22" fillId="0" borderId="0" xfId="0" applyFont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 applyFill="1"/>
    <xf numFmtId="0" fontId="0" fillId="15" borderId="16" xfId="0" applyFill="1" applyBorder="1" applyAlignment="1">
      <alignment vertical="center"/>
    </xf>
    <xf numFmtId="0" fontId="0" fillId="16" borderId="16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23" fillId="0" borderId="17" xfId="0" applyFont="1" applyFill="1" applyBorder="1" applyAlignment="1">
      <alignment horizontal="center" vertical="top" wrapText="1"/>
    </xf>
    <xf numFmtId="0" fontId="23" fillId="0" borderId="18" xfId="0" applyFont="1" applyFill="1" applyBorder="1" applyAlignment="1">
      <alignment vertical="top" wrapText="1"/>
    </xf>
  </cellXfs>
  <cellStyles count="1">
    <cellStyle name="Normal" xfId="0" builtinId="0"/>
  </cellStyles>
  <dxfs count="28"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B91C1C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Profil Skor RIASEC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Skor</c:v>
          </c:tx>
          <c:invertIfNegative val="1"/>
          <c:cat>
            <c:strRef>
              <c:f>'Hasil Tes siswa'!$A$11:$A$16</c:f>
              <c:strCache>
                <c:ptCount val="6"/>
                <c:pt idx="0">
                  <c:v>R</c:v>
                </c:pt>
                <c:pt idx="1">
                  <c:v>I</c:v>
                </c:pt>
                <c:pt idx="2">
                  <c:v>A</c:v>
                </c:pt>
                <c:pt idx="3">
                  <c:v>S</c:v>
                </c:pt>
                <c:pt idx="4">
                  <c:v>E</c:v>
                </c:pt>
                <c:pt idx="5">
                  <c:v>C</c:v>
                </c:pt>
              </c:strCache>
            </c:strRef>
          </c:cat>
          <c:val>
            <c:numRef>
              <c:f>'Hasil Tes siswa'!$B$11:$B$16</c:f>
              <c:numCache>
                <c:formatCode>General</c:formatCode>
                <c:ptCount val="6"/>
                <c:pt idx="0">
                  <c:v>27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3-4761-AEB2-BDAC6AE82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Sebaran Tipe Dominan Utama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 Dominan Utama</c:v>
          </c:tx>
          <c:invertIfNegative val="1"/>
          <c:cat>
            <c:strRef>
              <c:f>'Laporan Kelompok'!$A$6:$A$11</c:f>
              <c:strCache>
                <c:ptCount val="6"/>
                <c:pt idx="0">
                  <c:v>R</c:v>
                </c:pt>
                <c:pt idx="1">
                  <c:v>I</c:v>
                </c:pt>
                <c:pt idx="2">
                  <c:v>A</c:v>
                </c:pt>
                <c:pt idx="3">
                  <c:v>S</c:v>
                </c:pt>
                <c:pt idx="4">
                  <c:v>E</c:v>
                </c:pt>
                <c:pt idx="5">
                  <c:v>C</c:v>
                </c:pt>
              </c:strCache>
            </c:strRef>
          </c:cat>
          <c:val>
            <c:numRef>
              <c:f>'Laporan Kelompok'!$B$6:$B$11</c:f>
              <c:numCache>
                <c:formatCode>General</c:formatCode>
                <c:ptCount val="6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1-4538-9E16-E8C93FCB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8</xdr:row>
      <xdr:rowOff>152400</xdr:rowOff>
    </xdr:from>
    <xdr:to>
      <xdr:col>7</xdr:col>
      <xdr:colOff>850900</xdr:colOff>
      <xdr:row>16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4</xdr:row>
      <xdr:rowOff>69850</xdr:rowOff>
    </xdr:from>
    <xdr:to>
      <xdr:col>12</xdr:col>
      <xdr:colOff>488950</xdr:colOff>
      <xdr:row>12</xdr:row>
      <xdr:rowOff>69850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21" workbookViewId="0">
      <selection activeCell="B33" sqref="B33"/>
    </sheetView>
  </sheetViews>
  <sheetFormatPr defaultRowHeight="14"/>
  <cols>
    <col min="1" max="1" width="31" customWidth="1"/>
    <col min="2" max="2" width="95" customWidth="1"/>
  </cols>
  <sheetData>
    <row r="1" spans="1:6" ht="20" customHeight="1">
      <c r="A1" s="109" t="s">
        <v>0</v>
      </c>
      <c r="B1" s="109"/>
      <c r="C1" s="110"/>
      <c r="D1" s="110"/>
      <c r="E1" s="110"/>
      <c r="F1" s="110"/>
    </row>
    <row r="2" spans="1:6">
      <c r="A2" s="1"/>
      <c r="B2" s="1"/>
    </row>
    <row r="3" spans="1:6">
      <c r="A3" s="30" t="s">
        <v>1</v>
      </c>
      <c r="B3" s="33" t="s">
        <v>2</v>
      </c>
    </row>
    <row r="4" spans="1:6">
      <c r="A4" s="31" t="s">
        <v>3</v>
      </c>
      <c r="B4" s="34" t="s">
        <v>4</v>
      </c>
    </row>
    <row r="5" spans="1:6">
      <c r="A5" s="31" t="s">
        <v>5</v>
      </c>
      <c r="B5" s="34" t="s">
        <v>6</v>
      </c>
    </row>
    <row r="6" spans="1:6">
      <c r="A6" s="31" t="s">
        <v>7</v>
      </c>
      <c r="B6" s="34" t="s">
        <v>8</v>
      </c>
    </row>
    <row r="7" spans="1:6">
      <c r="A7" s="32" t="s">
        <v>9</v>
      </c>
      <c r="B7" s="155">
        <v>41365</v>
      </c>
    </row>
    <row r="8" spans="1:6">
      <c r="A8" s="1"/>
      <c r="B8" s="1"/>
    </row>
    <row r="9" spans="1:6">
      <c r="A9" s="96" t="s">
        <v>10</v>
      </c>
      <c r="B9" s="97" t="s">
        <v>11</v>
      </c>
    </row>
    <row r="10" spans="1:6">
      <c r="A10" s="27" t="s">
        <v>12</v>
      </c>
      <c r="B10" s="28" t="s">
        <v>13</v>
      </c>
    </row>
    <row r="11" spans="1:6">
      <c r="A11" s="27" t="s">
        <v>14</v>
      </c>
      <c r="B11" s="28" t="s">
        <v>15</v>
      </c>
    </row>
    <row r="12" spans="1:6">
      <c r="A12" s="27" t="s">
        <v>16</v>
      </c>
      <c r="B12" s="28" t="s">
        <v>17</v>
      </c>
    </row>
    <row r="13" spans="1:6">
      <c r="A13" s="27" t="s">
        <v>18</v>
      </c>
      <c r="B13" s="28" t="s">
        <v>19</v>
      </c>
    </row>
    <row r="14" spans="1:6">
      <c r="A14" s="27" t="s">
        <v>20</v>
      </c>
      <c r="B14" s="28" t="s">
        <v>21</v>
      </c>
    </row>
    <row r="15" spans="1:6">
      <c r="A15" s="27" t="s">
        <v>22</v>
      </c>
      <c r="B15" s="28" t="s">
        <v>23</v>
      </c>
    </row>
    <row r="16" spans="1:6">
      <c r="A16" s="29" t="s">
        <v>24</v>
      </c>
      <c r="B16" s="35" t="s">
        <v>25</v>
      </c>
    </row>
    <row r="17" spans="1:2">
      <c r="A17" s="1" t="s">
        <v>26</v>
      </c>
      <c r="B17" s="1" t="s">
        <v>27</v>
      </c>
    </row>
    <row r="18" spans="1:2" s="159" customFormat="1">
      <c r="A18" s="157"/>
      <c r="B18" s="158"/>
    </row>
    <row r="19" spans="1:2" s="159" customFormat="1">
      <c r="A19" s="98" t="s">
        <v>28</v>
      </c>
      <c r="B19" s="42"/>
    </row>
    <row r="20" spans="1:2" s="159" customFormat="1">
      <c r="A20" s="103">
        <v>1</v>
      </c>
      <c r="B20" s="104" t="s">
        <v>29</v>
      </c>
    </row>
    <row r="21" spans="1:2" s="159" customFormat="1">
      <c r="A21" s="98">
        <v>2</v>
      </c>
      <c r="B21" s="42" t="s">
        <v>30</v>
      </c>
    </row>
    <row r="22" spans="1:2" s="159" customFormat="1">
      <c r="A22" s="99">
        <v>3</v>
      </c>
      <c r="B22" s="43" t="s">
        <v>31</v>
      </c>
    </row>
    <row r="23" spans="1:2" s="159" customFormat="1">
      <c r="A23" s="1">
        <v>4</v>
      </c>
      <c r="B23" s="1" t="s">
        <v>32</v>
      </c>
    </row>
    <row r="24" spans="1:2" s="159" customFormat="1">
      <c r="A24" s="100">
        <v>5</v>
      </c>
      <c r="B24" s="101" t="s">
        <v>33</v>
      </c>
    </row>
    <row r="25" spans="1:2" s="159" customFormat="1" ht="16" customHeight="1">
      <c r="A25" s="1">
        <v>6</v>
      </c>
      <c r="B25" s="1" t="s">
        <v>34</v>
      </c>
    </row>
    <row r="26" spans="1:2" s="159" customFormat="1" ht="16" customHeight="1">
      <c r="A26" s="1">
        <v>7</v>
      </c>
      <c r="B26" s="1" t="s">
        <v>35</v>
      </c>
    </row>
    <row r="27" spans="1:2" s="159" customFormat="1" ht="16" customHeight="1">
      <c r="A27" s="1"/>
      <c r="B27" s="1"/>
    </row>
    <row r="28" spans="1:2" ht="16" customHeight="1">
      <c r="A28" s="102" t="s">
        <v>36</v>
      </c>
      <c r="B28" s="102" t="s">
        <v>37</v>
      </c>
    </row>
    <row r="29" spans="1:2" ht="16" customHeight="1">
      <c r="A29" s="85" t="s">
        <v>38</v>
      </c>
      <c r="B29" s="85" t="s">
        <v>39</v>
      </c>
    </row>
    <row r="30" spans="1:2" ht="16" customHeight="1">
      <c r="A30" s="1" t="s">
        <v>40</v>
      </c>
      <c r="B30" s="1" t="s">
        <v>41</v>
      </c>
    </row>
    <row r="31" spans="1:2" ht="16" customHeight="1"/>
    <row r="32" spans="1:2" ht="16" customHeight="1"/>
    <row r="33" spans="1:2" ht="34.65" customHeight="1"/>
    <row r="34" spans="1:2" ht="16" customHeight="1"/>
    <row r="35" spans="1:2" ht="16" customHeight="1"/>
    <row r="40" spans="1:2">
      <c r="A40" s="1"/>
      <c r="B40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A204"/>
  <sheetViews>
    <sheetView workbookViewId="0">
      <selection activeCell="A5" sqref="A5:IA41"/>
    </sheetView>
  </sheetViews>
  <sheetFormatPr defaultRowHeight="14"/>
  <cols>
    <col min="1" max="1" width="6" customWidth="1"/>
    <col min="2" max="2" width="14" customWidth="1"/>
    <col min="3" max="3" width="24" customWidth="1"/>
    <col min="4" max="4" width="7" customWidth="1"/>
    <col min="5" max="220" width="4.1640625" customWidth="1"/>
    <col min="221" max="232" width="6.5" customWidth="1"/>
    <col min="233" max="233" width="24" customWidth="1"/>
    <col min="234" max="234" width="18" customWidth="1"/>
    <col min="235" max="235" width="20" customWidth="1"/>
  </cols>
  <sheetData>
    <row r="1" spans="1:235" ht="18.649999999999999" customHeight="1">
      <c r="A1" s="110" t="s">
        <v>42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  <c r="CI1" s="110"/>
      <c r="CJ1" s="110"/>
      <c r="CK1" s="110"/>
      <c r="CL1" s="110"/>
      <c r="CM1" s="110"/>
      <c r="CN1" s="110"/>
      <c r="CO1" s="110"/>
      <c r="CP1" s="110"/>
      <c r="CQ1" s="110"/>
      <c r="CR1" s="110"/>
      <c r="CS1" s="110"/>
      <c r="CT1" s="110"/>
      <c r="CU1" s="110"/>
      <c r="CV1" s="110"/>
      <c r="CW1" s="110"/>
      <c r="CX1" s="110"/>
      <c r="CY1" s="110"/>
      <c r="CZ1" s="110"/>
      <c r="DA1" s="110"/>
      <c r="DB1" s="110"/>
      <c r="DC1" s="110"/>
      <c r="DD1" s="110"/>
      <c r="DE1" s="110"/>
      <c r="DF1" s="110"/>
      <c r="DG1" s="110"/>
      <c r="DH1" s="110"/>
      <c r="DI1" s="110"/>
      <c r="DJ1" s="110"/>
      <c r="DK1" s="110"/>
      <c r="DL1" s="110"/>
      <c r="DM1" s="110"/>
      <c r="DN1" s="110"/>
      <c r="DO1" s="110"/>
      <c r="DP1" s="110"/>
      <c r="DQ1" s="110"/>
      <c r="DR1" s="110"/>
      <c r="DS1" s="110"/>
      <c r="DT1" s="110"/>
      <c r="DU1" s="110"/>
      <c r="DV1" s="110"/>
      <c r="DW1" s="110"/>
      <c r="DX1" s="110"/>
      <c r="DY1" s="110"/>
      <c r="DZ1" s="110"/>
      <c r="EA1" s="110"/>
      <c r="EB1" s="110"/>
      <c r="EC1" s="110"/>
      <c r="ED1" s="110"/>
      <c r="EE1" s="110"/>
      <c r="EF1" s="110"/>
      <c r="EG1" s="110"/>
      <c r="EH1" s="110"/>
      <c r="EI1" s="110"/>
      <c r="EJ1" s="110"/>
      <c r="EK1" s="110"/>
      <c r="EL1" s="110"/>
      <c r="EM1" s="110"/>
      <c r="EN1" s="110"/>
      <c r="EO1" s="110"/>
      <c r="EP1" s="110"/>
      <c r="EQ1" s="110"/>
      <c r="ER1" s="110"/>
      <c r="ES1" s="110"/>
      <c r="ET1" s="110"/>
      <c r="EU1" s="110"/>
      <c r="EV1" s="110"/>
      <c r="EW1" s="110"/>
      <c r="EX1" s="110"/>
      <c r="EY1" s="110"/>
      <c r="EZ1" s="110"/>
      <c r="FA1" s="110"/>
      <c r="FB1" s="110"/>
      <c r="FC1" s="110"/>
      <c r="FD1" s="110"/>
      <c r="FE1" s="110"/>
      <c r="FF1" s="110"/>
      <c r="FG1" s="110"/>
      <c r="FH1" s="110"/>
      <c r="FI1" s="110"/>
      <c r="FJ1" s="110"/>
      <c r="FK1" s="110"/>
      <c r="FL1" s="110"/>
      <c r="FM1" s="110"/>
      <c r="FN1" s="110"/>
      <c r="FO1" s="110"/>
      <c r="FP1" s="110"/>
      <c r="FQ1" s="110"/>
      <c r="FR1" s="110"/>
      <c r="FS1" s="110"/>
      <c r="FT1" s="110"/>
      <c r="FU1" s="110"/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10"/>
      <c r="GY1" s="110"/>
      <c r="GZ1" s="110"/>
      <c r="HA1" s="110"/>
      <c r="HB1" s="110"/>
      <c r="HC1" s="110"/>
      <c r="HD1" s="110"/>
      <c r="HE1" s="110"/>
      <c r="HF1" s="110"/>
      <c r="HG1" s="110"/>
      <c r="HH1" s="110"/>
      <c r="HI1" s="110"/>
      <c r="HJ1" s="110"/>
      <c r="HK1" s="110"/>
      <c r="HL1" s="110"/>
      <c r="HM1" s="110"/>
      <c r="HN1" s="110"/>
      <c r="HO1" s="110"/>
      <c r="HP1" s="110"/>
      <c r="HQ1" s="110"/>
      <c r="HR1" s="110"/>
      <c r="HS1" s="110"/>
      <c r="HT1" s="110"/>
      <c r="HU1" s="110"/>
      <c r="HV1" s="110"/>
      <c r="HW1" s="110"/>
      <c r="HX1" s="110"/>
      <c r="HY1" s="110"/>
      <c r="HZ1" s="117"/>
      <c r="IA1" s="117"/>
    </row>
    <row r="2" spans="1:235" ht="22.65" customHeight="1">
      <c r="A2" s="118" t="s">
        <v>43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  <c r="HN2" s="118"/>
      <c r="HO2" s="118"/>
      <c r="HP2" s="118"/>
      <c r="HQ2" s="118"/>
      <c r="HR2" s="118"/>
      <c r="HS2" s="118"/>
      <c r="HT2" s="118"/>
      <c r="HU2" s="118"/>
      <c r="HV2" s="118"/>
      <c r="HW2" s="118"/>
      <c r="HX2" s="118"/>
      <c r="HY2" s="118"/>
      <c r="HZ2" s="117"/>
      <c r="IA2" s="117"/>
    </row>
    <row r="3" spans="1:235" ht="15.4" customHeight="1">
      <c r="A3" s="111" t="s">
        <v>44</v>
      </c>
      <c r="B3" s="111"/>
      <c r="C3" s="111"/>
      <c r="D3" s="111"/>
      <c r="E3" s="112" t="s">
        <v>45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3" t="s">
        <v>46</v>
      </c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4" t="s">
        <v>47</v>
      </c>
      <c r="EH3" s="114"/>
      <c r="EI3" s="114"/>
      <c r="EJ3" s="114"/>
      <c r="EK3" s="114"/>
      <c r="EL3" s="114"/>
      <c r="EM3" s="114"/>
      <c r="EN3" s="114"/>
      <c r="EO3" s="114"/>
      <c r="EP3" s="114"/>
      <c r="EQ3" s="114"/>
      <c r="ER3" s="114"/>
      <c r="ES3" s="114"/>
      <c r="ET3" s="114"/>
      <c r="EU3" s="114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4"/>
      <c r="HE3" s="114"/>
      <c r="HF3" s="114"/>
      <c r="HG3" s="114"/>
      <c r="HH3" s="114"/>
      <c r="HI3" s="114"/>
      <c r="HJ3" s="114"/>
      <c r="HK3" s="114"/>
      <c r="HL3" s="114"/>
      <c r="HM3" s="115" t="s">
        <v>48</v>
      </c>
      <c r="HN3" s="115"/>
      <c r="HO3" s="115"/>
      <c r="HP3" s="115"/>
      <c r="HQ3" s="115"/>
      <c r="HR3" s="115"/>
      <c r="HS3" s="116" t="s">
        <v>49</v>
      </c>
      <c r="HT3" s="116"/>
      <c r="HU3" s="116"/>
      <c r="HV3" s="116"/>
      <c r="HW3" s="116"/>
      <c r="HX3" s="116"/>
      <c r="HY3" s="119" t="s">
        <v>50</v>
      </c>
      <c r="HZ3" s="119"/>
      <c r="IA3" s="119"/>
    </row>
    <row r="4" spans="1:235" ht="14.65" customHeight="1">
      <c r="A4" s="4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65</v>
      </c>
      <c r="P4" s="5" t="s">
        <v>66</v>
      </c>
      <c r="Q4" s="5" t="s">
        <v>67</v>
      </c>
      <c r="R4" s="5" t="s">
        <v>68</v>
      </c>
      <c r="S4" s="5" t="s">
        <v>69</v>
      </c>
      <c r="T4" s="5" t="s">
        <v>70</v>
      </c>
      <c r="U4" s="5" t="s">
        <v>71</v>
      </c>
      <c r="V4" s="5" t="s">
        <v>72</v>
      </c>
      <c r="W4" s="5" t="s">
        <v>73</v>
      </c>
      <c r="X4" s="5" t="s">
        <v>74</v>
      </c>
      <c r="Y4" s="5" t="s">
        <v>75</v>
      </c>
      <c r="Z4" s="5" t="s">
        <v>76</v>
      </c>
      <c r="AA4" s="5" t="s">
        <v>77</v>
      </c>
      <c r="AB4" s="5" t="s">
        <v>78</v>
      </c>
      <c r="AC4" s="5" t="s">
        <v>79</v>
      </c>
      <c r="AD4" s="5" t="s">
        <v>80</v>
      </c>
      <c r="AE4" s="5" t="s">
        <v>81</v>
      </c>
      <c r="AF4" s="5" t="s">
        <v>82</v>
      </c>
      <c r="AG4" s="5" t="s">
        <v>83</v>
      </c>
      <c r="AH4" s="5" t="s">
        <v>84</v>
      </c>
      <c r="AI4" s="5" t="s">
        <v>85</v>
      </c>
      <c r="AJ4" s="5" t="s">
        <v>86</v>
      </c>
      <c r="AK4" s="5" t="s">
        <v>87</v>
      </c>
      <c r="AL4" s="5" t="s">
        <v>88</v>
      </c>
      <c r="AM4" s="5" t="s">
        <v>89</v>
      </c>
      <c r="AN4" s="5" t="s">
        <v>90</v>
      </c>
      <c r="AO4" s="5" t="s">
        <v>91</v>
      </c>
      <c r="AP4" s="5" t="s">
        <v>92</v>
      </c>
      <c r="AQ4" s="5" t="s">
        <v>93</v>
      </c>
      <c r="AR4" s="5" t="s">
        <v>94</v>
      </c>
      <c r="AS4" s="5" t="s">
        <v>95</v>
      </c>
      <c r="AT4" s="5" t="s">
        <v>96</v>
      </c>
      <c r="AU4" s="5" t="s">
        <v>97</v>
      </c>
      <c r="AV4" s="5" t="s">
        <v>98</v>
      </c>
      <c r="AW4" s="5" t="s">
        <v>99</v>
      </c>
      <c r="AX4" s="5" t="s">
        <v>100</v>
      </c>
      <c r="AY4" s="5" t="s">
        <v>101</v>
      </c>
      <c r="AZ4" s="5" t="s">
        <v>102</v>
      </c>
      <c r="BA4" s="5" t="s">
        <v>103</v>
      </c>
      <c r="BB4" s="5" t="s">
        <v>104</v>
      </c>
      <c r="BC4" s="5" t="s">
        <v>105</v>
      </c>
      <c r="BD4" s="5" t="s">
        <v>106</v>
      </c>
      <c r="BE4" s="5" t="s">
        <v>107</v>
      </c>
      <c r="BF4" s="5" t="s">
        <v>108</v>
      </c>
      <c r="BG4" s="5" t="s">
        <v>109</v>
      </c>
      <c r="BH4" s="5" t="s">
        <v>110</v>
      </c>
      <c r="BI4" s="5" t="s">
        <v>111</v>
      </c>
      <c r="BJ4" s="5" t="s">
        <v>112</v>
      </c>
      <c r="BK4" s="5" t="s">
        <v>113</v>
      </c>
      <c r="BL4" s="5" t="s">
        <v>114</v>
      </c>
      <c r="BM4" s="5" t="s">
        <v>115</v>
      </c>
      <c r="BN4" s="5" t="s">
        <v>116</v>
      </c>
      <c r="BO4" s="5" t="s">
        <v>117</v>
      </c>
      <c r="BP4" s="5" t="s">
        <v>118</v>
      </c>
      <c r="BQ4" s="5" t="s">
        <v>119</v>
      </c>
      <c r="BR4" s="5" t="s">
        <v>120</v>
      </c>
      <c r="BS4" s="5" t="s">
        <v>121</v>
      </c>
      <c r="BT4" s="5" t="s">
        <v>122</v>
      </c>
      <c r="BU4" s="5" t="s">
        <v>123</v>
      </c>
      <c r="BV4" s="5" t="s">
        <v>124</v>
      </c>
      <c r="BW4" s="5" t="s">
        <v>125</v>
      </c>
      <c r="BX4" s="5" t="s">
        <v>126</v>
      </c>
      <c r="BY4" s="5" t="s">
        <v>127</v>
      </c>
      <c r="BZ4" s="5" t="s">
        <v>128</v>
      </c>
      <c r="CA4" s="5" t="s">
        <v>129</v>
      </c>
      <c r="CB4" s="5" t="s">
        <v>130</v>
      </c>
      <c r="CC4" s="5" t="s">
        <v>131</v>
      </c>
      <c r="CD4" s="5" t="s">
        <v>132</v>
      </c>
      <c r="CE4" s="5" t="s">
        <v>133</v>
      </c>
      <c r="CF4" s="5" t="s">
        <v>134</v>
      </c>
      <c r="CG4" s="5" t="s">
        <v>135</v>
      </c>
      <c r="CH4" s="5" t="s">
        <v>136</v>
      </c>
      <c r="CI4" s="5" t="s">
        <v>137</v>
      </c>
      <c r="CJ4" s="5" t="s">
        <v>138</v>
      </c>
      <c r="CK4" s="5" t="s">
        <v>139</v>
      </c>
      <c r="CL4" s="5" t="s">
        <v>140</v>
      </c>
      <c r="CM4" s="5" t="s">
        <v>141</v>
      </c>
      <c r="CN4" s="5" t="s">
        <v>142</v>
      </c>
      <c r="CO4" s="5" t="s">
        <v>143</v>
      </c>
      <c r="CP4" s="5" t="s">
        <v>144</v>
      </c>
      <c r="CQ4" s="5" t="s">
        <v>145</v>
      </c>
      <c r="CR4" s="5" t="s">
        <v>146</v>
      </c>
      <c r="CS4" s="5" t="s">
        <v>147</v>
      </c>
      <c r="CT4" s="5" t="s">
        <v>148</v>
      </c>
      <c r="CU4" s="5" t="s">
        <v>149</v>
      </c>
      <c r="CV4" s="5" t="s">
        <v>150</v>
      </c>
      <c r="CW4" s="5" t="s">
        <v>151</v>
      </c>
      <c r="CX4" s="5" t="s">
        <v>152</v>
      </c>
      <c r="CY4" s="5" t="s">
        <v>153</v>
      </c>
      <c r="CZ4" s="5" t="s">
        <v>154</v>
      </c>
      <c r="DA4" s="5" t="s">
        <v>155</v>
      </c>
      <c r="DB4" s="5" t="s">
        <v>156</v>
      </c>
      <c r="DC4" s="5" t="s">
        <v>157</v>
      </c>
      <c r="DD4" s="5" t="s">
        <v>158</v>
      </c>
      <c r="DE4" s="5" t="s">
        <v>159</v>
      </c>
      <c r="DF4" s="5" t="s">
        <v>160</v>
      </c>
      <c r="DG4" s="5" t="s">
        <v>161</v>
      </c>
      <c r="DH4" s="5" t="s">
        <v>162</v>
      </c>
      <c r="DI4" s="5" t="s">
        <v>163</v>
      </c>
      <c r="DJ4" s="5" t="s">
        <v>164</v>
      </c>
      <c r="DK4" s="5" t="s">
        <v>165</v>
      </c>
      <c r="DL4" s="5" t="s">
        <v>166</v>
      </c>
      <c r="DM4" s="5" t="s">
        <v>167</v>
      </c>
      <c r="DN4" s="5" t="s">
        <v>168</v>
      </c>
      <c r="DO4" s="5" t="s">
        <v>169</v>
      </c>
      <c r="DP4" s="5" t="s">
        <v>170</v>
      </c>
      <c r="DQ4" s="5" t="s">
        <v>171</v>
      </c>
      <c r="DR4" s="5" t="s">
        <v>172</v>
      </c>
      <c r="DS4" s="5" t="s">
        <v>173</v>
      </c>
      <c r="DT4" s="5" t="s">
        <v>174</v>
      </c>
      <c r="DU4" s="5" t="s">
        <v>175</v>
      </c>
      <c r="DV4" s="5" t="s">
        <v>176</v>
      </c>
      <c r="DW4" s="5" t="s">
        <v>177</v>
      </c>
      <c r="DX4" s="5" t="s">
        <v>178</v>
      </c>
      <c r="DY4" s="5" t="s">
        <v>179</v>
      </c>
      <c r="DZ4" s="5" t="s">
        <v>180</v>
      </c>
      <c r="EA4" s="5" t="s">
        <v>181</v>
      </c>
      <c r="EB4" s="5" t="s">
        <v>182</v>
      </c>
      <c r="EC4" s="5" t="s">
        <v>183</v>
      </c>
      <c r="ED4" s="5" t="s">
        <v>184</v>
      </c>
      <c r="EE4" s="5" t="s">
        <v>185</v>
      </c>
      <c r="EF4" s="5" t="s">
        <v>186</v>
      </c>
      <c r="EG4" s="5" t="s">
        <v>187</v>
      </c>
      <c r="EH4" s="5" t="s">
        <v>188</v>
      </c>
      <c r="EI4" s="5" t="s">
        <v>189</v>
      </c>
      <c r="EJ4" s="5" t="s">
        <v>190</v>
      </c>
      <c r="EK4" s="5" t="s">
        <v>191</v>
      </c>
      <c r="EL4" s="5" t="s">
        <v>192</v>
      </c>
      <c r="EM4" s="5" t="s">
        <v>193</v>
      </c>
      <c r="EN4" s="5" t="s">
        <v>194</v>
      </c>
      <c r="EO4" s="5" t="s">
        <v>195</v>
      </c>
      <c r="EP4" s="5" t="s">
        <v>196</v>
      </c>
      <c r="EQ4" s="5" t="s">
        <v>197</v>
      </c>
      <c r="ER4" s="5" t="s">
        <v>198</v>
      </c>
      <c r="ES4" s="5" t="s">
        <v>199</v>
      </c>
      <c r="ET4" s="5" t="s">
        <v>200</v>
      </c>
      <c r="EU4" s="5" t="s">
        <v>201</v>
      </c>
      <c r="EV4" s="5" t="s">
        <v>202</v>
      </c>
      <c r="EW4" s="5" t="s">
        <v>203</v>
      </c>
      <c r="EX4" s="5" t="s">
        <v>204</v>
      </c>
      <c r="EY4" s="5" t="s">
        <v>205</v>
      </c>
      <c r="EZ4" s="5" t="s">
        <v>206</v>
      </c>
      <c r="FA4" s="5" t="s">
        <v>207</v>
      </c>
      <c r="FB4" s="5" t="s">
        <v>208</v>
      </c>
      <c r="FC4" s="5" t="s">
        <v>209</v>
      </c>
      <c r="FD4" s="5" t="s">
        <v>210</v>
      </c>
      <c r="FE4" s="5" t="s">
        <v>211</v>
      </c>
      <c r="FF4" s="5" t="s">
        <v>212</v>
      </c>
      <c r="FG4" s="5" t="s">
        <v>213</v>
      </c>
      <c r="FH4" s="5" t="s">
        <v>214</v>
      </c>
      <c r="FI4" s="5" t="s">
        <v>215</v>
      </c>
      <c r="FJ4" s="5" t="s">
        <v>216</v>
      </c>
      <c r="FK4" s="5" t="s">
        <v>217</v>
      </c>
      <c r="FL4" s="5" t="s">
        <v>218</v>
      </c>
      <c r="FM4" s="5" t="s">
        <v>219</v>
      </c>
      <c r="FN4" s="5" t="s">
        <v>220</v>
      </c>
      <c r="FO4" s="5" t="s">
        <v>221</v>
      </c>
      <c r="FP4" s="5" t="s">
        <v>222</v>
      </c>
      <c r="FQ4" s="5" t="s">
        <v>223</v>
      </c>
      <c r="FR4" s="5" t="s">
        <v>224</v>
      </c>
      <c r="FS4" s="5" t="s">
        <v>225</v>
      </c>
      <c r="FT4" s="5" t="s">
        <v>226</v>
      </c>
      <c r="FU4" s="5" t="s">
        <v>227</v>
      </c>
      <c r="FV4" s="5" t="s">
        <v>228</v>
      </c>
      <c r="FW4" s="5" t="s">
        <v>229</v>
      </c>
      <c r="FX4" s="5" t="s">
        <v>230</v>
      </c>
      <c r="FY4" s="5" t="s">
        <v>231</v>
      </c>
      <c r="FZ4" s="5" t="s">
        <v>232</v>
      </c>
      <c r="GA4" s="5" t="s">
        <v>233</v>
      </c>
      <c r="GB4" s="5" t="s">
        <v>234</v>
      </c>
      <c r="GC4" s="5" t="s">
        <v>235</v>
      </c>
      <c r="GD4" s="5" t="s">
        <v>236</v>
      </c>
      <c r="GE4" s="5" t="s">
        <v>237</v>
      </c>
      <c r="GF4" s="5" t="s">
        <v>238</v>
      </c>
      <c r="GG4" s="5" t="s">
        <v>239</v>
      </c>
      <c r="GH4" s="5" t="s">
        <v>240</v>
      </c>
      <c r="GI4" s="5" t="s">
        <v>241</v>
      </c>
      <c r="GJ4" s="5" t="s">
        <v>242</v>
      </c>
      <c r="GK4" s="5" t="s">
        <v>243</v>
      </c>
      <c r="GL4" s="5" t="s">
        <v>244</v>
      </c>
      <c r="GM4" s="5" t="s">
        <v>245</v>
      </c>
      <c r="GN4" s="5" t="s">
        <v>246</v>
      </c>
      <c r="GO4" s="5" t="s">
        <v>247</v>
      </c>
      <c r="GP4" s="5" t="s">
        <v>248</v>
      </c>
      <c r="GQ4" s="5" t="s">
        <v>249</v>
      </c>
      <c r="GR4" s="5" t="s">
        <v>250</v>
      </c>
      <c r="GS4" s="5" t="s">
        <v>251</v>
      </c>
      <c r="GT4" s="5" t="s">
        <v>252</v>
      </c>
      <c r="GU4" s="5" t="s">
        <v>253</v>
      </c>
      <c r="GV4" s="5" t="s">
        <v>254</v>
      </c>
      <c r="GW4" s="5" t="s">
        <v>255</v>
      </c>
      <c r="GX4" s="5" t="s">
        <v>256</v>
      </c>
      <c r="GY4" s="5" t="s">
        <v>257</v>
      </c>
      <c r="GZ4" s="5" t="s">
        <v>258</v>
      </c>
      <c r="HA4" s="5" t="s">
        <v>259</v>
      </c>
      <c r="HB4" s="5" t="s">
        <v>260</v>
      </c>
      <c r="HC4" s="5" t="s">
        <v>261</v>
      </c>
      <c r="HD4" s="5" t="s">
        <v>262</v>
      </c>
      <c r="HE4" s="5" t="s">
        <v>263</v>
      </c>
      <c r="HF4" s="5" t="s">
        <v>264</v>
      </c>
      <c r="HG4" s="5" t="s">
        <v>265</v>
      </c>
      <c r="HH4" s="5" t="s">
        <v>266</v>
      </c>
      <c r="HI4" s="5" t="s">
        <v>267</v>
      </c>
      <c r="HJ4" s="5" t="s">
        <v>268</v>
      </c>
      <c r="HK4" s="5" t="s">
        <v>269</v>
      </c>
      <c r="HL4" s="5" t="s">
        <v>270</v>
      </c>
      <c r="HM4" s="5" t="s">
        <v>271</v>
      </c>
      <c r="HN4" s="5" t="s">
        <v>272</v>
      </c>
      <c r="HO4" s="5" t="s">
        <v>273</v>
      </c>
      <c r="HP4" s="5" t="s">
        <v>274</v>
      </c>
      <c r="HQ4" s="5" t="s">
        <v>275</v>
      </c>
      <c r="HR4" s="5" t="s">
        <v>276</v>
      </c>
      <c r="HS4" s="5" t="s">
        <v>271</v>
      </c>
      <c r="HT4" s="5" t="s">
        <v>272</v>
      </c>
      <c r="HU4" s="5" t="s">
        <v>273</v>
      </c>
      <c r="HV4" s="5" t="s">
        <v>274</v>
      </c>
      <c r="HW4" s="5" t="s">
        <v>275</v>
      </c>
      <c r="HX4" s="5" t="s">
        <v>276</v>
      </c>
      <c r="HY4" s="6" t="s">
        <v>277</v>
      </c>
      <c r="HZ4" s="86" t="s">
        <v>278</v>
      </c>
      <c r="IA4" s="86" t="s">
        <v>279</v>
      </c>
    </row>
    <row r="5" spans="1:235" ht="13.4" customHeight="1">
      <c r="A5" s="160">
        <v>1</v>
      </c>
      <c r="B5" s="160" t="s">
        <v>280</v>
      </c>
      <c r="C5" s="160" t="s">
        <v>281</v>
      </c>
      <c r="D5" s="160" t="s">
        <v>282</v>
      </c>
      <c r="E5" s="161">
        <v>1</v>
      </c>
      <c r="F5" s="161">
        <v>1</v>
      </c>
      <c r="G5" s="161">
        <v>1</v>
      </c>
      <c r="H5" s="161">
        <v>1</v>
      </c>
      <c r="I5" s="161"/>
      <c r="J5" s="161"/>
      <c r="K5" s="161">
        <v>1</v>
      </c>
      <c r="L5" s="161"/>
      <c r="M5" s="161">
        <v>1</v>
      </c>
      <c r="N5" s="161"/>
      <c r="O5" s="161">
        <v>1</v>
      </c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>
        <v>1</v>
      </c>
      <c r="BT5" s="161">
        <v>1</v>
      </c>
      <c r="BU5" s="161">
        <v>1</v>
      </c>
      <c r="BV5" s="161">
        <v>1</v>
      </c>
      <c r="BW5" s="161"/>
      <c r="BX5" s="161"/>
      <c r="BY5" s="161">
        <v>1</v>
      </c>
      <c r="BZ5" s="161"/>
      <c r="CA5" s="161">
        <v>1</v>
      </c>
      <c r="CB5" s="161"/>
      <c r="CC5" s="161">
        <v>1</v>
      </c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161"/>
      <c r="EG5" s="161">
        <v>1</v>
      </c>
      <c r="EH5" s="161">
        <v>1</v>
      </c>
      <c r="EI5" s="161">
        <v>1</v>
      </c>
      <c r="EJ5" s="161">
        <v>1</v>
      </c>
      <c r="EK5" s="161"/>
      <c r="EL5" s="161"/>
      <c r="EM5" s="161">
        <v>1</v>
      </c>
      <c r="EN5" s="161"/>
      <c r="EO5" s="161">
        <v>1</v>
      </c>
      <c r="EP5" s="161"/>
      <c r="EQ5" s="161">
        <v>1</v>
      </c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FF5" s="161"/>
      <c r="FG5" s="161"/>
      <c r="FH5" s="161"/>
      <c r="FI5" s="161"/>
      <c r="FJ5" s="161"/>
      <c r="FK5" s="161"/>
      <c r="FL5" s="161"/>
      <c r="FM5" s="161"/>
      <c r="FN5" s="161"/>
      <c r="FO5" s="161"/>
      <c r="FP5" s="161"/>
      <c r="FQ5" s="161"/>
      <c r="FR5" s="161"/>
      <c r="FS5" s="161"/>
      <c r="FT5" s="161"/>
      <c r="FU5" s="161"/>
      <c r="FV5" s="161"/>
      <c r="FW5" s="161"/>
      <c r="FX5" s="161"/>
      <c r="FY5" s="161"/>
      <c r="FZ5" s="161"/>
      <c r="GA5" s="161"/>
      <c r="GB5" s="161"/>
      <c r="GC5" s="161"/>
      <c r="GD5" s="161"/>
      <c r="GE5" s="161"/>
      <c r="GF5" s="161"/>
      <c r="GG5" s="161"/>
      <c r="GH5" s="161"/>
      <c r="GI5" s="161"/>
      <c r="GJ5" s="161"/>
      <c r="GK5" s="161"/>
      <c r="GL5" s="161"/>
      <c r="GM5" s="161"/>
      <c r="GN5" s="161"/>
      <c r="GO5" s="161"/>
      <c r="GP5" s="161"/>
      <c r="GQ5" s="161"/>
      <c r="GR5" s="161"/>
      <c r="GS5" s="161"/>
      <c r="GT5" s="161"/>
      <c r="GU5" s="161"/>
      <c r="GV5" s="161"/>
      <c r="GW5" s="161"/>
      <c r="GX5" s="161"/>
      <c r="GY5" s="161"/>
      <c r="GZ5" s="161"/>
      <c r="HA5" s="161"/>
      <c r="HB5" s="161"/>
      <c r="HC5" s="161"/>
      <c r="HD5" s="161"/>
      <c r="HE5" s="161"/>
      <c r="HF5" s="161"/>
      <c r="HG5" s="161"/>
      <c r="HH5" s="161"/>
      <c r="HI5" s="161"/>
      <c r="HJ5" s="161"/>
      <c r="HK5" s="161"/>
      <c r="HL5" s="161"/>
      <c r="HM5" s="162">
        <v>3</v>
      </c>
      <c r="HN5" s="162">
        <v>2</v>
      </c>
      <c r="HO5" s="162">
        <v>4</v>
      </c>
      <c r="HP5" s="162">
        <v>5</v>
      </c>
      <c r="HQ5" s="162">
        <v>3</v>
      </c>
      <c r="HR5" s="162">
        <v>6</v>
      </c>
      <c r="HS5" s="162">
        <v>3</v>
      </c>
      <c r="HT5" s="162">
        <v>2</v>
      </c>
      <c r="HU5" s="162">
        <v>4</v>
      </c>
      <c r="HV5" s="162">
        <v>5</v>
      </c>
      <c r="HW5" s="162">
        <v>3</v>
      </c>
      <c r="HX5" s="162">
        <v>6</v>
      </c>
      <c r="HY5" s="163" t="str">
        <f t="shared" ref="HY5:HY36" si="0">IF(AND(B5="",C5=""),"",IF(OR(B5="",C5=""),"Lengkapi identitas",IF(COUNT(HM5:HX5)&lt;12,"Lengkapi 12 Self Estimate",IF(OR(MIN(HM5:HX5)&lt;1,MAX(HM5:HX5)&gt;7),"Self Estimate harus 1–7","OK"))))</f>
        <v>OK</v>
      </c>
      <c r="HZ5" s="164" t="str">
        <f>IF($HY5&lt;&gt;"OK","",Hasil!$AU5)</f>
        <v>RC</v>
      </c>
      <c r="IA5" s="164" t="str">
        <f>IF($HY5&lt;&gt;"OK","",Hasil!$AV5)</f>
        <v>Tinggi</v>
      </c>
    </row>
    <row r="6" spans="1:235" ht="13.4" customHeight="1">
      <c r="A6" s="160">
        <v>2</v>
      </c>
      <c r="B6" s="160" t="s">
        <v>283</v>
      </c>
      <c r="C6" s="160" t="s">
        <v>284</v>
      </c>
      <c r="D6" s="160" t="s">
        <v>282</v>
      </c>
      <c r="E6" s="161">
        <v>1</v>
      </c>
      <c r="F6" s="161">
        <v>1</v>
      </c>
      <c r="G6" s="161">
        <v>1</v>
      </c>
      <c r="H6" s="161">
        <v>1</v>
      </c>
      <c r="I6" s="161"/>
      <c r="J6" s="161"/>
      <c r="K6" s="161">
        <v>1</v>
      </c>
      <c r="L6" s="161"/>
      <c r="M6" s="161">
        <v>1</v>
      </c>
      <c r="N6" s="161"/>
      <c r="O6" s="161">
        <v>1</v>
      </c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>
        <v>1</v>
      </c>
      <c r="BT6" s="161">
        <v>1</v>
      </c>
      <c r="BU6" s="161">
        <v>1</v>
      </c>
      <c r="BV6" s="161">
        <v>1</v>
      </c>
      <c r="BW6" s="161"/>
      <c r="BX6" s="161"/>
      <c r="BY6" s="161">
        <v>1</v>
      </c>
      <c r="BZ6" s="161"/>
      <c r="CA6" s="161">
        <v>1</v>
      </c>
      <c r="CB6" s="161"/>
      <c r="CC6" s="161">
        <v>1</v>
      </c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  <c r="CR6" s="161"/>
      <c r="CS6" s="161"/>
      <c r="CT6" s="161"/>
      <c r="CU6" s="161"/>
      <c r="CV6" s="161"/>
      <c r="CW6" s="161"/>
      <c r="CX6" s="161"/>
      <c r="CY6" s="161"/>
      <c r="CZ6" s="161"/>
      <c r="DA6" s="161"/>
      <c r="DB6" s="161"/>
      <c r="DC6" s="161"/>
      <c r="DD6" s="161"/>
      <c r="DE6" s="161"/>
      <c r="DF6" s="161"/>
      <c r="DG6" s="161"/>
      <c r="DH6" s="161"/>
      <c r="DI6" s="161"/>
      <c r="DJ6" s="161"/>
      <c r="DK6" s="161"/>
      <c r="DL6" s="161"/>
      <c r="DM6" s="161"/>
      <c r="DN6" s="161"/>
      <c r="DO6" s="161"/>
      <c r="DP6" s="161"/>
      <c r="DQ6" s="161"/>
      <c r="DR6" s="161"/>
      <c r="DS6" s="161"/>
      <c r="DT6" s="161"/>
      <c r="DU6" s="161"/>
      <c r="DV6" s="161"/>
      <c r="DW6" s="161"/>
      <c r="DX6" s="161"/>
      <c r="DY6" s="161"/>
      <c r="DZ6" s="161"/>
      <c r="EA6" s="161"/>
      <c r="EB6" s="161"/>
      <c r="EC6" s="161"/>
      <c r="ED6" s="161"/>
      <c r="EE6" s="161"/>
      <c r="EF6" s="161"/>
      <c r="EG6" s="161">
        <v>1</v>
      </c>
      <c r="EH6" s="161">
        <v>1</v>
      </c>
      <c r="EI6" s="161">
        <v>1</v>
      </c>
      <c r="EJ6" s="161">
        <v>1</v>
      </c>
      <c r="EK6" s="161"/>
      <c r="EL6" s="161"/>
      <c r="EM6" s="161">
        <v>1</v>
      </c>
      <c r="EN6" s="161"/>
      <c r="EO6" s="161">
        <v>1</v>
      </c>
      <c r="EP6" s="161"/>
      <c r="EQ6" s="161">
        <v>1</v>
      </c>
      <c r="ER6" s="161"/>
      <c r="ES6" s="161"/>
      <c r="ET6" s="161"/>
      <c r="EU6" s="161"/>
      <c r="EV6" s="161"/>
      <c r="EW6" s="161"/>
      <c r="EX6" s="161"/>
      <c r="EY6" s="161"/>
      <c r="EZ6" s="161"/>
      <c r="FA6" s="161"/>
      <c r="FB6" s="161"/>
      <c r="FC6" s="161"/>
      <c r="FD6" s="161"/>
      <c r="FE6" s="161"/>
      <c r="FF6" s="161"/>
      <c r="FG6" s="161"/>
      <c r="FH6" s="161"/>
      <c r="FI6" s="161"/>
      <c r="FJ6" s="161"/>
      <c r="FK6" s="161"/>
      <c r="FL6" s="161"/>
      <c r="FM6" s="161"/>
      <c r="FN6" s="161"/>
      <c r="FO6" s="161"/>
      <c r="FP6" s="161"/>
      <c r="FQ6" s="161"/>
      <c r="FR6" s="161"/>
      <c r="FS6" s="161"/>
      <c r="FT6" s="161"/>
      <c r="FU6" s="161"/>
      <c r="FV6" s="161"/>
      <c r="FW6" s="161"/>
      <c r="FX6" s="161"/>
      <c r="FY6" s="161"/>
      <c r="FZ6" s="161"/>
      <c r="GA6" s="161"/>
      <c r="GB6" s="161"/>
      <c r="GC6" s="161"/>
      <c r="GD6" s="161"/>
      <c r="GE6" s="161"/>
      <c r="GF6" s="161"/>
      <c r="GG6" s="161"/>
      <c r="GH6" s="161"/>
      <c r="GI6" s="161"/>
      <c r="GJ6" s="161"/>
      <c r="GK6" s="161"/>
      <c r="GL6" s="161"/>
      <c r="GM6" s="161"/>
      <c r="GN6" s="161"/>
      <c r="GO6" s="161"/>
      <c r="GP6" s="161"/>
      <c r="GQ6" s="161"/>
      <c r="GR6" s="161"/>
      <c r="GS6" s="161"/>
      <c r="GT6" s="161"/>
      <c r="GU6" s="161"/>
      <c r="GV6" s="161"/>
      <c r="GW6" s="161"/>
      <c r="GX6" s="161"/>
      <c r="GY6" s="161"/>
      <c r="GZ6" s="161"/>
      <c r="HA6" s="161"/>
      <c r="HB6" s="161"/>
      <c r="HC6" s="161"/>
      <c r="HD6" s="161"/>
      <c r="HE6" s="161"/>
      <c r="HF6" s="161"/>
      <c r="HG6" s="161"/>
      <c r="HH6" s="161"/>
      <c r="HI6" s="161"/>
      <c r="HJ6" s="161"/>
      <c r="HK6" s="161"/>
      <c r="HL6" s="161"/>
      <c r="HM6" s="162">
        <v>3</v>
      </c>
      <c r="HN6" s="162">
        <v>2</v>
      </c>
      <c r="HO6" s="162">
        <v>4</v>
      </c>
      <c r="HP6" s="162">
        <v>5</v>
      </c>
      <c r="HQ6" s="162">
        <v>3</v>
      </c>
      <c r="HR6" s="162">
        <v>6</v>
      </c>
      <c r="HS6" s="162">
        <v>3</v>
      </c>
      <c r="HT6" s="162">
        <v>2</v>
      </c>
      <c r="HU6" s="162">
        <v>4</v>
      </c>
      <c r="HV6" s="162">
        <v>5</v>
      </c>
      <c r="HW6" s="162">
        <v>3</v>
      </c>
      <c r="HX6" s="162">
        <v>6</v>
      </c>
      <c r="HY6" s="163" t="str">
        <f t="shared" si="0"/>
        <v>OK</v>
      </c>
      <c r="HZ6" s="164" t="str">
        <f>IF($HY6&lt;&gt;"OK","",Hasil!$AU6)</f>
        <v>RC</v>
      </c>
      <c r="IA6" s="164" t="str">
        <f>IF($HY6&lt;&gt;"OK","",Hasil!$AV6)</f>
        <v>Tinggi</v>
      </c>
    </row>
    <row r="7" spans="1:235" ht="13.4" customHeight="1">
      <c r="A7" s="160">
        <v>3</v>
      </c>
      <c r="B7" s="160" t="s">
        <v>285</v>
      </c>
      <c r="C7" s="160" t="s">
        <v>286</v>
      </c>
      <c r="D7" s="160" t="s">
        <v>282</v>
      </c>
      <c r="E7" s="161">
        <v>1</v>
      </c>
      <c r="F7" s="161">
        <v>1</v>
      </c>
      <c r="G7" s="161">
        <v>1</v>
      </c>
      <c r="H7" s="161">
        <v>1</v>
      </c>
      <c r="I7" s="161"/>
      <c r="J7" s="161"/>
      <c r="K7" s="161">
        <v>1</v>
      </c>
      <c r="L7" s="161"/>
      <c r="M7" s="161">
        <v>1</v>
      </c>
      <c r="N7" s="161"/>
      <c r="O7" s="161">
        <v>1</v>
      </c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>
        <v>1</v>
      </c>
      <c r="BT7" s="161">
        <v>1</v>
      </c>
      <c r="BU7" s="161">
        <v>1</v>
      </c>
      <c r="BV7" s="161">
        <v>1</v>
      </c>
      <c r="BW7" s="161"/>
      <c r="BX7" s="161"/>
      <c r="BY7" s="161">
        <v>1</v>
      </c>
      <c r="BZ7" s="161"/>
      <c r="CA7" s="161">
        <v>1</v>
      </c>
      <c r="CB7" s="161"/>
      <c r="CC7" s="161">
        <v>1</v>
      </c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  <c r="DH7" s="161"/>
      <c r="DI7" s="161"/>
      <c r="DJ7" s="161"/>
      <c r="DK7" s="161"/>
      <c r="DL7" s="161"/>
      <c r="DM7" s="161"/>
      <c r="DN7" s="161"/>
      <c r="DO7" s="161"/>
      <c r="DP7" s="161"/>
      <c r="DQ7" s="161"/>
      <c r="DR7" s="161"/>
      <c r="DS7" s="161"/>
      <c r="DT7" s="161"/>
      <c r="DU7" s="161"/>
      <c r="DV7" s="161"/>
      <c r="DW7" s="161"/>
      <c r="DX7" s="161"/>
      <c r="DY7" s="161"/>
      <c r="DZ7" s="161"/>
      <c r="EA7" s="161"/>
      <c r="EB7" s="161"/>
      <c r="EC7" s="161"/>
      <c r="ED7" s="161"/>
      <c r="EE7" s="161"/>
      <c r="EF7" s="161"/>
      <c r="EG7" s="161">
        <v>1</v>
      </c>
      <c r="EH7" s="161">
        <v>1</v>
      </c>
      <c r="EI7" s="161">
        <v>1</v>
      </c>
      <c r="EJ7" s="161">
        <v>1</v>
      </c>
      <c r="EK7" s="161"/>
      <c r="EL7" s="161"/>
      <c r="EM7" s="161">
        <v>1</v>
      </c>
      <c r="EN7" s="161"/>
      <c r="EO7" s="161">
        <v>1</v>
      </c>
      <c r="EP7" s="161"/>
      <c r="EQ7" s="161">
        <v>1</v>
      </c>
      <c r="ER7" s="161"/>
      <c r="ES7" s="161"/>
      <c r="ET7" s="161"/>
      <c r="EU7" s="161"/>
      <c r="EV7" s="161"/>
      <c r="EW7" s="161"/>
      <c r="EX7" s="161"/>
      <c r="EY7" s="161"/>
      <c r="EZ7" s="161"/>
      <c r="FA7" s="161"/>
      <c r="FB7" s="161"/>
      <c r="FC7" s="161"/>
      <c r="FD7" s="161"/>
      <c r="FE7" s="161"/>
      <c r="FF7" s="161"/>
      <c r="FG7" s="161"/>
      <c r="FH7" s="161"/>
      <c r="FI7" s="161"/>
      <c r="FJ7" s="161"/>
      <c r="FK7" s="161"/>
      <c r="FL7" s="161"/>
      <c r="FM7" s="161"/>
      <c r="FN7" s="161"/>
      <c r="FO7" s="161"/>
      <c r="FP7" s="161"/>
      <c r="FQ7" s="161"/>
      <c r="FR7" s="161"/>
      <c r="FS7" s="161"/>
      <c r="FT7" s="161"/>
      <c r="FU7" s="161"/>
      <c r="FV7" s="161"/>
      <c r="FW7" s="161"/>
      <c r="FX7" s="161"/>
      <c r="FY7" s="161"/>
      <c r="FZ7" s="161"/>
      <c r="GA7" s="161"/>
      <c r="GB7" s="161"/>
      <c r="GC7" s="161"/>
      <c r="GD7" s="161"/>
      <c r="GE7" s="161"/>
      <c r="GF7" s="161"/>
      <c r="GG7" s="161"/>
      <c r="GH7" s="161"/>
      <c r="GI7" s="161"/>
      <c r="GJ7" s="161"/>
      <c r="GK7" s="161"/>
      <c r="GL7" s="161"/>
      <c r="GM7" s="161"/>
      <c r="GN7" s="161"/>
      <c r="GO7" s="161"/>
      <c r="GP7" s="161"/>
      <c r="GQ7" s="161"/>
      <c r="GR7" s="161"/>
      <c r="GS7" s="161"/>
      <c r="GT7" s="161"/>
      <c r="GU7" s="161"/>
      <c r="GV7" s="161"/>
      <c r="GW7" s="161"/>
      <c r="GX7" s="161"/>
      <c r="GY7" s="161"/>
      <c r="GZ7" s="161"/>
      <c r="HA7" s="161"/>
      <c r="HB7" s="161"/>
      <c r="HC7" s="161"/>
      <c r="HD7" s="161"/>
      <c r="HE7" s="161"/>
      <c r="HF7" s="161"/>
      <c r="HG7" s="161"/>
      <c r="HH7" s="161"/>
      <c r="HI7" s="161"/>
      <c r="HJ7" s="161"/>
      <c r="HK7" s="161"/>
      <c r="HL7" s="161"/>
      <c r="HM7" s="162">
        <v>3</v>
      </c>
      <c r="HN7" s="162">
        <v>2</v>
      </c>
      <c r="HO7" s="162">
        <v>4</v>
      </c>
      <c r="HP7" s="162">
        <v>5</v>
      </c>
      <c r="HQ7" s="162">
        <v>3</v>
      </c>
      <c r="HR7" s="162">
        <v>6</v>
      </c>
      <c r="HS7" s="162">
        <v>3</v>
      </c>
      <c r="HT7" s="162">
        <v>2</v>
      </c>
      <c r="HU7" s="162">
        <v>4</v>
      </c>
      <c r="HV7" s="162">
        <v>5</v>
      </c>
      <c r="HW7" s="162">
        <v>3</v>
      </c>
      <c r="HX7" s="162">
        <v>6</v>
      </c>
      <c r="HY7" s="163" t="str">
        <f t="shared" si="0"/>
        <v>OK</v>
      </c>
      <c r="HZ7" s="164" t="str">
        <f>IF($HY7&lt;&gt;"OK","",Hasil!$AU7)</f>
        <v>RC</v>
      </c>
      <c r="IA7" s="164" t="str">
        <f>IF($HY7&lt;&gt;"OK","",Hasil!$AV7)</f>
        <v>Tinggi</v>
      </c>
    </row>
    <row r="8" spans="1:235" ht="13.4" customHeight="1">
      <c r="A8" s="160">
        <v>4</v>
      </c>
      <c r="B8" s="160" t="s">
        <v>287</v>
      </c>
      <c r="C8" s="160" t="s">
        <v>288</v>
      </c>
      <c r="D8" s="160" t="s">
        <v>282</v>
      </c>
      <c r="E8" s="161">
        <v>1</v>
      </c>
      <c r="F8" s="161">
        <v>1</v>
      </c>
      <c r="G8" s="161">
        <v>1</v>
      </c>
      <c r="H8" s="161">
        <v>1</v>
      </c>
      <c r="I8" s="161"/>
      <c r="J8" s="161"/>
      <c r="K8" s="161">
        <v>1</v>
      </c>
      <c r="L8" s="161"/>
      <c r="M8" s="161">
        <v>1</v>
      </c>
      <c r="N8" s="161"/>
      <c r="O8" s="161">
        <v>1</v>
      </c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61">
        <v>1</v>
      </c>
      <c r="BT8" s="161">
        <v>1</v>
      </c>
      <c r="BU8" s="161">
        <v>1</v>
      </c>
      <c r="BV8" s="161">
        <v>1</v>
      </c>
      <c r="BW8" s="161"/>
      <c r="BX8" s="161"/>
      <c r="BY8" s="161">
        <v>1</v>
      </c>
      <c r="BZ8" s="161"/>
      <c r="CA8" s="161">
        <v>1</v>
      </c>
      <c r="CB8" s="161"/>
      <c r="CC8" s="161">
        <v>1</v>
      </c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  <c r="DB8" s="161"/>
      <c r="DC8" s="161"/>
      <c r="DD8" s="161"/>
      <c r="DE8" s="161"/>
      <c r="DF8" s="161"/>
      <c r="DG8" s="161"/>
      <c r="DH8" s="161"/>
      <c r="DI8" s="161"/>
      <c r="DJ8" s="161"/>
      <c r="DK8" s="161"/>
      <c r="DL8" s="161"/>
      <c r="DM8" s="161"/>
      <c r="DN8" s="161"/>
      <c r="DO8" s="161"/>
      <c r="DP8" s="161"/>
      <c r="DQ8" s="161"/>
      <c r="DR8" s="161"/>
      <c r="DS8" s="161"/>
      <c r="DT8" s="161"/>
      <c r="DU8" s="161"/>
      <c r="DV8" s="161"/>
      <c r="DW8" s="161"/>
      <c r="DX8" s="161"/>
      <c r="DY8" s="161"/>
      <c r="DZ8" s="161"/>
      <c r="EA8" s="161"/>
      <c r="EB8" s="161"/>
      <c r="EC8" s="161"/>
      <c r="ED8" s="161"/>
      <c r="EE8" s="161"/>
      <c r="EF8" s="161"/>
      <c r="EG8" s="161">
        <v>1</v>
      </c>
      <c r="EH8" s="161">
        <v>1</v>
      </c>
      <c r="EI8" s="161">
        <v>1</v>
      </c>
      <c r="EJ8" s="161">
        <v>1</v>
      </c>
      <c r="EK8" s="161"/>
      <c r="EL8" s="161"/>
      <c r="EM8" s="161">
        <v>1</v>
      </c>
      <c r="EN8" s="161"/>
      <c r="EO8" s="161">
        <v>1</v>
      </c>
      <c r="EP8" s="161"/>
      <c r="EQ8" s="161">
        <v>1</v>
      </c>
      <c r="ER8" s="161"/>
      <c r="ES8" s="161"/>
      <c r="ET8" s="161"/>
      <c r="EU8" s="161"/>
      <c r="EV8" s="161"/>
      <c r="EW8" s="161"/>
      <c r="EX8" s="161"/>
      <c r="EY8" s="161"/>
      <c r="EZ8" s="161"/>
      <c r="FA8" s="161"/>
      <c r="FB8" s="161"/>
      <c r="FC8" s="161"/>
      <c r="FD8" s="161"/>
      <c r="FE8" s="161"/>
      <c r="FF8" s="161"/>
      <c r="FG8" s="161"/>
      <c r="FH8" s="161"/>
      <c r="FI8" s="161"/>
      <c r="FJ8" s="161"/>
      <c r="FK8" s="161"/>
      <c r="FL8" s="161"/>
      <c r="FM8" s="161"/>
      <c r="FN8" s="161"/>
      <c r="FO8" s="161"/>
      <c r="FP8" s="161"/>
      <c r="FQ8" s="161"/>
      <c r="FR8" s="161"/>
      <c r="FS8" s="161"/>
      <c r="FT8" s="161"/>
      <c r="FU8" s="161"/>
      <c r="FV8" s="161"/>
      <c r="FW8" s="161"/>
      <c r="FX8" s="161"/>
      <c r="FY8" s="161"/>
      <c r="FZ8" s="161"/>
      <c r="GA8" s="161"/>
      <c r="GB8" s="161"/>
      <c r="GC8" s="161"/>
      <c r="GD8" s="161"/>
      <c r="GE8" s="161"/>
      <c r="GF8" s="161"/>
      <c r="GG8" s="161"/>
      <c r="GH8" s="161"/>
      <c r="GI8" s="161"/>
      <c r="GJ8" s="161"/>
      <c r="GK8" s="161"/>
      <c r="GL8" s="161"/>
      <c r="GM8" s="161"/>
      <c r="GN8" s="161"/>
      <c r="GO8" s="161"/>
      <c r="GP8" s="161"/>
      <c r="GQ8" s="161"/>
      <c r="GR8" s="161"/>
      <c r="GS8" s="161"/>
      <c r="GT8" s="161"/>
      <c r="GU8" s="161"/>
      <c r="GV8" s="161"/>
      <c r="GW8" s="161"/>
      <c r="GX8" s="161"/>
      <c r="GY8" s="161"/>
      <c r="GZ8" s="161"/>
      <c r="HA8" s="161"/>
      <c r="HB8" s="161"/>
      <c r="HC8" s="161"/>
      <c r="HD8" s="161"/>
      <c r="HE8" s="161"/>
      <c r="HF8" s="161"/>
      <c r="HG8" s="161"/>
      <c r="HH8" s="161"/>
      <c r="HI8" s="161"/>
      <c r="HJ8" s="161"/>
      <c r="HK8" s="161"/>
      <c r="HL8" s="161"/>
      <c r="HM8" s="162">
        <v>3</v>
      </c>
      <c r="HN8" s="162">
        <v>2</v>
      </c>
      <c r="HO8" s="162">
        <v>4</v>
      </c>
      <c r="HP8" s="162">
        <v>5</v>
      </c>
      <c r="HQ8" s="162">
        <v>3</v>
      </c>
      <c r="HR8" s="162">
        <v>6</v>
      </c>
      <c r="HS8" s="162">
        <v>3</v>
      </c>
      <c r="HT8" s="162">
        <v>2</v>
      </c>
      <c r="HU8" s="162">
        <v>4</v>
      </c>
      <c r="HV8" s="162">
        <v>5</v>
      </c>
      <c r="HW8" s="162">
        <v>3</v>
      </c>
      <c r="HX8" s="162">
        <v>6</v>
      </c>
      <c r="HY8" s="163" t="str">
        <f t="shared" si="0"/>
        <v>OK</v>
      </c>
      <c r="HZ8" s="164" t="str">
        <f>IF($HY8&lt;&gt;"OK","",Hasil!$AU8)</f>
        <v>RC</v>
      </c>
      <c r="IA8" s="164" t="str">
        <f>IF($HY8&lt;&gt;"OK","",Hasil!$AV8)</f>
        <v>Tinggi</v>
      </c>
    </row>
    <row r="9" spans="1:235" ht="13.4" customHeight="1">
      <c r="A9" s="160">
        <v>5</v>
      </c>
      <c r="B9" s="160" t="s">
        <v>289</v>
      </c>
      <c r="C9" s="160" t="s">
        <v>290</v>
      </c>
      <c r="D9" s="160" t="s">
        <v>282</v>
      </c>
      <c r="E9" s="161">
        <v>1</v>
      </c>
      <c r="F9" s="161">
        <v>1</v>
      </c>
      <c r="G9" s="161">
        <v>1</v>
      </c>
      <c r="H9" s="161">
        <v>1</v>
      </c>
      <c r="I9" s="161"/>
      <c r="J9" s="161"/>
      <c r="K9" s="161">
        <v>1</v>
      </c>
      <c r="L9" s="161"/>
      <c r="M9" s="161">
        <v>1</v>
      </c>
      <c r="N9" s="161"/>
      <c r="O9" s="161">
        <v>1</v>
      </c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161"/>
      <c r="BQ9" s="161"/>
      <c r="BR9" s="161"/>
      <c r="BS9" s="161">
        <v>1</v>
      </c>
      <c r="BT9" s="161">
        <v>1</v>
      </c>
      <c r="BU9" s="161">
        <v>1</v>
      </c>
      <c r="BV9" s="161">
        <v>1</v>
      </c>
      <c r="BW9" s="161"/>
      <c r="BX9" s="161"/>
      <c r="BY9" s="161">
        <v>1</v>
      </c>
      <c r="BZ9" s="161"/>
      <c r="CA9" s="161">
        <v>1</v>
      </c>
      <c r="CB9" s="161"/>
      <c r="CC9" s="161">
        <v>1</v>
      </c>
      <c r="CD9" s="161"/>
      <c r="CE9" s="161"/>
      <c r="CF9" s="161"/>
      <c r="CG9" s="161"/>
      <c r="CH9" s="161"/>
      <c r="CI9" s="161"/>
      <c r="CJ9" s="161"/>
      <c r="CK9" s="161"/>
      <c r="CL9" s="161"/>
      <c r="CM9" s="161"/>
      <c r="CN9" s="161"/>
      <c r="CO9" s="161"/>
      <c r="CP9" s="161"/>
      <c r="CQ9" s="161"/>
      <c r="CR9" s="161"/>
      <c r="CS9" s="161"/>
      <c r="CT9" s="161"/>
      <c r="CU9" s="161"/>
      <c r="CV9" s="161"/>
      <c r="CW9" s="161"/>
      <c r="CX9" s="161"/>
      <c r="CY9" s="161"/>
      <c r="CZ9" s="161"/>
      <c r="DA9" s="161"/>
      <c r="DB9" s="161"/>
      <c r="DC9" s="161"/>
      <c r="DD9" s="161"/>
      <c r="DE9" s="161"/>
      <c r="DF9" s="161"/>
      <c r="DG9" s="161"/>
      <c r="DH9" s="161"/>
      <c r="DI9" s="161"/>
      <c r="DJ9" s="161"/>
      <c r="DK9" s="161"/>
      <c r="DL9" s="161"/>
      <c r="DM9" s="161"/>
      <c r="DN9" s="161"/>
      <c r="DO9" s="161"/>
      <c r="DP9" s="161"/>
      <c r="DQ9" s="161"/>
      <c r="DR9" s="161"/>
      <c r="DS9" s="161"/>
      <c r="DT9" s="161"/>
      <c r="DU9" s="161"/>
      <c r="DV9" s="161"/>
      <c r="DW9" s="161"/>
      <c r="DX9" s="161"/>
      <c r="DY9" s="161"/>
      <c r="DZ9" s="161"/>
      <c r="EA9" s="161"/>
      <c r="EB9" s="161"/>
      <c r="EC9" s="161"/>
      <c r="ED9" s="161"/>
      <c r="EE9" s="161"/>
      <c r="EF9" s="161"/>
      <c r="EG9" s="161">
        <v>1</v>
      </c>
      <c r="EH9" s="161">
        <v>1</v>
      </c>
      <c r="EI9" s="161">
        <v>1</v>
      </c>
      <c r="EJ9" s="161">
        <v>1</v>
      </c>
      <c r="EK9" s="161"/>
      <c r="EL9" s="161"/>
      <c r="EM9" s="161">
        <v>1</v>
      </c>
      <c r="EN9" s="161"/>
      <c r="EO9" s="161">
        <v>1</v>
      </c>
      <c r="EP9" s="161"/>
      <c r="EQ9" s="161">
        <v>1</v>
      </c>
      <c r="ER9" s="161"/>
      <c r="ES9" s="161"/>
      <c r="ET9" s="161"/>
      <c r="EU9" s="161"/>
      <c r="EV9" s="161"/>
      <c r="EW9" s="161"/>
      <c r="EX9" s="161"/>
      <c r="EY9" s="161"/>
      <c r="EZ9" s="161"/>
      <c r="FA9" s="161"/>
      <c r="FB9" s="161"/>
      <c r="FC9" s="161"/>
      <c r="FD9" s="161"/>
      <c r="FE9" s="161"/>
      <c r="FF9" s="161"/>
      <c r="FG9" s="161"/>
      <c r="FH9" s="161"/>
      <c r="FI9" s="161"/>
      <c r="FJ9" s="161"/>
      <c r="FK9" s="161"/>
      <c r="FL9" s="161"/>
      <c r="FM9" s="161"/>
      <c r="FN9" s="161"/>
      <c r="FO9" s="161"/>
      <c r="FP9" s="161"/>
      <c r="FQ9" s="161"/>
      <c r="FR9" s="161"/>
      <c r="FS9" s="161"/>
      <c r="FT9" s="161"/>
      <c r="FU9" s="161"/>
      <c r="FV9" s="161"/>
      <c r="FW9" s="161"/>
      <c r="FX9" s="161"/>
      <c r="FY9" s="161"/>
      <c r="FZ9" s="161"/>
      <c r="GA9" s="161"/>
      <c r="GB9" s="161"/>
      <c r="GC9" s="161"/>
      <c r="GD9" s="161"/>
      <c r="GE9" s="161"/>
      <c r="GF9" s="161"/>
      <c r="GG9" s="161"/>
      <c r="GH9" s="161"/>
      <c r="GI9" s="161"/>
      <c r="GJ9" s="161"/>
      <c r="GK9" s="161"/>
      <c r="GL9" s="161"/>
      <c r="GM9" s="161"/>
      <c r="GN9" s="161"/>
      <c r="GO9" s="161"/>
      <c r="GP9" s="161"/>
      <c r="GQ9" s="161"/>
      <c r="GR9" s="161"/>
      <c r="GS9" s="161"/>
      <c r="GT9" s="161"/>
      <c r="GU9" s="161"/>
      <c r="GV9" s="161"/>
      <c r="GW9" s="161"/>
      <c r="GX9" s="161"/>
      <c r="GY9" s="161"/>
      <c r="GZ9" s="161"/>
      <c r="HA9" s="161"/>
      <c r="HB9" s="161"/>
      <c r="HC9" s="161"/>
      <c r="HD9" s="161"/>
      <c r="HE9" s="161"/>
      <c r="HF9" s="161"/>
      <c r="HG9" s="161"/>
      <c r="HH9" s="161"/>
      <c r="HI9" s="161"/>
      <c r="HJ9" s="161"/>
      <c r="HK9" s="161"/>
      <c r="HL9" s="161"/>
      <c r="HM9" s="162">
        <v>3</v>
      </c>
      <c r="HN9" s="162">
        <v>2</v>
      </c>
      <c r="HO9" s="162">
        <v>4</v>
      </c>
      <c r="HP9" s="162">
        <v>5</v>
      </c>
      <c r="HQ9" s="162">
        <v>3</v>
      </c>
      <c r="HR9" s="162">
        <v>6</v>
      </c>
      <c r="HS9" s="162">
        <v>3</v>
      </c>
      <c r="HT9" s="162">
        <v>2</v>
      </c>
      <c r="HU9" s="162">
        <v>4</v>
      </c>
      <c r="HV9" s="162">
        <v>5</v>
      </c>
      <c r="HW9" s="162">
        <v>3</v>
      </c>
      <c r="HX9" s="162">
        <v>6</v>
      </c>
      <c r="HY9" s="163" t="str">
        <f t="shared" si="0"/>
        <v>OK</v>
      </c>
      <c r="HZ9" s="164" t="str">
        <f>IF($HY9&lt;&gt;"OK","",Hasil!$AU9)</f>
        <v>RC</v>
      </c>
      <c r="IA9" s="164" t="str">
        <f>IF($HY9&lt;&gt;"OK","",Hasil!$AV9)</f>
        <v>Tinggi</v>
      </c>
    </row>
    <row r="10" spans="1:235" ht="13.4" customHeight="1">
      <c r="A10" s="160">
        <v>6</v>
      </c>
      <c r="B10" s="160" t="s">
        <v>291</v>
      </c>
      <c r="C10" s="160" t="s">
        <v>292</v>
      </c>
      <c r="D10" s="160" t="s">
        <v>282</v>
      </c>
      <c r="E10" s="161">
        <v>1</v>
      </c>
      <c r="F10" s="161">
        <v>1</v>
      </c>
      <c r="G10" s="161">
        <v>1</v>
      </c>
      <c r="H10" s="161">
        <v>1</v>
      </c>
      <c r="I10" s="161"/>
      <c r="J10" s="161"/>
      <c r="K10" s="161">
        <v>1</v>
      </c>
      <c r="L10" s="161"/>
      <c r="M10" s="161">
        <v>1</v>
      </c>
      <c r="N10" s="161"/>
      <c r="O10" s="161">
        <v>1</v>
      </c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>
        <v>1</v>
      </c>
      <c r="BT10" s="161">
        <v>1</v>
      </c>
      <c r="BU10" s="161">
        <v>1</v>
      </c>
      <c r="BV10" s="161">
        <v>1</v>
      </c>
      <c r="BW10" s="161"/>
      <c r="BX10" s="161"/>
      <c r="BY10" s="161">
        <v>1</v>
      </c>
      <c r="BZ10" s="161"/>
      <c r="CA10" s="161">
        <v>1</v>
      </c>
      <c r="CB10" s="161"/>
      <c r="CC10" s="161">
        <v>1</v>
      </c>
      <c r="CD10" s="161"/>
      <c r="CE10" s="161"/>
      <c r="CF10" s="161"/>
      <c r="CG10" s="161"/>
      <c r="CH10" s="161"/>
      <c r="CI10" s="161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61"/>
      <c r="CU10" s="161"/>
      <c r="CV10" s="161"/>
      <c r="CW10" s="161"/>
      <c r="CX10" s="161"/>
      <c r="CY10" s="161"/>
      <c r="CZ10" s="161"/>
      <c r="DA10" s="161"/>
      <c r="DB10" s="161"/>
      <c r="DC10" s="161"/>
      <c r="DD10" s="161"/>
      <c r="DE10" s="161"/>
      <c r="DF10" s="161"/>
      <c r="DG10" s="161"/>
      <c r="DH10" s="161"/>
      <c r="DI10" s="161"/>
      <c r="DJ10" s="161"/>
      <c r="DK10" s="161"/>
      <c r="DL10" s="161"/>
      <c r="DM10" s="161"/>
      <c r="DN10" s="161"/>
      <c r="DO10" s="161"/>
      <c r="DP10" s="161"/>
      <c r="DQ10" s="161"/>
      <c r="DR10" s="161"/>
      <c r="DS10" s="161"/>
      <c r="DT10" s="161"/>
      <c r="DU10" s="161"/>
      <c r="DV10" s="161"/>
      <c r="DW10" s="161"/>
      <c r="DX10" s="161"/>
      <c r="DY10" s="161"/>
      <c r="DZ10" s="161"/>
      <c r="EA10" s="161"/>
      <c r="EB10" s="161"/>
      <c r="EC10" s="161"/>
      <c r="ED10" s="161"/>
      <c r="EE10" s="161"/>
      <c r="EF10" s="161"/>
      <c r="EG10" s="161">
        <v>1</v>
      </c>
      <c r="EH10" s="161">
        <v>1</v>
      </c>
      <c r="EI10" s="161">
        <v>1</v>
      </c>
      <c r="EJ10" s="161">
        <v>1</v>
      </c>
      <c r="EK10" s="161"/>
      <c r="EL10" s="161"/>
      <c r="EM10" s="161">
        <v>1</v>
      </c>
      <c r="EN10" s="161"/>
      <c r="EO10" s="161">
        <v>1</v>
      </c>
      <c r="EP10" s="161"/>
      <c r="EQ10" s="161">
        <v>1</v>
      </c>
      <c r="ER10" s="161"/>
      <c r="ES10" s="161"/>
      <c r="ET10" s="161"/>
      <c r="EU10" s="161"/>
      <c r="EV10" s="161"/>
      <c r="EW10" s="161"/>
      <c r="EX10" s="161"/>
      <c r="EY10" s="161"/>
      <c r="EZ10" s="161"/>
      <c r="FA10" s="161"/>
      <c r="FB10" s="161"/>
      <c r="FC10" s="161"/>
      <c r="FD10" s="161"/>
      <c r="FE10" s="161"/>
      <c r="FF10" s="161"/>
      <c r="FG10" s="161"/>
      <c r="FH10" s="161"/>
      <c r="FI10" s="161"/>
      <c r="FJ10" s="161"/>
      <c r="FK10" s="161"/>
      <c r="FL10" s="161"/>
      <c r="FM10" s="161"/>
      <c r="FN10" s="161"/>
      <c r="FO10" s="161"/>
      <c r="FP10" s="161"/>
      <c r="FQ10" s="161"/>
      <c r="FR10" s="161"/>
      <c r="FS10" s="161"/>
      <c r="FT10" s="161"/>
      <c r="FU10" s="161"/>
      <c r="FV10" s="161"/>
      <c r="FW10" s="161"/>
      <c r="FX10" s="161"/>
      <c r="FY10" s="161"/>
      <c r="FZ10" s="161"/>
      <c r="GA10" s="161"/>
      <c r="GB10" s="161"/>
      <c r="GC10" s="161"/>
      <c r="GD10" s="161"/>
      <c r="GE10" s="161"/>
      <c r="GF10" s="161"/>
      <c r="GG10" s="161"/>
      <c r="GH10" s="161"/>
      <c r="GI10" s="161"/>
      <c r="GJ10" s="161"/>
      <c r="GK10" s="161"/>
      <c r="GL10" s="161"/>
      <c r="GM10" s="161"/>
      <c r="GN10" s="161"/>
      <c r="GO10" s="161"/>
      <c r="GP10" s="161"/>
      <c r="GQ10" s="161"/>
      <c r="GR10" s="161"/>
      <c r="GS10" s="161"/>
      <c r="GT10" s="161"/>
      <c r="GU10" s="161"/>
      <c r="GV10" s="161"/>
      <c r="GW10" s="161"/>
      <c r="GX10" s="161"/>
      <c r="GY10" s="161"/>
      <c r="GZ10" s="161"/>
      <c r="HA10" s="161"/>
      <c r="HB10" s="161"/>
      <c r="HC10" s="161"/>
      <c r="HD10" s="161"/>
      <c r="HE10" s="161"/>
      <c r="HF10" s="161"/>
      <c r="HG10" s="161"/>
      <c r="HH10" s="161"/>
      <c r="HI10" s="161"/>
      <c r="HJ10" s="161"/>
      <c r="HK10" s="161"/>
      <c r="HL10" s="161"/>
      <c r="HM10" s="162">
        <v>3</v>
      </c>
      <c r="HN10" s="162">
        <v>2</v>
      </c>
      <c r="HO10" s="162">
        <v>4</v>
      </c>
      <c r="HP10" s="162">
        <v>5</v>
      </c>
      <c r="HQ10" s="162">
        <v>3</v>
      </c>
      <c r="HR10" s="162">
        <v>6</v>
      </c>
      <c r="HS10" s="162">
        <v>3</v>
      </c>
      <c r="HT10" s="162">
        <v>2</v>
      </c>
      <c r="HU10" s="162">
        <v>4</v>
      </c>
      <c r="HV10" s="162">
        <v>5</v>
      </c>
      <c r="HW10" s="162">
        <v>3</v>
      </c>
      <c r="HX10" s="162">
        <v>6</v>
      </c>
      <c r="HY10" s="163" t="str">
        <f t="shared" si="0"/>
        <v>OK</v>
      </c>
      <c r="HZ10" s="164" t="str">
        <f>IF($HY10&lt;&gt;"OK","",Hasil!$AU10)</f>
        <v>RC</v>
      </c>
      <c r="IA10" s="164" t="str">
        <f>IF($HY10&lt;&gt;"OK","",Hasil!$AV10)</f>
        <v>Tinggi</v>
      </c>
    </row>
    <row r="11" spans="1:235" ht="13.4" customHeight="1">
      <c r="A11" s="160">
        <v>7</v>
      </c>
      <c r="B11" s="160" t="s">
        <v>293</v>
      </c>
      <c r="C11" s="160" t="s">
        <v>294</v>
      </c>
      <c r="D11" s="160" t="s">
        <v>282</v>
      </c>
      <c r="E11" s="161">
        <v>1</v>
      </c>
      <c r="F11" s="161">
        <v>1</v>
      </c>
      <c r="G11" s="161">
        <v>1</v>
      </c>
      <c r="H11" s="161">
        <v>1</v>
      </c>
      <c r="I11" s="161"/>
      <c r="J11" s="161"/>
      <c r="K11" s="161">
        <v>1</v>
      </c>
      <c r="L11" s="161"/>
      <c r="M11" s="161">
        <v>1</v>
      </c>
      <c r="N11" s="161"/>
      <c r="O11" s="161">
        <v>1</v>
      </c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>
        <v>1</v>
      </c>
      <c r="BT11" s="161">
        <v>1</v>
      </c>
      <c r="BU11" s="161">
        <v>1</v>
      </c>
      <c r="BV11" s="161">
        <v>1</v>
      </c>
      <c r="BW11" s="161"/>
      <c r="BX11" s="161"/>
      <c r="BY11" s="161">
        <v>1</v>
      </c>
      <c r="BZ11" s="161"/>
      <c r="CA11" s="161">
        <v>1</v>
      </c>
      <c r="CB11" s="161"/>
      <c r="CC11" s="161">
        <v>1</v>
      </c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161"/>
      <c r="DL11" s="161"/>
      <c r="DM11" s="161"/>
      <c r="DN11" s="161"/>
      <c r="DO11" s="161"/>
      <c r="DP11" s="161"/>
      <c r="DQ11" s="161"/>
      <c r="DR11" s="161"/>
      <c r="DS11" s="161"/>
      <c r="DT11" s="161"/>
      <c r="DU11" s="161"/>
      <c r="DV11" s="161"/>
      <c r="DW11" s="161"/>
      <c r="DX11" s="161"/>
      <c r="DY11" s="161"/>
      <c r="DZ11" s="161"/>
      <c r="EA11" s="161"/>
      <c r="EB11" s="161"/>
      <c r="EC11" s="161"/>
      <c r="ED11" s="161"/>
      <c r="EE11" s="161"/>
      <c r="EF11" s="161"/>
      <c r="EG11" s="161">
        <v>1</v>
      </c>
      <c r="EH11" s="161">
        <v>1</v>
      </c>
      <c r="EI11" s="161">
        <v>1</v>
      </c>
      <c r="EJ11" s="161">
        <v>1</v>
      </c>
      <c r="EK11" s="161"/>
      <c r="EL11" s="161"/>
      <c r="EM11" s="161">
        <v>1</v>
      </c>
      <c r="EN11" s="161"/>
      <c r="EO11" s="161">
        <v>1</v>
      </c>
      <c r="EP11" s="161"/>
      <c r="EQ11" s="161">
        <v>1</v>
      </c>
      <c r="ER11" s="161"/>
      <c r="ES11" s="161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1"/>
      <c r="FE11" s="161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1"/>
      <c r="FQ11" s="161"/>
      <c r="FR11" s="161"/>
      <c r="FS11" s="161"/>
      <c r="FT11" s="161"/>
      <c r="FU11" s="161"/>
      <c r="FV11" s="161"/>
      <c r="FW11" s="161"/>
      <c r="FX11" s="161"/>
      <c r="FY11" s="161"/>
      <c r="FZ11" s="161"/>
      <c r="GA11" s="161"/>
      <c r="GB11" s="161"/>
      <c r="GC11" s="161"/>
      <c r="GD11" s="161"/>
      <c r="GE11" s="161"/>
      <c r="GF11" s="161"/>
      <c r="GG11" s="161"/>
      <c r="GH11" s="161"/>
      <c r="GI11" s="161"/>
      <c r="GJ11" s="161"/>
      <c r="GK11" s="161"/>
      <c r="GL11" s="161"/>
      <c r="GM11" s="161"/>
      <c r="GN11" s="161"/>
      <c r="GO11" s="161"/>
      <c r="GP11" s="161"/>
      <c r="GQ11" s="161"/>
      <c r="GR11" s="161"/>
      <c r="GS11" s="161"/>
      <c r="GT11" s="161"/>
      <c r="GU11" s="161"/>
      <c r="GV11" s="161"/>
      <c r="GW11" s="161"/>
      <c r="GX11" s="161"/>
      <c r="GY11" s="161"/>
      <c r="GZ11" s="161"/>
      <c r="HA11" s="161"/>
      <c r="HB11" s="161"/>
      <c r="HC11" s="161"/>
      <c r="HD11" s="161"/>
      <c r="HE11" s="161"/>
      <c r="HF11" s="161"/>
      <c r="HG11" s="161"/>
      <c r="HH11" s="161"/>
      <c r="HI11" s="161"/>
      <c r="HJ11" s="161"/>
      <c r="HK11" s="161"/>
      <c r="HL11" s="161"/>
      <c r="HM11" s="162">
        <v>3</v>
      </c>
      <c r="HN11" s="162">
        <v>2</v>
      </c>
      <c r="HO11" s="162">
        <v>4</v>
      </c>
      <c r="HP11" s="162">
        <v>5</v>
      </c>
      <c r="HQ11" s="162">
        <v>3</v>
      </c>
      <c r="HR11" s="162">
        <v>6</v>
      </c>
      <c r="HS11" s="162">
        <v>3</v>
      </c>
      <c r="HT11" s="162">
        <v>2</v>
      </c>
      <c r="HU11" s="162">
        <v>4</v>
      </c>
      <c r="HV11" s="162">
        <v>5</v>
      </c>
      <c r="HW11" s="162">
        <v>3</v>
      </c>
      <c r="HX11" s="162">
        <v>6</v>
      </c>
      <c r="HY11" s="163" t="str">
        <f t="shared" si="0"/>
        <v>OK</v>
      </c>
      <c r="HZ11" s="164" t="str">
        <f>IF($HY11&lt;&gt;"OK","",Hasil!$AU11)</f>
        <v>RC</v>
      </c>
      <c r="IA11" s="164" t="str">
        <f>IF($HY11&lt;&gt;"OK","",Hasil!$AV11)</f>
        <v>Tinggi</v>
      </c>
    </row>
    <row r="12" spans="1:235" ht="13.4" customHeight="1">
      <c r="A12" s="160">
        <v>8</v>
      </c>
      <c r="B12" s="160" t="s">
        <v>295</v>
      </c>
      <c r="C12" s="160" t="s">
        <v>296</v>
      </c>
      <c r="D12" s="160" t="s">
        <v>282</v>
      </c>
      <c r="E12" s="161">
        <v>1</v>
      </c>
      <c r="F12" s="161"/>
      <c r="G12" s="161"/>
      <c r="H12" s="161"/>
      <c r="I12" s="161"/>
      <c r="J12" s="161"/>
      <c r="K12" s="161">
        <v>1</v>
      </c>
      <c r="L12" s="161"/>
      <c r="M12" s="161">
        <v>1</v>
      </c>
      <c r="N12" s="161"/>
      <c r="O12" s="161">
        <v>1</v>
      </c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1"/>
      <c r="DY12" s="161"/>
      <c r="DZ12" s="161"/>
      <c r="EA12" s="161"/>
      <c r="EB12" s="161"/>
      <c r="EC12" s="161"/>
      <c r="ED12" s="161"/>
      <c r="EE12" s="161"/>
      <c r="EF12" s="161"/>
      <c r="EG12" s="161"/>
      <c r="EH12" s="161"/>
      <c r="EI12" s="161"/>
      <c r="EJ12" s="161"/>
      <c r="EK12" s="161"/>
      <c r="EL12" s="161"/>
      <c r="EM12" s="161"/>
      <c r="EN12" s="161"/>
      <c r="EO12" s="161"/>
      <c r="EP12" s="161"/>
      <c r="EQ12" s="161"/>
      <c r="ER12" s="161"/>
      <c r="ES12" s="161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1"/>
      <c r="FE12" s="161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  <c r="FZ12" s="161"/>
      <c r="GA12" s="161"/>
      <c r="GB12" s="161"/>
      <c r="GC12" s="161"/>
      <c r="GD12" s="161"/>
      <c r="GE12" s="161"/>
      <c r="GF12" s="161"/>
      <c r="GG12" s="161"/>
      <c r="GH12" s="161"/>
      <c r="GI12" s="161"/>
      <c r="GJ12" s="161"/>
      <c r="GK12" s="161"/>
      <c r="GL12" s="161"/>
      <c r="GM12" s="161"/>
      <c r="GN12" s="161"/>
      <c r="GO12" s="161"/>
      <c r="GP12" s="161"/>
      <c r="GQ12" s="161"/>
      <c r="GR12" s="161"/>
      <c r="GS12" s="161"/>
      <c r="GT12" s="161"/>
      <c r="GU12" s="161"/>
      <c r="GV12" s="161"/>
      <c r="GW12" s="161"/>
      <c r="GX12" s="161"/>
      <c r="GY12" s="161"/>
      <c r="GZ12" s="161"/>
      <c r="HA12" s="161"/>
      <c r="HB12" s="161"/>
      <c r="HC12" s="161"/>
      <c r="HD12" s="161"/>
      <c r="HE12" s="161"/>
      <c r="HF12" s="161"/>
      <c r="HG12" s="161"/>
      <c r="HH12" s="161"/>
      <c r="HI12" s="161"/>
      <c r="HJ12" s="161"/>
      <c r="HK12" s="161"/>
      <c r="HL12" s="161"/>
      <c r="HM12" s="162"/>
      <c r="HN12" s="162"/>
      <c r="HO12" s="162"/>
      <c r="HP12" s="162"/>
      <c r="HQ12" s="162"/>
      <c r="HR12" s="162"/>
      <c r="HS12" s="162"/>
      <c r="HT12" s="162"/>
      <c r="HU12" s="162"/>
      <c r="HV12" s="162"/>
      <c r="HW12" s="162"/>
      <c r="HX12" s="162"/>
      <c r="HY12" s="163" t="str">
        <f t="shared" si="0"/>
        <v>Lengkapi 12 Self Estimate</v>
      </c>
      <c r="HZ12" s="164" t="str">
        <f>IF($HY12&lt;&gt;"OK","",Hasil!$AU12)</f>
        <v/>
      </c>
      <c r="IA12" s="164" t="str">
        <f>IF($HY12&lt;&gt;"OK","",Hasil!$AV12)</f>
        <v/>
      </c>
    </row>
    <row r="13" spans="1:235" ht="13.4" customHeight="1">
      <c r="A13" s="160">
        <v>9</v>
      </c>
      <c r="B13" s="160" t="s">
        <v>297</v>
      </c>
      <c r="C13" s="160" t="s">
        <v>298</v>
      </c>
      <c r="D13" s="160" t="s">
        <v>282</v>
      </c>
      <c r="E13" s="161">
        <v>1</v>
      </c>
      <c r="F13" s="161"/>
      <c r="G13" s="161"/>
      <c r="H13" s="161"/>
      <c r="I13" s="161"/>
      <c r="J13" s="161"/>
      <c r="K13" s="161">
        <v>1</v>
      </c>
      <c r="L13" s="161"/>
      <c r="M13" s="161">
        <v>1</v>
      </c>
      <c r="N13" s="161"/>
      <c r="O13" s="161">
        <v>1</v>
      </c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1"/>
      <c r="DY13" s="161"/>
      <c r="DZ13" s="161"/>
      <c r="EA13" s="161"/>
      <c r="EB13" s="161"/>
      <c r="EC13" s="161"/>
      <c r="ED13" s="161"/>
      <c r="EE13" s="161"/>
      <c r="EF13" s="161"/>
      <c r="EG13" s="161"/>
      <c r="EH13" s="161"/>
      <c r="EI13" s="161"/>
      <c r="EJ13" s="161"/>
      <c r="EK13" s="161"/>
      <c r="EL13" s="161"/>
      <c r="EM13" s="161"/>
      <c r="EN13" s="161"/>
      <c r="EO13" s="161"/>
      <c r="EP13" s="161"/>
      <c r="EQ13" s="161"/>
      <c r="ER13" s="161"/>
      <c r="ES13" s="161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1"/>
      <c r="FE13" s="161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1"/>
      <c r="GK13" s="161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2"/>
      <c r="HN13" s="162"/>
      <c r="HO13" s="162"/>
      <c r="HP13" s="162"/>
      <c r="HQ13" s="162"/>
      <c r="HR13" s="162"/>
      <c r="HS13" s="162"/>
      <c r="HT13" s="162"/>
      <c r="HU13" s="162"/>
      <c r="HV13" s="162"/>
      <c r="HW13" s="162"/>
      <c r="HX13" s="162"/>
      <c r="HY13" s="163" t="str">
        <f t="shared" si="0"/>
        <v>Lengkapi 12 Self Estimate</v>
      </c>
      <c r="HZ13" s="164" t="str">
        <f>IF($HY13&lt;&gt;"OK","",Hasil!$AU13)</f>
        <v/>
      </c>
      <c r="IA13" s="164" t="str">
        <f>IF($HY13&lt;&gt;"OK","",Hasil!$AV13)</f>
        <v/>
      </c>
    </row>
    <row r="14" spans="1:235" ht="13.4" customHeight="1">
      <c r="A14" s="160">
        <v>10</v>
      </c>
      <c r="B14" s="160" t="s">
        <v>299</v>
      </c>
      <c r="C14" s="160" t="s">
        <v>300</v>
      </c>
      <c r="D14" s="160" t="s">
        <v>282</v>
      </c>
      <c r="E14" s="161">
        <v>1</v>
      </c>
      <c r="F14" s="161"/>
      <c r="G14" s="161"/>
      <c r="H14" s="161"/>
      <c r="I14" s="161"/>
      <c r="J14" s="161"/>
      <c r="K14" s="161">
        <v>1</v>
      </c>
      <c r="L14" s="161"/>
      <c r="M14" s="161">
        <v>1</v>
      </c>
      <c r="N14" s="161"/>
      <c r="O14" s="161">
        <v>1</v>
      </c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1"/>
      <c r="DC14" s="161"/>
      <c r="DD14" s="161"/>
      <c r="DE14" s="161"/>
      <c r="DF14" s="161"/>
      <c r="DG14" s="161"/>
      <c r="DH14" s="161"/>
      <c r="DI14" s="161"/>
      <c r="DJ14" s="161"/>
      <c r="DK14" s="161"/>
      <c r="DL14" s="161"/>
      <c r="DM14" s="161"/>
      <c r="DN14" s="161"/>
      <c r="DO14" s="161"/>
      <c r="DP14" s="161"/>
      <c r="DQ14" s="161"/>
      <c r="DR14" s="161"/>
      <c r="DS14" s="161"/>
      <c r="DT14" s="161"/>
      <c r="DU14" s="161"/>
      <c r="DV14" s="161"/>
      <c r="DW14" s="161"/>
      <c r="DX14" s="161"/>
      <c r="DY14" s="161"/>
      <c r="DZ14" s="161"/>
      <c r="EA14" s="161"/>
      <c r="EB14" s="161"/>
      <c r="EC14" s="161"/>
      <c r="ED14" s="161"/>
      <c r="EE14" s="161"/>
      <c r="EF14" s="161"/>
      <c r="EG14" s="161"/>
      <c r="EH14" s="161"/>
      <c r="EI14" s="161"/>
      <c r="EJ14" s="161"/>
      <c r="EK14" s="161"/>
      <c r="EL14" s="161"/>
      <c r="EM14" s="161"/>
      <c r="EN14" s="161"/>
      <c r="EO14" s="161"/>
      <c r="EP14" s="161"/>
      <c r="EQ14" s="161"/>
      <c r="ER14" s="161"/>
      <c r="ES14" s="161"/>
      <c r="ET14" s="161"/>
      <c r="EU14" s="161"/>
      <c r="EV14" s="161"/>
      <c r="EW14" s="161"/>
      <c r="EX14" s="161"/>
      <c r="EY14" s="161"/>
      <c r="EZ14" s="161"/>
      <c r="FA14" s="161"/>
      <c r="FB14" s="161"/>
      <c r="FC14" s="161"/>
      <c r="FD14" s="161"/>
      <c r="FE14" s="161"/>
      <c r="FF14" s="161"/>
      <c r="FG14" s="161"/>
      <c r="FH14" s="161"/>
      <c r="FI14" s="161"/>
      <c r="FJ14" s="161"/>
      <c r="FK14" s="161"/>
      <c r="FL14" s="161"/>
      <c r="FM14" s="161"/>
      <c r="FN14" s="161"/>
      <c r="FO14" s="161"/>
      <c r="FP14" s="161"/>
      <c r="FQ14" s="161"/>
      <c r="FR14" s="161"/>
      <c r="FS14" s="161"/>
      <c r="FT14" s="161"/>
      <c r="FU14" s="161"/>
      <c r="FV14" s="161"/>
      <c r="FW14" s="161"/>
      <c r="FX14" s="161"/>
      <c r="FY14" s="161"/>
      <c r="FZ14" s="161"/>
      <c r="GA14" s="161"/>
      <c r="GB14" s="161"/>
      <c r="GC14" s="161"/>
      <c r="GD14" s="161"/>
      <c r="GE14" s="161"/>
      <c r="GF14" s="161"/>
      <c r="GG14" s="161"/>
      <c r="GH14" s="161"/>
      <c r="GI14" s="161"/>
      <c r="GJ14" s="161"/>
      <c r="GK14" s="161"/>
      <c r="GL14" s="161"/>
      <c r="GM14" s="161"/>
      <c r="GN14" s="161"/>
      <c r="GO14" s="161"/>
      <c r="GP14" s="161"/>
      <c r="GQ14" s="161"/>
      <c r="GR14" s="161"/>
      <c r="GS14" s="161"/>
      <c r="GT14" s="161"/>
      <c r="GU14" s="161"/>
      <c r="GV14" s="161"/>
      <c r="GW14" s="161"/>
      <c r="GX14" s="161"/>
      <c r="GY14" s="161"/>
      <c r="GZ14" s="161"/>
      <c r="HA14" s="161"/>
      <c r="HB14" s="161"/>
      <c r="HC14" s="161"/>
      <c r="HD14" s="161"/>
      <c r="HE14" s="161"/>
      <c r="HF14" s="161"/>
      <c r="HG14" s="161"/>
      <c r="HH14" s="161"/>
      <c r="HI14" s="161"/>
      <c r="HJ14" s="161"/>
      <c r="HK14" s="161"/>
      <c r="HL14" s="161"/>
      <c r="HM14" s="162"/>
      <c r="HN14" s="162"/>
      <c r="HO14" s="162"/>
      <c r="HP14" s="162"/>
      <c r="HQ14" s="162"/>
      <c r="HR14" s="162"/>
      <c r="HS14" s="162"/>
      <c r="HT14" s="162"/>
      <c r="HU14" s="162"/>
      <c r="HV14" s="162"/>
      <c r="HW14" s="162"/>
      <c r="HX14" s="162"/>
      <c r="HY14" s="163" t="str">
        <f t="shared" si="0"/>
        <v>Lengkapi 12 Self Estimate</v>
      </c>
      <c r="HZ14" s="164" t="str">
        <f>IF($HY14&lt;&gt;"OK","",Hasil!$AU14)</f>
        <v/>
      </c>
      <c r="IA14" s="164" t="str">
        <f>IF($HY14&lt;&gt;"OK","",Hasil!$AV14)</f>
        <v/>
      </c>
    </row>
    <row r="15" spans="1:235" ht="13.4" customHeight="1">
      <c r="A15" s="160">
        <v>11</v>
      </c>
      <c r="B15" s="160" t="s">
        <v>301</v>
      </c>
      <c r="C15" s="160" t="s">
        <v>302</v>
      </c>
      <c r="D15" s="160" t="s">
        <v>282</v>
      </c>
      <c r="E15" s="161">
        <v>1</v>
      </c>
      <c r="F15" s="161"/>
      <c r="G15" s="161"/>
      <c r="H15" s="161"/>
      <c r="I15" s="161"/>
      <c r="J15" s="161"/>
      <c r="K15" s="161">
        <v>1</v>
      </c>
      <c r="L15" s="161"/>
      <c r="M15" s="161">
        <v>1</v>
      </c>
      <c r="N15" s="161"/>
      <c r="O15" s="161">
        <v>1</v>
      </c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161"/>
      <c r="CR15" s="161"/>
      <c r="CS15" s="161"/>
      <c r="CT15" s="161"/>
      <c r="CU15" s="161"/>
      <c r="CV15" s="161"/>
      <c r="CW15" s="161"/>
      <c r="CX15" s="161"/>
      <c r="CY15" s="161"/>
      <c r="CZ15" s="161"/>
      <c r="DA15" s="161"/>
      <c r="DB15" s="161"/>
      <c r="DC15" s="161"/>
      <c r="DD15" s="161"/>
      <c r="DE15" s="161"/>
      <c r="DF15" s="161"/>
      <c r="DG15" s="161"/>
      <c r="DH15" s="161"/>
      <c r="DI15" s="161"/>
      <c r="DJ15" s="161"/>
      <c r="DK15" s="161"/>
      <c r="DL15" s="161"/>
      <c r="DM15" s="161"/>
      <c r="DN15" s="161"/>
      <c r="DO15" s="161"/>
      <c r="DP15" s="161"/>
      <c r="DQ15" s="161"/>
      <c r="DR15" s="161"/>
      <c r="DS15" s="161"/>
      <c r="DT15" s="161"/>
      <c r="DU15" s="161"/>
      <c r="DV15" s="161"/>
      <c r="DW15" s="161"/>
      <c r="DX15" s="161"/>
      <c r="DY15" s="161"/>
      <c r="DZ15" s="161"/>
      <c r="EA15" s="161"/>
      <c r="EB15" s="161"/>
      <c r="EC15" s="161"/>
      <c r="ED15" s="161"/>
      <c r="EE15" s="161"/>
      <c r="EF15" s="161"/>
      <c r="EG15" s="161"/>
      <c r="EH15" s="161"/>
      <c r="EI15" s="161"/>
      <c r="EJ15" s="161"/>
      <c r="EK15" s="161"/>
      <c r="EL15" s="161"/>
      <c r="EM15" s="161"/>
      <c r="EN15" s="161"/>
      <c r="EO15" s="161"/>
      <c r="EP15" s="161"/>
      <c r="EQ15" s="161"/>
      <c r="ER15" s="161"/>
      <c r="ES15" s="161"/>
      <c r="ET15" s="161"/>
      <c r="EU15" s="161"/>
      <c r="EV15" s="161"/>
      <c r="EW15" s="161"/>
      <c r="EX15" s="161"/>
      <c r="EY15" s="161"/>
      <c r="EZ15" s="161"/>
      <c r="FA15" s="161"/>
      <c r="FB15" s="161"/>
      <c r="FC15" s="161"/>
      <c r="FD15" s="161"/>
      <c r="FE15" s="161"/>
      <c r="FF15" s="161"/>
      <c r="FG15" s="161"/>
      <c r="FH15" s="161"/>
      <c r="FI15" s="161"/>
      <c r="FJ15" s="161"/>
      <c r="FK15" s="161"/>
      <c r="FL15" s="161"/>
      <c r="FM15" s="161"/>
      <c r="FN15" s="161"/>
      <c r="FO15" s="161"/>
      <c r="FP15" s="161"/>
      <c r="FQ15" s="161"/>
      <c r="FR15" s="161"/>
      <c r="FS15" s="161"/>
      <c r="FT15" s="161"/>
      <c r="FU15" s="161"/>
      <c r="FV15" s="161"/>
      <c r="FW15" s="161"/>
      <c r="FX15" s="161"/>
      <c r="FY15" s="161"/>
      <c r="FZ15" s="161"/>
      <c r="GA15" s="161"/>
      <c r="GB15" s="161"/>
      <c r="GC15" s="161"/>
      <c r="GD15" s="161"/>
      <c r="GE15" s="161"/>
      <c r="GF15" s="161"/>
      <c r="GG15" s="161"/>
      <c r="GH15" s="161"/>
      <c r="GI15" s="161"/>
      <c r="GJ15" s="161"/>
      <c r="GK15" s="161"/>
      <c r="GL15" s="161"/>
      <c r="GM15" s="161"/>
      <c r="GN15" s="161"/>
      <c r="GO15" s="161"/>
      <c r="GP15" s="161"/>
      <c r="GQ15" s="161"/>
      <c r="GR15" s="161"/>
      <c r="GS15" s="161"/>
      <c r="GT15" s="161"/>
      <c r="GU15" s="161"/>
      <c r="GV15" s="161"/>
      <c r="GW15" s="161"/>
      <c r="GX15" s="161"/>
      <c r="GY15" s="161"/>
      <c r="GZ15" s="161"/>
      <c r="HA15" s="161"/>
      <c r="HB15" s="161"/>
      <c r="HC15" s="161"/>
      <c r="HD15" s="161"/>
      <c r="HE15" s="161"/>
      <c r="HF15" s="161"/>
      <c r="HG15" s="161"/>
      <c r="HH15" s="161"/>
      <c r="HI15" s="161"/>
      <c r="HJ15" s="161"/>
      <c r="HK15" s="161"/>
      <c r="HL15" s="161"/>
      <c r="HM15" s="162"/>
      <c r="HN15" s="162"/>
      <c r="HO15" s="162"/>
      <c r="HP15" s="162"/>
      <c r="HQ15" s="162"/>
      <c r="HR15" s="162"/>
      <c r="HS15" s="162"/>
      <c r="HT15" s="162"/>
      <c r="HU15" s="162"/>
      <c r="HV15" s="162"/>
      <c r="HW15" s="162"/>
      <c r="HX15" s="162"/>
      <c r="HY15" s="163" t="str">
        <f t="shared" si="0"/>
        <v>Lengkapi 12 Self Estimate</v>
      </c>
      <c r="HZ15" s="164" t="str">
        <f>IF($HY15&lt;&gt;"OK","",Hasil!$AU15)</f>
        <v/>
      </c>
      <c r="IA15" s="164" t="str">
        <f>IF($HY15&lt;&gt;"OK","",Hasil!$AV15)</f>
        <v/>
      </c>
    </row>
    <row r="16" spans="1:235" ht="13.4" customHeight="1">
      <c r="A16" s="160">
        <v>12</v>
      </c>
      <c r="B16" s="160" t="s">
        <v>303</v>
      </c>
      <c r="C16" s="160" t="s">
        <v>304</v>
      </c>
      <c r="D16" s="160" t="s">
        <v>282</v>
      </c>
      <c r="E16" s="161">
        <v>1</v>
      </c>
      <c r="F16" s="161"/>
      <c r="G16" s="161"/>
      <c r="H16" s="161"/>
      <c r="I16" s="161"/>
      <c r="J16" s="161"/>
      <c r="K16" s="161">
        <v>1</v>
      </c>
      <c r="L16" s="161"/>
      <c r="M16" s="161">
        <v>1</v>
      </c>
      <c r="N16" s="161"/>
      <c r="O16" s="161">
        <v>1</v>
      </c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1"/>
      <c r="DZ16" s="161"/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1"/>
      <c r="ES16" s="161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1"/>
      <c r="FL16" s="161"/>
      <c r="FM16" s="161"/>
      <c r="FN16" s="161"/>
      <c r="FO16" s="161"/>
      <c r="FP16" s="161"/>
      <c r="FQ16" s="161"/>
      <c r="FR16" s="161"/>
      <c r="FS16" s="161"/>
      <c r="FT16" s="161"/>
      <c r="FU16" s="161"/>
      <c r="FV16" s="161"/>
      <c r="FW16" s="161"/>
      <c r="FX16" s="161"/>
      <c r="FY16" s="161"/>
      <c r="FZ16" s="161"/>
      <c r="GA16" s="161"/>
      <c r="GB16" s="161"/>
      <c r="GC16" s="161"/>
      <c r="GD16" s="161"/>
      <c r="GE16" s="161"/>
      <c r="GF16" s="161"/>
      <c r="GG16" s="161"/>
      <c r="GH16" s="161"/>
      <c r="GI16" s="161"/>
      <c r="GJ16" s="161"/>
      <c r="GK16" s="161"/>
      <c r="GL16" s="161"/>
      <c r="GM16" s="161"/>
      <c r="GN16" s="161"/>
      <c r="GO16" s="161"/>
      <c r="GP16" s="161"/>
      <c r="GQ16" s="161"/>
      <c r="GR16" s="161"/>
      <c r="GS16" s="161"/>
      <c r="GT16" s="161"/>
      <c r="GU16" s="161"/>
      <c r="GV16" s="161"/>
      <c r="GW16" s="161"/>
      <c r="GX16" s="161"/>
      <c r="GY16" s="161"/>
      <c r="GZ16" s="161"/>
      <c r="HA16" s="161"/>
      <c r="HB16" s="161"/>
      <c r="HC16" s="161"/>
      <c r="HD16" s="161"/>
      <c r="HE16" s="161"/>
      <c r="HF16" s="161"/>
      <c r="HG16" s="161"/>
      <c r="HH16" s="161"/>
      <c r="HI16" s="161"/>
      <c r="HJ16" s="161"/>
      <c r="HK16" s="161"/>
      <c r="HL16" s="161"/>
      <c r="HM16" s="162"/>
      <c r="HN16" s="162"/>
      <c r="HO16" s="162"/>
      <c r="HP16" s="162"/>
      <c r="HQ16" s="162"/>
      <c r="HR16" s="162"/>
      <c r="HS16" s="162"/>
      <c r="HT16" s="162"/>
      <c r="HU16" s="162"/>
      <c r="HV16" s="162"/>
      <c r="HW16" s="162"/>
      <c r="HX16" s="162"/>
      <c r="HY16" s="163" t="str">
        <f t="shared" si="0"/>
        <v>Lengkapi 12 Self Estimate</v>
      </c>
      <c r="HZ16" s="164" t="str">
        <f>IF($HY16&lt;&gt;"OK","",Hasil!$AU16)</f>
        <v/>
      </c>
      <c r="IA16" s="164" t="str">
        <f>IF($HY16&lt;&gt;"OK","",Hasil!$AV16)</f>
        <v/>
      </c>
    </row>
    <row r="17" spans="1:235" ht="13.4" customHeight="1">
      <c r="A17" s="160">
        <v>13</v>
      </c>
      <c r="B17" s="160" t="s">
        <v>305</v>
      </c>
      <c r="C17" s="160" t="s">
        <v>306</v>
      </c>
      <c r="D17" s="160" t="s">
        <v>282</v>
      </c>
      <c r="E17" s="161">
        <v>1</v>
      </c>
      <c r="F17" s="161"/>
      <c r="G17" s="161"/>
      <c r="H17" s="161"/>
      <c r="I17" s="161"/>
      <c r="J17" s="161"/>
      <c r="K17" s="161">
        <v>1</v>
      </c>
      <c r="L17" s="161"/>
      <c r="M17" s="161">
        <v>1</v>
      </c>
      <c r="N17" s="161"/>
      <c r="O17" s="161">
        <v>1</v>
      </c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  <c r="CI17" s="161"/>
      <c r="CJ17" s="161"/>
      <c r="CK17" s="161"/>
      <c r="CL17" s="161"/>
      <c r="CM17" s="161"/>
      <c r="CN17" s="161"/>
      <c r="CO17" s="161"/>
      <c r="CP17" s="161"/>
      <c r="CQ17" s="161"/>
      <c r="CR17" s="161"/>
      <c r="CS17" s="161"/>
      <c r="CT17" s="161"/>
      <c r="CU17" s="161"/>
      <c r="CV17" s="161"/>
      <c r="CW17" s="161"/>
      <c r="CX17" s="161"/>
      <c r="CY17" s="161"/>
      <c r="CZ17" s="161"/>
      <c r="DA17" s="161"/>
      <c r="DB17" s="161"/>
      <c r="DC17" s="161"/>
      <c r="DD17" s="161"/>
      <c r="DE17" s="161"/>
      <c r="DF17" s="161"/>
      <c r="DG17" s="161"/>
      <c r="DH17" s="161"/>
      <c r="DI17" s="161"/>
      <c r="DJ17" s="161"/>
      <c r="DK17" s="161"/>
      <c r="DL17" s="161"/>
      <c r="DM17" s="161"/>
      <c r="DN17" s="161"/>
      <c r="DO17" s="161"/>
      <c r="DP17" s="161"/>
      <c r="DQ17" s="161"/>
      <c r="DR17" s="161"/>
      <c r="DS17" s="161"/>
      <c r="DT17" s="161"/>
      <c r="DU17" s="161"/>
      <c r="DV17" s="161"/>
      <c r="DW17" s="161"/>
      <c r="DX17" s="161"/>
      <c r="DY17" s="161"/>
      <c r="DZ17" s="161"/>
      <c r="EA17" s="161"/>
      <c r="EB17" s="161"/>
      <c r="EC17" s="161"/>
      <c r="ED17" s="161"/>
      <c r="EE17" s="161"/>
      <c r="EF17" s="161"/>
      <c r="EG17" s="161"/>
      <c r="EH17" s="161"/>
      <c r="EI17" s="161"/>
      <c r="EJ17" s="161"/>
      <c r="EK17" s="161"/>
      <c r="EL17" s="161"/>
      <c r="EM17" s="161"/>
      <c r="EN17" s="161"/>
      <c r="EO17" s="161"/>
      <c r="EP17" s="161"/>
      <c r="EQ17" s="161"/>
      <c r="ER17" s="161"/>
      <c r="ES17" s="161"/>
      <c r="ET17" s="161"/>
      <c r="EU17" s="161"/>
      <c r="EV17" s="161"/>
      <c r="EW17" s="161"/>
      <c r="EX17" s="161"/>
      <c r="EY17" s="161"/>
      <c r="EZ17" s="161"/>
      <c r="FA17" s="161"/>
      <c r="FB17" s="161"/>
      <c r="FC17" s="161"/>
      <c r="FD17" s="161"/>
      <c r="FE17" s="161"/>
      <c r="FF17" s="161"/>
      <c r="FG17" s="161"/>
      <c r="FH17" s="161"/>
      <c r="FI17" s="161"/>
      <c r="FJ17" s="161"/>
      <c r="FK17" s="161"/>
      <c r="FL17" s="161"/>
      <c r="FM17" s="161"/>
      <c r="FN17" s="161"/>
      <c r="FO17" s="161"/>
      <c r="FP17" s="161"/>
      <c r="FQ17" s="161"/>
      <c r="FR17" s="161"/>
      <c r="FS17" s="161"/>
      <c r="FT17" s="161"/>
      <c r="FU17" s="161"/>
      <c r="FV17" s="161"/>
      <c r="FW17" s="161"/>
      <c r="FX17" s="161"/>
      <c r="FY17" s="161"/>
      <c r="FZ17" s="161"/>
      <c r="GA17" s="161"/>
      <c r="GB17" s="161"/>
      <c r="GC17" s="161"/>
      <c r="GD17" s="161"/>
      <c r="GE17" s="161"/>
      <c r="GF17" s="161"/>
      <c r="GG17" s="161"/>
      <c r="GH17" s="161"/>
      <c r="GI17" s="161"/>
      <c r="GJ17" s="161"/>
      <c r="GK17" s="161"/>
      <c r="GL17" s="161"/>
      <c r="GM17" s="161"/>
      <c r="GN17" s="161"/>
      <c r="GO17" s="161"/>
      <c r="GP17" s="161"/>
      <c r="GQ17" s="161"/>
      <c r="GR17" s="161"/>
      <c r="GS17" s="161"/>
      <c r="GT17" s="161"/>
      <c r="GU17" s="161"/>
      <c r="GV17" s="161"/>
      <c r="GW17" s="161"/>
      <c r="GX17" s="161"/>
      <c r="GY17" s="161"/>
      <c r="GZ17" s="161"/>
      <c r="HA17" s="161"/>
      <c r="HB17" s="161"/>
      <c r="HC17" s="161"/>
      <c r="HD17" s="161"/>
      <c r="HE17" s="161"/>
      <c r="HF17" s="161"/>
      <c r="HG17" s="161"/>
      <c r="HH17" s="161"/>
      <c r="HI17" s="161"/>
      <c r="HJ17" s="161"/>
      <c r="HK17" s="161"/>
      <c r="HL17" s="161"/>
      <c r="HM17" s="162"/>
      <c r="HN17" s="162"/>
      <c r="HO17" s="162"/>
      <c r="HP17" s="162"/>
      <c r="HQ17" s="162"/>
      <c r="HR17" s="162"/>
      <c r="HS17" s="162"/>
      <c r="HT17" s="162"/>
      <c r="HU17" s="162"/>
      <c r="HV17" s="162"/>
      <c r="HW17" s="162"/>
      <c r="HX17" s="162"/>
      <c r="HY17" s="163" t="str">
        <f t="shared" si="0"/>
        <v>Lengkapi 12 Self Estimate</v>
      </c>
      <c r="HZ17" s="164" t="str">
        <f>IF($HY17&lt;&gt;"OK","",Hasil!$AU17)</f>
        <v/>
      </c>
      <c r="IA17" s="164" t="str">
        <f>IF($HY17&lt;&gt;"OK","",Hasil!$AV17)</f>
        <v/>
      </c>
    </row>
    <row r="18" spans="1:235" ht="13.4" customHeight="1">
      <c r="A18" s="160">
        <v>14</v>
      </c>
      <c r="B18" s="160" t="s">
        <v>307</v>
      </c>
      <c r="C18" s="160" t="s">
        <v>308</v>
      </c>
      <c r="D18" s="160" t="s">
        <v>282</v>
      </c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  <c r="CZ18" s="161"/>
      <c r="DA18" s="161"/>
      <c r="DB18" s="161"/>
      <c r="DC18" s="161"/>
      <c r="DD18" s="161"/>
      <c r="DE18" s="161"/>
      <c r="DF18" s="161"/>
      <c r="DG18" s="161"/>
      <c r="DH18" s="161"/>
      <c r="DI18" s="161"/>
      <c r="DJ18" s="161"/>
      <c r="DK18" s="161"/>
      <c r="DL18" s="161"/>
      <c r="DM18" s="161"/>
      <c r="DN18" s="161"/>
      <c r="DO18" s="161"/>
      <c r="DP18" s="161"/>
      <c r="DQ18" s="161"/>
      <c r="DR18" s="161"/>
      <c r="DS18" s="161"/>
      <c r="DT18" s="161"/>
      <c r="DU18" s="161"/>
      <c r="DV18" s="161"/>
      <c r="DW18" s="161"/>
      <c r="DX18" s="161"/>
      <c r="DY18" s="161"/>
      <c r="DZ18" s="161"/>
      <c r="EA18" s="161"/>
      <c r="EB18" s="161"/>
      <c r="EC18" s="161"/>
      <c r="ED18" s="161"/>
      <c r="EE18" s="161"/>
      <c r="EF18" s="161"/>
      <c r="EG18" s="161"/>
      <c r="EH18" s="161"/>
      <c r="EI18" s="161"/>
      <c r="EJ18" s="161"/>
      <c r="EK18" s="161"/>
      <c r="EL18" s="161"/>
      <c r="EM18" s="161"/>
      <c r="EN18" s="161"/>
      <c r="EO18" s="161"/>
      <c r="EP18" s="161"/>
      <c r="EQ18" s="161"/>
      <c r="ER18" s="161"/>
      <c r="ES18" s="161"/>
      <c r="ET18" s="161"/>
      <c r="EU18" s="161"/>
      <c r="EV18" s="161"/>
      <c r="EW18" s="161"/>
      <c r="EX18" s="161"/>
      <c r="EY18" s="161"/>
      <c r="EZ18" s="161"/>
      <c r="FA18" s="161"/>
      <c r="FB18" s="161"/>
      <c r="FC18" s="161"/>
      <c r="FD18" s="161"/>
      <c r="FE18" s="161"/>
      <c r="FF18" s="161"/>
      <c r="FG18" s="161"/>
      <c r="FH18" s="161"/>
      <c r="FI18" s="161"/>
      <c r="FJ18" s="161"/>
      <c r="FK18" s="161"/>
      <c r="FL18" s="161"/>
      <c r="FM18" s="161"/>
      <c r="FN18" s="161"/>
      <c r="FO18" s="161"/>
      <c r="FP18" s="161"/>
      <c r="FQ18" s="161"/>
      <c r="FR18" s="161"/>
      <c r="FS18" s="161"/>
      <c r="FT18" s="161"/>
      <c r="FU18" s="161"/>
      <c r="FV18" s="161"/>
      <c r="FW18" s="161"/>
      <c r="FX18" s="161"/>
      <c r="FY18" s="161"/>
      <c r="FZ18" s="161"/>
      <c r="GA18" s="161"/>
      <c r="GB18" s="161"/>
      <c r="GC18" s="161"/>
      <c r="GD18" s="161"/>
      <c r="GE18" s="161"/>
      <c r="GF18" s="161"/>
      <c r="GG18" s="161"/>
      <c r="GH18" s="161"/>
      <c r="GI18" s="161"/>
      <c r="GJ18" s="161"/>
      <c r="GK18" s="161"/>
      <c r="GL18" s="161"/>
      <c r="GM18" s="161"/>
      <c r="GN18" s="161"/>
      <c r="GO18" s="161"/>
      <c r="GP18" s="161"/>
      <c r="GQ18" s="161"/>
      <c r="GR18" s="161"/>
      <c r="GS18" s="161"/>
      <c r="GT18" s="161"/>
      <c r="GU18" s="161"/>
      <c r="GV18" s="161"/>
      <c r="GW18" s="161"/>
      <c r="GX18" s="161"/>
      <c r="GY18" s="161"/>
      <c r="GZ18" s="161"/>
      <c r="HA18" s="161"/>
      <c r="HB18" s="161"/>
      <c r="HC18" s="161"/>
      <c r="HD18" s="161"/>
      <c r="HE18" s="161"/>
      <c r="HF18" s="161"/>
      <c r="HG18" s="161"/>
      <c r="HH18" s="161"/>
      <c r="HI18" s="161"/>
      <c r="HJ18" s="161"/>
      <c r="HK18" s="161"/>
      <c r="HL18" s="161"/>
      <c r="HM18" s="162"/>
      <c r="HN18" s="162"/>
      <c r="HO18" s="162"/>
      <c r="HP18" s="162"/>
      <c r="HQ18" s="162"/>
      <c r="HR18" s="162"/>
      <c r="HS18" s="162"/>
      <c r="HT18" s="162"/>
      <c r="HU18" s="162"/>
      <c r="HV18" s="162"/>
      <c r="HW18" s="162"/>
      <c r="HX18" s="162"/>
      <c r="HY18" s="163" t="str">
        <f t="shared" si="0"/>
        <v>Lengkapi 12 Self Estimate</v>
      </c>
      <c r="HZ18" s="164" t="str">
        <f>IF($HY18&lt;&gt;"OK","",Hasil!$AU18)</f>
        <v/>
      </c>
      <c r="IA18" s="164" t="str">
        <f>IF($HY18&lt;&gt;"OK","",Hasil!$AV18)</f>
        <v/>
      </c>
    </row>
    <row r="19" spans="1:235" ht="13.4" customHeight="1">
      <c r="A19" s="160">
        <v>15</v>
      </c>
      <c r="B19" s="160" t="s">
        <v>309</v>
      </c>
      <c r="C19" s="160" t="s">
        <v>310</v>
      </c>
      <c r="D19" s="160" t="s">
        <v>282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  <c r="CV19" s="161"/>
      <c r="CW19" s="161"/>
      <c r="CX19" s="161"/>
      <c r="CY19" s="161"/>
      <c r="CZ19" s="161"/>
      <c r="DA19" s="161"/>
      <c r="DB19" s="161"/>
      <c r="DC19" s="161"/>
      <c r="DD19" s="161"/>
      <c r="DE19" s="161"/>
      <c r="DF19" s="161"/>
      <c r="DG19" s="161"/>
      <c r="DH19" s="161"/>
      <c r="DI19" s="161"/>
      <c r="DJ19" s="161"/>
      <c r="DK19" s="161"/>
      <c r="DL19" s="161"/>
      <c r="DM19" s="161"/>
      <c r="DN19" s="161"/>
      <c r="DO19" s="161"/>
      <c r="DP19" s="161"/>
      <c r="DQ19" s="161"/>
      <c r="DR19" s="161"/>
      <c r="DS19" s="161"/>
      <c r="DT19" s="161"/>
      <c r="DU19" s="161"/>
      <c r="DV19" s="161"/>
      <c r="DW19" s="161"/>
      <c r="DX19" s="161"/>
      <c r="DY19" s="161"/>
      <c r="DZ19" s="161"/>
      <c r="EA19" s="161"/>
      <c r="EB19" s="161"/>
      <c r="EC19" s="161"/>
      <c r="ED19" s="161"/>
      <c r="EE19" s="161"/>
      <c r="EF19" s="161"/>
      <c r="EG19" s="161"/>
      <c r="EH19" s="161"/>
      <c r="EI19" s="161"/>
      <c r="EJ19" s="161"/>
      <c r="EK19" s="161"/>
      <c r="EL19" s="161"/>
      <c r="EM19" s="161"/>
      <c r="EN19" s="161"/>
      <c r="EO19" s="161"/>
      <c r="EP19" s="161"/>
      <c r="EQ19" s="161"/>
      <c r="ER19" s="161"/>
      <c r="ES19" s="161"/>
      <c r="ET19" s="161"/>
      <c r="EU19" s="161"/>
      <c r="EV19" s="161"/>
      <c r="EW19" s="161"/>
      <c r="EX19" s="161"/>
      <c r="EY19" s="161"/>
      <c r="EZ19" s="161"/>
      <c r="FA19" s="161"/>
      <c r="FB19" s="161"/>
      <c r="FC19" s="161"/>
      <c r="FD19" s="161"/>
      <c r="FE19" s="161"/>
      <c r="FF19" s="161"/>
      <c r="FG19" s="161"/>
      <c r="FH19" s="161"/>
      <c r="FI19" s="161"/>
      <c r="FJ19" s="161"/>
      <c r="FK19" s="161"/>
      <c r="FL19" s="161"/>
      <c r="FM19" s="161"/>
      <c r="FN19" s="161"/>
      <c r="FO19" s="161"/>
      <c r="FP19" s="161"/>
      <c r="FQ19" s="161"/>
      <c r="FR19" s="161"/>
      <c r="FS19" s="161"/>
      <c r="FT19" s="161"/>
      <c r="FU19" s="161"/>
      <c r="FV19" s="161"/>
      <c r="FW19" s="161"/>
      <c r="FX19" s="161"/>
      <c r="FY19" s="161"/>
      <c r="FZ19" s="161"/>
      <c r="GA19" s="161"/>
      <c r="GB19" s="161"/>
      <c r="GC19" s="161"/>
      <c r="GD19" s="161"/>
      <c r="GE19" s="161"/>
      <c r="GF19" s="161"/>
      <c r="GG19" s="161"/>
      <c r="GH19" s="161"/>
      <c r="GI19" s="161"/>
      <c r="GJ19" s="161"/>
      <c r="GK19" s="161"/>
      <c r="GL19" s="161"/>
      <c r="GM19" s="161"/>
      <c r="GN19" s="161"/>
      <c r="GO19" s="161"/>
      <c r="GP19" s="161"/>
      <c r="GQ19" s="161"/>
      <c r="GR19" s="161"/>
      <c r="GS19" s="161"/>
      <c r="GT19" s="161"/>
      <c r="GU19" s="161"/>
      <c r="GV19" s="161"/>
      <c r="GW19" s="161"/>
      <c r="GX19" s="161"/>
      <c r="GY19" s="161"/>
      <c r="GZ19" s="161"/>
      <c r="HA19" s="161"/>
      <c r="HB19" s="161"/>
      <c r="HC19" s="161"/>
      <c r="HD19" s="161"/>
      <c r="HE19" s="161"/>
      <c r="HF19" s="161"/>
      <c r="HG19" s="161"/>
      <c r="HH19" s="161"/>
      <c r="HI19" s="161"/>
      <c r="HJ19" s="161"/>
      <c r="HK19" s="161"/>
      <c r="HL19" s="161"/>
      <c r="HM19" s="162"/>
      <c r="HN19" s="162"/>
      <c r="HO19" s="162"/>
      <c r="HP19" s="162"/>
      <c r="HQ19" s="162"/>
      <c r="HR19" s="162"/>
      <c r="HS19" s="162"/>
      <c r="HT19" s="162"/>
      <c r="HU19" s="162"/>
      <c r="HV19" s="162"/>
      <c r="HW19" s="162"/>
      <c r="HX19" s="162"/>
      <c r="HY19" s="163" t="str">
        <f t="shared" si="0"/>
        <v>Lengkapi 12 Self Estimate</v>
      </c>
      <c r="HZ19" s="164" t="str">
        <f>IF($HY19&lt;&gt;"OK","",Hasil!$AU19)</f>
        <v/>
      </c>
      <c r="IA19" s="164" t="str">
        <f>IF($HY19&lt;&gt;"OK","",Hasil!$AV19)</f>
        <v/>
      </c>
    </row>
    <row r="20" spans="1:235" ht="13.4" customHeight="1">
      <c r="A20" s="160">
        <v>16</v>
      </c>
      <c r="B20" s="160" t="s">
        <v>311</v>
      </c>
      <c r="C20" s="160" t="s">
        <v>312</v>
      </c>
      <c r="D20" s="160" t="s">
        <v>282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  <c r="CI20" s="161"/>
      <c r="CJ20" s="161"/>
      <c r="CK20" s="161"/>
      <c r="CL20" s="161"/>
      <c r="CM20" s="161"/>
      <c r="CN20" s="161"/>
      <c r="CO20" s="161"/>
      <c r="CP20" s="161"/>
      <c r="CQ20" s="161"/>
      <c r="CR20" s="161"/>
      <c r="CS20" s="161"/>
      <c r="CT20" s="161"/>
      <c r="CU20" s="161"/>
      <c r="CV20" s="161"/>
      <c r="CW20" s="161"/>
      <c r="CX20" s="161"/>
      <c r="CY20" s="161"/>
      <c r="CZ20" s="161"/>
      <c r="DA20" s="161"/>
      <c r="DB20" s="161"/>
      <c r="DC20" s="161"/>
      <c r="DD20" s="161"/>
      <c r="DE20" s="161"/>
      <c r="DF20" s="161"/>
      <c r="DG20" s="161"/>
      <c r="DH20" s="161"/>
      <c r="DI20" s="161"/>
      <c r="DJ20" s="161"/>
      <c r="DK20" s="161"/>
      <c r="DL20" s="161"/>
      <c r="DM20" s="161"/>
      <c r="DN20" s="161"/>
      <c r="DO20" s="161"/>
      <c r="DP20" s="161"/>
      <c r="DQ20" s="161"/>
      <c r="DR20" s="161"/>
      <c r="DS20" s="161"/>
      <c r="DT20" s="161"/>
      <c r="DU20" s="161"/>
      <c r="DV20" s="161"/>
      <c r="DW20" s="161"/>
      <c r="DX20" s="161"/>
      <c r="DY20" s="161"/>
      <c r="DZ20" s="161"/>
      <c r="EA20" s="161"/>
      <c r="EB20" s="161"/>
      <c r="EC20" s="161"/>
      <c r="ED20" s="161"/>
      <c r="EE20" s="161"/>
      <c r="EF20" s="161"/>
      <c r="EG20" s="161"/>
      <c r="EH20" s="161"/>
      <c r="EI20" s="161"/>
      <c r="EJ20" s="161"/>
      <c r="EK20" s="161"/>
      <c r="EL20" s="161"/>
      <c r="EM20" s="161"/>
      <c r="EN20" s="161"/>
      <c r="EO20" s="161"/>
      <c r="EP20" s="161"/>
      <c r="EQ20" s="161"/>
      <c r="ER20" s="161"/>
      <c r="ES20" s="161"/>
      <c r="ET20" s="161"/>
      <c r="EU20" s="161"/>
      <c r="EV20" s="161"/>
      <c r="EW20" s="161"/>
      <c r="EX20" s="161"/>
      <c r="EY20" s="161"/>
      <c r="EZ20" s="161"/>
      <c r="FA20" s="161"/>
      <c r="FB20" s="161"/>
      <c r="FC20" s="161"/>
      <c r="FD20" s="161"/>
      <c r="FE20" s="161"/>
      <c r="FF20" s="161"/>
      <c r="FG20" s="161"/>
      <c r="FH20" s="161"/>
      <c r="FI20" s="161"/>
      <c r="FJ20" s="161"/>
      <c r="FK20" s="161"/>
      <c r="FL20" s="161"/>
      <c r="FM20" s="161"/>
      <c r="FN20" s="161"/>
      <c r="FO20" s="161"/>
      <c r="FP20" s="161"/>
      <c r="FQ20" s="161"/>
      <c r="FR20" s="161"/>
      <c r="FS20" s="161"/>
      <c r="FT20" s="161"/>
      <c r="FU20" s="161"/>
      <c r="FV20" s="161"/>
      <c r="FW20" s="161"/>
      <c r="FX20" s="161"/>
      <c r="FY20" s="161"/>
      <c r="FZ20" s="161"/>
      <c r="GA20" s="161"/>
      <c r="GB20" s="161"/>
      <c r="GC20" s="161"/>
      <c r="GD20" s="161"/>
      <c r="GE20" s="161"/>
      <c r="GF20" s="161"/>
      <c r="GG20" s="161"/>
      <c r="GH20" s="161"/>
      <c r="GI20" s="161"/>
      <c r="GJ20" s="161"/>
      <c r="GK20" s="161"/>
      <c r="GL20" s="161"/>
      <c r="GM20" s="161"/>
      <c r="GN20" s="161"/>
      <c r="GO20" s="161"/>
      <c r="GP20" s="161"/>
      <c r="GQ20" s="161"/>
      <c r="GR20" s="161"/>
      <c r="GS20" s="161"/>
      <c r="GT20" s="161"/>
      <c r="GU20" s="161"/>
      <c r="GV20" s="161"/>
      <c r="GW20" s="161"/>
      <c r="GX20" s="161"/>
      <c r="GY20" s="161"/>
      <c r="GZ20" s="161"/>
      <c r="HA20" s="161"/>
      <c r="HB20" s="161"/>
      <c r="HC20" s="161"/>
      <c r="HD20" s="161"/>
      <c r="HE20" s="161"/>
      <c r="HF20" s="161"/>
      <c r="HG20" s="161"/>
      <c r="HH20" s="161"/>
      <c r="HI20" s="161"/>
      <c r="HJ20" s="161"/>
      <c r="HK20" s="161"/>
      <c r="HL20" s="161"/>
      <c r="HM20" s="162"/>
      <c r="HN20" s="162"/>
      <c r="HO20" s="162"/>
      <c r="HP20" s="162"/>
      <c r="HQ20" s="162"/>
      <c r="HR20" s="162"/>
      <c r="HS20" s="162"/>
      <c r="HT20" s="162"/>
      <c r="HU20" s="162"/>
      <c r="HV20" s="162"/>
      <c r="HW20" s="162"/>
      <c r="HX20" s="162"/>
      <c r="HY20" s="163" t="str">
        <f t="shared" si="0"/>
        <v>Lengkapi 12 Self Estimate</v>
      </c>
      <c r="HZ20" s="164" t="str">
        <f>IF($HY20&lt;&gt;"OK","",Hasil!$AU20)</f>
        <v/>
      </c>
      <c r="IA20" s="164" t="str">
        <f>IF($HY20&lt;&gt;"OK","",Hasil!$AV20)</f>
        <v/>
      </c>
    </row>
    <row r="21" spans="1:235" ht="13.4" customHeight="1">
      <c r="A21" s="160">
        <v>17</v>
      </c>
      <c r="B21" s="160" t="s">
        <v>313</v>
      </c>
      <c r="C21" s="160" t="s">
        <v>314</v>
      </c>
      <c r="D21" s="160" t="s">
        <v>282</v>
      </c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  <c r="DV21" s="161"/>
      <c r="DW21" s="161"/>
      <c r="DX21" s="161"/>
      <c r="DY21" s="161"/>
      <c r="DZ21" s="161"/>
      <c r="EA21" s="161"/>
      <c r="EB21" s="161"/>
      <c r="EC21" s="161"/>
      <c r="ED21" s="161"/>
      <c r="EE21" s="161"/>
      <c r="EF21" s="161"/>
      <c r="EG21" s="161"/>
      <c r="EH21" s="161"/>
      <c r="EI21" s="161"/>
      <c r="EJ21" s="161"/>
      <c r="EK21" s="161"/>
      <c r="EL21" s="161"/>
      <c r="EM21" s="161"/>
      <c r="EN21" s="161"/>
      <c r="EO21" s="161"/>
      <c r="EP21" s="161"/>
      <c r="EQ21" s="161"/>
      <c r="ER21" s="161"/>
      <c r="ES21" s="161"/>
      <c r="ET21" s="161"/>
      <c r="EU21" s="161"/>
      <c r="EV21" s="161"/>
      <c r="EW21" s="161"/>
      <c r="EX21" s="161"/>
      <c r="EY21" s="161"/>
      <c r="EZ21" s="161"/>
      <c r="FA21" s="161"/>
      <c r="FB21" s="161"/>
      <c r="FC21" s="161"/>
      <c r="FD21" s="161"/>
      <c r="FE21" s="161"/>
      <c r="FF21" s="161"/>
      <c r="FG21" s="161"/>
      <c r="FH21" s="161"/>
      <c r="FI21" s="161"/>
      <c r="FJ21" s="161"/>
      <c r="FK21" s="161"/>
      <c r="FL21" s="161"/>
      <c r="FM21" s="161"/>
      <c r="FN21" s="161"/>
      <c r="FO21" s="161"/>
      <c r="FP21" s="161"/>
      <c r="FQ21" s="161"/>
      <c r="FR21" s="161"/>
      <c r="FS21" s="161"/>
      <c r="FT21" s="161"/>
      <c r="FU21" s="161"/>
      <c r="FV21" s="161"/>
      <c r="FW21" s="161"/>
      <c r="FX21" s="161"/>
      <c r="FY21" s="161"/>
      <c r="FZ21" s="161"/>
      <c r="GA21" s="161"/>
      <c r="GB21" s="161"/>
      <c r="GC21" s="161"/>
      <c r="GD21" s="161"/>
      <c r="GE21" s="161"/>
      <c r="GF21" s="161"/>
      <c r="GG21" s="161"/>
      <c r="GH21" s="161"/>
      <c r="GI21" s="161"/>
      <c r="GJ21" s="161"/>
      <c r="GK21" s="161"/>
      <c r="GL21" s="161"/>
      <c r="GM21" s="161"/>
      <c r="GN21" s="161"/>
      <c r="GO21" s="161"/>
      <c r="GP21" s="161"/>
      <c r="GQ21" s="161"/>
      <c r="GR21" s="161"/>
      <c r="GS21" s="161"/>
      <c r="GT21" s="161"/>
      <c r="GU21" s="161"/>
      <c r="GV21" s="161"/>
      <c r="GW21" s="161"/>
      <c r="GX21" s="161"/>
      <c r="GY21" s="161"/>
      <c r="GZ21" s="161"/>
      <c r="HA21" s="161"/>
      <c r="HB21" s="161"/>
      <c r="HC21" s="161"/>
      <c r="HD21" s="161"/>
      <c r="HE21" s="161"/>
      <c r="HF21" s="161"/>
      <c r="HG21" s="161"/>
      <c r="HH21" s="161"/>
      <c r="HI21" s="161"/>
      <c r="HJ21" s="161"/>
      <c r="HK21" s="161"/>
      <c r="HL21" s="161"/>
      <c r="HM21" s="162"/>
      <c r="HN21" s="162"/>
      <c r="HO21" s="162"/>
      <c r="HP21" s="162"/>
      <c r="HQ21" s="162"/>
      <c r="HR21" s="162"/>
      <c r="HS21" s="162"/>
      <c r="HT21" s="162"/>
      <c r="HU21" s="162"/>
      <c r="HV21" s="162"/>
      <c r="HW21" s="162"/>
      <c r="HX21" s="162"/>
      <c r="HY21" s="163" t="str">
        <f t="shared" si="0"/>
        <v>Lengkapi 12 Self Estimate</v>
      </c>
      <c r="HZ21" s="164" t="str">
        <f>IF($HY21&lt;&gt;"OK","",Hasil!$AU21)</f>
        <v/>
      </c>
      <c r="IA21" s="164" t="str">
        <f>IF($HY21&lt;&gt;"OK","",Hasil!$AV21)</f>
        <v/>
      </c>
    </row>
    <row r="22" spans="1:235" ht="13.4" customHeight="1">
      <c r="A22" s="160">
        <v>18</v>
      </c>
      <c r="B22" s="160" t="s">
        <v>315</v>
      </c>
      <c r="C22" s="160" t="s">
        <v>316</v>
      </c>
      <c r="D22" s="160" t="s">
        <v>282</v>
      </c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  <c r="DI22" s="161"/>
      <c r="DJ22" s="161"/>
      <c r="DK22" s="161"/>
      <c r="DL22" s="161"/>
      <c r="DM22" s="161"/>
      <c r="DN22" s="161"/>
      <c r="DO22" s="161"/>
      <c r="DP22" s="161"/>
      <c r="DQ22" s="161"/>
      <c r="DR22" s="161"/>
      <c r="DS22" s="161"/>
      <c r="DT22" s="161"/>
      <c r="DU22" s="161"/>
      <c r="DV22" s="161"/>
      <c r="DW22" s="161"/>
      <c r="DX22" s="161"/>
      <c r="DY22" s="161"/>
      <c r="DZ22" s="161"/>
      <c r="EA22" s="161"/>
      <c r="EB22" s="161"/>
      <c r="EC22" s="161"/>
      <c r="ED22" s="161"/>
      <c r="EE22" s="161"/>
      <c r="EF22" s="161"/>
      <c r="EG22" s="161"/>
      <c r="EH22" s="161"/>
      <c r="EI22" s="161"/>
      <c r="EJ22" s="161"/>
      <c r="EK22" s="161"/>
      <c r="EL22" s="161"/>
      <c r="EM22" s="161"/>
      <c r="EN22" s="161"/>
      <c r="EO22" s="161"/>
      <c r="EP22" s="161"/>
      <c r="EQ22" s="161"/>
      <c r="ER22" s="161"/>
      <c r="ES22" s="161"/>
      <c r="ET22" s="161"/>
      <c r="EU22" s="161"/>
      <c r="EV22" s="161"/>
      <c r="EW22" s="161"/>
      <c r="EX22" s="161"/>
      <c r="EY22" s="161"/>
      <c r="EZ22" s="161"/>
      <c r="FA22" s="161"/>
      <c r="FB22" s="161"/>
      <c r="FC22" s="161"/>
      <c r="FD22" s="161"/>
      <c r="FE22" s="161"/>
      <c r="FF22" s="161"/>
      <c r="FG22" s="161"/>
      <c r="FH22" s="161"/>
      <c r="FI22" s="161"/>
      <c r="FJ22" s="161"/>
      <c r="FK22" s="161"/>
      <c r="FL22" s="161"/>
      <c r="FM22" s="161"/>
      <c r="FN22" s="161"/>
      <c r="FO22" s="161"/>
      <c r="FP22" s="161"/>
      <c r="FQ22" s="161"/>
      <c r="FR22" s="161"/>
      <c r="FS22" s="161"/>
      <c r="FT22" s="161"/>
      <c r="FU22" s="161"/>
      <c r="FV22" s="161"/>
      <c r="FW22" s="161"/>
      <c r="FX22" s="161"/>
      <c r="FY22" s="161"/>
      <c r="FZ22" s="161"/>
      <c r="GA22" s="161"/>
      <c r="GB22" s="161"/>
      <c r="GC22" s="161"/>
      <c r="GD22" s="161"/>
      <c r="GE22" s="161"/>
      <c r="GF22" s="161"/>
      <c r="GG22" s="161"/>
      <c r="GH22" s="161"/>
      <c r="GI22" s="161"/>
      <c r="GJ22" s="161"/>
      <c r="GK22" s="161"/>
      <c r="GL22" s="161"/>
      <c r="GM22" s="161"/>
      <c r="GN22" s="161"/>
      <c r="GO22" s="161"/>
      <c r="GP22" s="161"/>
      <c r="GQ22" s="161"/>
      <c r="GR22" s="161"/>
      <c r="GS22" s="161"/>
      <c r="GT22" s="161"/>
      <c r="GU22" s="161"/>
      <c r="GV22" s="161"/>
      <c r="GW22" s="161"/>
      <c r="GX22" s="161"/>
      <c r="GY22" s="161"/>
      <c r="GZ22" s="161"/>
      <c r="HA22" s="161"/>
      <c r="HB22" s="161"/>
      <c r="HC22" s="161"/>
      <c r="HD22" s="161"/>
      <c r="HE22" s="161"/>
      <c r="HF22" s="161"/>
      <c r="HG22" s="161"/>
      <c r="HH22" s="161"/>
      <c r="HI22" s="161"/>
      <c r="HJ22" s="161"/>
      <c r="HK22" s="161"/>
      <c r="HL22" s="161"/>
      <c r="HM22" s="162"/>
      <c r="HN22" s="162"/>
      <c r="HO22" s="162"/>
      <c r="HP22" s="162"/>
      <c r="HQ22" s="162"/>
      <c r="HR22" s="162"/>
      <c r="HS22" s="162"/>
      <c r="HT22" s="162"/>
      <c r="HU22" s="162"/>
      <c r="HV22" s="162"/>
      <c r="HW22" s="162"/>
      <c r="HX22" s="162"/>
      <c r="HY22" s="163" t="str">
        <f t="shared" si="0"/>
        <v>Lengkapi 12 Self Estimate</v>
      </c>
      <c r="HZ22" s="164" t="str">
        <f>IF($HY22&lt;&gt;"OK","",Hasil!$AU22)</f>
        <v/>
      </c>
      <c r="IA22" s="164" t="str">
        <f>IF($HY22&lt;&gt;"OK","",Hasil!$AV22)</f>
        <v/>
      </c>
    </row>
    <row r="23" spans="1:235" ht="13.4" customHeight="1">
      <c r="A23" s="160">
        <v>19</v>
      </c>
      <c r="B23" s="160" t="s">
        <v>317</v>
      </c>
      <c r="C23" s="160" t="s">
        <v>318</v>
      </c>
      <c r="D23" s="160" t="s">
        <v>282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/>
      <c r="CJ23" s="161"/>
      <c r="CK23" s="161"/>
      <c r="CL23" s="161"/>
      <c r="CM23" s="161"/>
      <c r="CN23" s="161"/>
      <c r="CO23" s="161"/>
      <c r="CP23" s="161"/>
      <c r="CQ23" s="161"/>
      <c r="CR23" s="161"/>
      <c r="CS23" s="161"/>
      <c r="CT23" s="161"/>
      <c r="CU23" s="161"/>
      <c r="CV23" s="161"/>
      <c r="CW23" s="161"/>
      <c r="CX23" s="161"/>
      <c r="CY23" s="161"/>
      <c r="CZ23" s="161"/>
      <c r="DA23" s="161"/>
      <c r="DB23" s="161"/>
      <c r="DC23" s="161"/>
      <c r="DD23" s="161"/>
      <c r="DE23" s="161"/>
      <c r="DF23" s="161"/>
      <c r="DG23" s="161"/>
      <c r="DH23" s="161"/>
      <c r="DI23" s="161"/>
      <c r="DJ23" s="161"/>
      <c r="DK23" s="161"/>
      <c r="DL23" s="161"/>
      <c r="DM23" s="161"/>
      <c r="DN23" s="161"/>
      <c r="DO23" s="161"/>
      <c r="DP23" s="161"/>
      <c r="DQ23" s="161"/>
      <c r="DR23" s="161"/>
      <c r="DS23" s="161"/>
      <c r="DT23" s="161"/>
      <c r="DU23" s="161"/>
      <c r="DV23" s="161"/>
      <c r="DW23" s="161"/>
      <c r="DX23" s="161"/>
      <c r="DY23" s="161"/>
      <c r="DZ23" s="161"/>
      <c r="EA23" s="161"/>
      <c r="EB23" s="161"/>
      <c r="EC23" s="161"/>
      <c r="ED23" s="161"/>
      <c r="EE23" s="161"/>
      <c r="EF23" s="161"/>
      <c r="EG23" s="161"/>
      <c r="EH23" s="161"/>
      <c r="EI23" s="161"/>
      <c r="EJ23" s="161"/>
      <c r="EK23" s="161"/>
      <c r="EL23" s="161"/>
      <c r="EM23" s="161"/>
      <c r="EN23" s="161"/>
      <c r="EO23" s="161"/>
      <c r="EP23" s="161"/>
      <c r="EQ23" s="161"/>
      <c r="ER23" s="161"/>
      <c r="ES23" s="161"/>
      <c r="ET23" s="161"/>
      <c r="EU23" s="161"/>
      <c r="EV23" s="161"/>
      <c r="EW23" s="161"/>
      <c r="EX23" s="161"/>
      <c r="EY23" s="161"/>
      <c r="EZ23" s="161"/>
      <c r="FA23" s="161"/>
      <c r="FB23" s="161"/>
      <c r="FC23" s="161"/>
      <c r="FD23" s="161"/>
      <c r="FE23" s="161"/>
      <c r="FF23" s="161"/>
      <c r="FG23" s="161"/>
      <c r="FH23" s="161"/>
      <c r="FI23" s="161"/>
      <c r="FJ23" s="161"/>
      <c r="FK23" s="161"/>
      <c r="FL23" s="161"/>
      <c r="FM23" s="161"/>
      <c r="FN23" s="161"/>
      <c r="FO23" s="161"/>
      <c r="FP23" s="161"/>
      <c r="FQ23" s="161"/>
      <c r="FR23" s="161"/>
      <c r="FS23" s="161"/>
      <c r="FT23" s="161"/>
      <c r="FU23" s="161"/>
      <c r="FV23" s="161"/>
      <c r="FW23" s="161"/>
      <c r="FX23" s="161"/>
      <c r="FY23" s="161"/>
      <c r="FZ23" s="161"/>
      <c r="GA23" s="161"/>
      <c r="GB23" s="161"/>
      <c r="GC23" s="161"/>
      <c r="GD23" s="161"/>
      <c r="GE23" s="161"/>
      <c r="GF23" s="161"/>
      <c r="GG23" s="161"/>
      <c r="GH23" s="161"/>
      <c r="GI23" s="161"/>
      <c r="GJ23" s="161"/>
      <c r="GK23" s="161"/>
      <c r="GL23" s="161"/>
      <c r="GM23" s="161"/>
      <c r="GN23" s="161"/>
      <c r="GO23" s="161"/>
      <c r="GP23" s="161"/>
      <c r="GQ23" s="161"/>
      <c r="GR23" s="161"/>
      <c r="GS23" s="161"/>
      <c r="GT23" s="161"/>
      <c r="GU23" s="161"/>
      <c r="GV23" s="161"/>
      <c r="GW23" s="161"/>
      <c r="GX23" s="161"/>
      <c r="GY23" s="161"/>
      <c r="GZ23" s="161"/>
      <c r="HA23" s="161"/>
      <c r="HB23" s="161"/>
      <c r="HC23" s="161"/>
      <c r="HD23" s="161"/>
      <c r="HE23" s="161"/>
      <c r="HF23" s="161"/>
      <c r="HG23" s="161"/>
      <c r="HH23" s="161"/>
      <c r="HI23" s="161"/>
      <c r="HJ23" s="161"/>
      <c r="HK23" s="161"/>
      <c r="HL23" s="161"/>
      <c r="HM23" s="162"/>
      <c r="HN23" s="162"/>
      <c r="HO23" s="162"/>
      <c r="HP23" s="162"/>
      <c r="HQ23" s="162"/>
      <c r="HR23" s="162"/>
      <c r="HS23" s="162"/>
      <c r="HT23" s="162"/>
      <c r="HU23" s="162"/>
      <c r="HV23" s="162"/>
      <c r="HW23" s="162"/>
      <c r="HX23" s="162"/>
      <c r="HY23" s="163" t="str">
        <f t="shared" si="0"/>
        <v>Lengkapi 12 Self Estimate</v>
      </c>
      <c r="HZ23" s="164" t="str">
        <f>IF($HY23&lt;&gt;"OK","",Hasil!$AU23)</f>
        <v/>
      </c>
      <c r="IA23" s="164" t="str">
        <f>IF($HY23&lt;&gt;"OK","",Hasil!$AV23)</f>
        <v/>
      </c>
    </row>
    <row r="24" spans="1:235" ht="13.4" customHeight="1">
      <c r="A24" s="160">
        <v>20</v>
      </c>
      <c r="B24" s="160" t="s">
        <v>319</v>
      </c>
      <c r="C24" s="160" t="s">
        <v>320</v>
      </c>
      <c r="D24" s="160" t="s">
        <v>282</v>
      </c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61"/>
      <c r="CN24" s="161"/>
      <c r="CO24" s="161"/>
      <c r="CP24" s="161"/>
      <c r="CQ24" s="161"/>
      <c r="CR24" s="161"/>
      <c r="CS24" s="161"/>
      <c r="CT24" s="161"/>
      <c r="CU24" s="161"/>
      <c r="CV24" s="161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  <c r="DH24" s="161"/>
      <c r="DI24" s="161"/>
      <c r="DJ24" s="161"/>
      <c r="DK24" s="161"/>
      <c r="DL24" s="161"/>
      <c r="DM24" s="161"/>
      <c r="DN24" s="161"/>
      <c r="DO24" s="161"/>
      <c r="DP24" s="161"/>
      <c r="DQ24" s="161"/>
      <c r="DR24" s="161"/>
      <c r="DS24" s="161"/>
      <c r="DT24" s="161"/>
      <c r="DU24" s="161"/>
      <c r="DV24" s="161"/>
      <c r="DW24" s="161"/>
      <c r="DX24" s="161"/>
      <c r="DY24" s="161"/>
      <c r="DZ24" s="161"/>
      <c r="EA24" s="161"/>
      <c r="EB24" s="161"/>
      <c r="EC24" s="161"/>
      <c r="ED24" s="161"/>
      <c r="EE24" s="161"/>
      <c r="EF24" s="161"/>
      <c r="EG24" s="161"/>
      <c r="EH24" s="161"/>
      <c r="EI24" s="161"/>
      <c r="EJ24" s="161"/>
      <c r="EK24" s="161"/>
      <c r="EL24" s="161"/>
      <c r="EM24" s="161"/>
      <c r="EN24" s="161"/>
      <c r="EO24" s="161"/>
      <c r="EP24" s="161"/>
      <c r="EQ24" s="161"/>
      <c r="ER24" s="161"/>
      <c r="ES24" s="161"/>
      <c r="ET24" s="161"/>
      <c r="EU24" s="161"/>
      <c r="EV24" s="161"/>
      <c r="EW24" s="161"/>
      <c r="EX24" s="161"/>
      <c r="EY24" s="161"/>
      <c r="EZ24" s="161"/>
      <c r="FA24" s="161"/>
      <c r="FB24" s="161"/>
      <c r="FC24" s="161"/>
      <c r="FD24" s="161"/>
      <c r="FE24" s="161"/>
      <c r="FF24" s="161"/>
      <c r="FG24" s="161"/>
      <c r="FH24" s="161"/>
      <c r="FI24" s="161"/>
      <c r="FJ24" s="161"/>
      <c r="FK24" s="161"/>
      <c r="FL24" s="161"/>
      <c r="FM24" s="161"/>
      <c r="FN24" s="161"/>
      <c r="FO24" s="161"/>
      <c r="FP24" s="161"/>
      <c r="FQ24" s="161"/>
      <c r="FR24" s="161"/>
      <c r="FS24" s="161"/>
      <c r="FT24" s="161"/>
      <c r="FU24" s="161"/>
      <c r="FV24" s="161"/>
      <c r="FW24" s="161"/>
      <c r="FX24" s="161"/>
      <c r="FY24" s="161"/>
      <c r="FZ24" s="161"/>
      <c r="GA24" s="161"/>
      <c r="GB24" s="161"/>
      <c r="GC24" s="161"/>
      <c r="GD24" s="161"/>
      <c r="GE24" s="161"/>
      <c r="GF24" s="161"/>
      <c r="GG24" s="161"/>
      <c r="GH24" s="161"/>
      <c r="GI24" s="161"/>
      <c r="GJ24" s="161"/>
      <c r="GK24" s="161"/>
      <c r="GL24" s="161"/>
      <c r="GM24" s="161"/>
      <c r="GN24" s="161"/>
      <c r="GO24" s="161"/>
      <c r="GP24" s="161"/>
      <c r="GQ24" s="161"/>
      <c r="GR24" s="161"/>
      <c r="GS24" s="161"/>
      <c r="GT24" s="161"/>
      <c r="GU24" s="161"/>
      <c r="GV24" s="161"/>
      <c r="GW24" s="161"/>
      <c r="GX24" s="161"/>
      <c r="GY24" s="161"/>
      <c r="GZ24" s="161"/>
      <c r="HA24" s="161"/>
      <c r="HB24" s="161"/>
      <c r="HC24" s="161"/>
      <c r="HD24" s="161"/>
      <c r="HE24" s="161"/>
      <c r="HF24" s="161"/>
      <c r="HG24" s="161"/>
      <c r="HH24" s="161"/>
      <c r="HI24" s="161"/>
      <c r="HJ24" s="161"/>
      <c r="HK24" s="161"/>
      <c r="HL24" s="161"/>
      <c r="HM24" s="162"/>
      <c r="HN24" s="162"/>
      <c r="HO24" s="162"/>
      <c r="HP24" s="162"/>
      <c r="HQ24" s="162"/>
      <c r="HR24" s="162"/>
      <c r="HS24" s="162"/>
      <c r="HT24" s="162"/>
      <c r="HU24" s="162"/>
      <c r="HV24" s="162"/>
      <c r="HW24" s="162"/>
      <c r="HX24" s="162"/>
      <c r="HY24" s="163" t="str">
        <f t="shared" si="0"/>
        <v>Lengkapi 12 Self Estimate</v>
      </c>
      <c r="HZ24" s="164" t="str">
        <f>IF($HY24&lt;&gt;"OK","",Hasil!$AU24)</f>
        <v/>
      </c>
      <c r="IA24" s="164" t="str">
        <f>IF($HY24&lt;&gt;"OK","",Hasil!$AV24)</f>
        <v/>
      </c>
    </row>
    <row r="25" spans="1:235" ht="13.4" customHeight="1">
      <c r="A25" s="160">
        <v>21</v>
      </c>
      <c r="B25" s="160" t="s">
        <v>321</v>
      </c>
      <c r="C25" s="160" t="s">
        <v>322</v>
      </c>
      <c r="D25" s="160" t="s">
        <v>282</v>
      </c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161"/>
      <c r="CP25" s="161"/>
      <c r="CQ25" s="161"/>
      <c r="CR25" s="161"/>
      <c r="CS25" s="161"/>
      <c r="CT25" s="161"/>
      <c r="CU25" s="161"/>
      <c r="CV25" s="161"/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  <c r="DH25" s="161"/>
      <c r="DI25" s="161"/>
      <c r="DJ25" s="161"/>
      <c r="DK25" s="161"/>
      <c r="DL25" s="161"/>
      <c r="DM25" s="161"/>
      <c r="DN25" s="161"/>
      <c r="DO25" s="161"/>
      <c r="DP25" s="161"/>
      <c r="DQ25" s="161"/>
      <c r="DR25" s="161"/>
      <c r="DS25" s="161"/>
      <c r="DT25" s="161"/>
      <c r="DU25" s="161"/>
      <c r="DV25" s="161"/>
      <c r="DW25" s="161"/>
      <c r="DX25" s="161"/>
      <c r="DY25" s="161"/>
      <c r="DZ25" s="161"/>
      <c r="EA25" s="161"/>
      <c r="EB25" s="161"/>
      <c r="EC25" s="161"/>
      <c r="ED25" s="161"/>
      <c r="EE25" s="161"/>
      <c r="EF25" s="161"/>
      <c r="EG25" s="161"/>
      <c r="EH25" s="161"/>
      <c r="EI25" s="161"/>
      <c r="EJ25" s="161"/>
      <c r="EK25" s="161"/>
      <c r="EL25" s="161"/>
      <c r="EM25" s="161"/>
      <c r="EN25" s="161"/>
      <c r="EO25" s="161"/>
      <c r="EP25" s="161"/>
      <c r="EQ25" s="161"/>
      <c r="ER25" s="161"/>
      <c r="ES25" s="161"/>
      <c r="ET25" s="161"/>
      <c r="EU25" s="161"/>
      <c r="EV25" s="161"/>
      <c r="EW25" s="161"/>
      <c r="EX25" s="161"/>
      <c r="EY25" s="161"/>
      <c r="EZ25" s="161"/>
      <c r="FA25" s="161"/>
      <c r="FB25" s="161"/>
      <c r="FC25" s="161"/>
      <c r="FD25" s="161"/>
      <c r="FE25" s="161"/>
      <c r="FF25" s="161"/>
      <c r="FG25" s="161"/>
      <c r="FH25" s="161"/>
      <c r="FI25" s="161"/>
      <c r="FJ25" s="161"/>
      <c r="FK25" s="161"/>
      <c r="FL25" s="161"/>
      <c r="FM25" s="161"/>
      <c r="FN25" s="161"/>
      <c r="FO25" s="161"/>
      <c r="FP25" s="161"/>
      <c r="FQ25" s="161"/>
      <c r="FR25" s="161"/>
      <c r="FS25" s="161"/>
      <c r="FT25" s="161"/>
      <c r="FU25" s="161"/>
      <c r="FV25" s="161"/>
      <c r="FW25" s="161"/>
      <c r="FX25" s="161"/>
      <c r="FY25" s="161"/>
      <c r="FZ25" s="161"/>
      <c r="GA25" s="161"/>
      <c r="GB25" s="161"/>
      <c r="GC25" s="161"/>
      <c r="GD25" s="161"/>
      <c r="GE25" s="161"/>
      <c r="GF25" s="161"/>
      <c r="GG25" s="161"/>
      <c r="GH25" s="161"/>
      <c r="GI25" s="161"/>
      <c r="GJ25" s="161"/>
      <c r="GK25" s="161"/>
      <c r="GL25" s="161"/>
      <c r="GM25" s="161"/>
      <c r="GN25" s="161"/>
      <c r="GO25" s="161"/>
      <c r="GP25" s="161"/>
      <c r="GQ25" s="161"/>
      <c r="GR25" s="161"/>
      <c r="GS25" s="161"/>
      <c r="GT25" s="161"/>
      <c r="GU25" s="161"/>
      <c r="GV25" s="161"/>
      <c r="GW25" s="161"/>
      <c r="GX25" s="161"/>
      <c r="GY25" s="161"/>
      <c r="GZ25" s="161"/>
      <c r="HA25" s="161"/>
      <c r="HB25" s="161"/>
      <c r="HC25" s="161"/>
      <c r="HD25" s="161"/>
      <c r="HE25" s="161"/>
      <c r="HF25" s="161"/>
      <c r="HG25" s="161"/>
      <c r="HH25" s="161"/>
      <c r="HI25" s="161"/>
      <c r="HJ25" s="161"/>
      <c r="HK25" s="161"/>
      <c r="HL25" s="161"/>
      <c r="HM25" s="162"/>
      <c r="HN25" s="162"/>
      <c r="HO25" s="162"/>
      <c r="HP25" s="162"/>
      <c r="HQ25" s="162"/>
      <c r="HR25" s="162"/>
      <c r="HS25" s="162"/>
      <c r="HT25" s="162"/>
      <c r="HU25" s="162"/>
      <c r="HV25" s="162"/>
      <c r="HW25" s="162"/>
      <c r="HX25" s="162"/>
      <c r="HY25" s="163" t="str">
        <f t="shared" si="0"/>
        <v>Lengkapi 12 Self Estimate</v>
      </c>
      <c r="HZ25" s="164" t="str">
        <f>IF($HY25&lt;&gt;"OK","",Hasil!$AU25)</f>
        <v/>
      </c>
      <c r="IA25" s="164" t="str">
        <f>IF($HY25&lt;&gt;"OK","",Hasil!$AV25)</f>
        <v/>
      </c>
    </row>
    <row r="26" spans="1:235" ht="13.4" customHeight="1">
      <c r="A26" s="160">
        <v>22</v>
      </c>
      <c r="B26" s="160" t="s">
        <v>323</v>
      </c>
      <c r="C26" s="160" t="s">
        <v>324</v>
      </c>
      <c r="D26" s="160" t="s">
        <v>282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61"/>
      <c r="CI26" s="161"/>
      <c r="CJ26" s="161"/>
      <c r="CK26" s="161"/>
      <c r="CL26" s="161"/>
      <c r="CM26" s="161"/>
      <c r="CN26" s="161"/>
      <c r="CO26" s="161"/>
      <c r="CP26" s="161"/>
      <c r="CQ26" s="161"/>
      <c r="CR26" s="161"/>
      <c r="CS26" s="161"/>
      <c r="CT26" s="161"/>
      <c r="CU26" s="161"/>
      <c r="CV26" s="161"/>
      <c r="CW26" s="161"/>
      <c r="CX26" s="161"/>
      <c r="CY26" s="161"/>
      <c r="CZ26" s="161"/>
      <c r="DA26" s="161"/>
      <c r="DB26" s="161"/>
      <c r="DC26" s="161"/>
      <c r="DD26" s="161"/>
      <c r="DE26" s="161"/>
      <c r="DF26" s="161"/>
      <c r="DG26" s="161"/>
      <c r="DH26" s="161"/>
      <c r="DI26" s="161"/>
      <c r="DJ26" s="161"/>
      <c r="DK26" s="161"/>
      <c r="DL26" s="161"/>
      <c r="DM26" s="161"/>
      <c r="DN26" s="161"/>
      <c r="DO26" s="161"/>
      <c r="DP26" s="161"/>
      <c r="DQ26" s="161"/>
      <c r="DR26" s="161"/>
      <c r="DS26" s="161"/>
      <c r="DT26" s="161"/>
      <c r="DU26" s="161"/>
      <c r="DV26" s="161"/>
      <c r="DW26" s="161"/>
      <c r="DX26" s="161"/>
      <c r="DY26" s="161"/>
      <c r="DZ26" s="161"/>
      <c r="EA26" s="161"/>
      <c r="EB26" s="161"/>
      <c r="EC26" s="161"/>
      <c r="ED26" s="161"/>
      <c r="EE26" s="161"/>
      <c r="EF26" s="161"/>
      <c r="EG26" s="161"/>
      <c r="EH26" s="161"/>
      <c r="EI26" s="161"/>
      <c r="EJ26" s="161"/>
      <c r="EK26" s="161"/>
      <c r="EL26" s="161"/>
      <c r="EM26" s="161"/>
      <c r="EN26" s="161"/>
      <c r="EO26" s="161"/>
      <c r="EP26" s="161"/>
      <c r="EQ26" s="161"/>
      <c r="ER26" s="161"/>
      <c r="ES26" s="161"/>
      <c r="ET26" s="161"/>
      <c r="EU26" s="161"/>
      <c r="EV26" s="161"/>
      <c r="EW26" s="161"/>
      <c r="EX26" s="161"/>
      <c r="EY26" s="161"/>
      <c r="EZ26" s="161"/>
      <c r="FA26" s="161"/>
      <c r="FB26" s="161"/>
      <c r="FC26" s="161"/>
      <c r="FD26" s="161"/>
      <c r="FE26" s="161"/>
      <c r="FF26" s="161"/>
      <c r="FG26" s="161"/>
      <c r="FH26" s="161"/>
      <c r="FI26" s="161"/>
      <c r="FJ26" s="161"/>
      <c r="FK26" s="161"/>
      <c r="FL26" s="161"/>
      <c r="FM26" s="161"/>
      <c r="FN26" s="161"/>
      <c r="FO26" s="161"/>
      <c r="FP26" s="161"/>
      <c r="FQ26" s="161"/>
      <c r="FR26" s="161"/>
      <c r="FS26" s="161"/>
      <c r="FT26" s="161"/>
      <c r="FU26" s="161"/>
      <c r="FV26" s="161"/>
      <c r="FW26" s="161"/>
      <c r="FX26" s="161"/>
      <c r="FY26" s="161"/>
      <c r="FZ26" s="161"/>
      <c r="GA26" s="161"/>
      <c r="GB26" s="161"/>
      <c r="GC26" s="161"/>
      <c r="GD26" s="161"/>
      <c r="GE26" s="161"/>
      <c r="GF26" s="161"/>
      <c r="GG26" s="161"/>
      <c r="GH26" s="161"/>
      <c r="GI26" s="161"/>
      <c r="GJ26" s="161"/>
      <c r="GK26" s="161"/>
      <c r="GL26" s="161"/>
      <c r="GM26" s="161"/>
      <c r="GN26" s="161"/>
      <c r="GO26" s="161"/>
      <c r="GP26" s="161"/>
      <c r="GQ26" s="161"/>
      <c r="GR26" s="161"/>
      <c r="GS26" s="161"/>
      <c r="GT26" s="161"/>
      <c r="GU26" s="161"/>
      <c r="GV26" s="161"/>
      <c r="GW26" s="161"/>
      <c r="GX26" s="161"/>
      <c r="GY26" s="161"/>
      <c r="GZ26" s="161"/>
      <c r="HA26" s="161"/>
      <c r="HB26" s="161"/>
      <c r="HC26" s="161"/>
      <c r="HD26" s="161"/>
      <c r="HE26" s="161"/>
      <c r="HF26" s="161"/>
      <c r="HG26" s="161"/>
      <c r="HH26" s="161"/>
      <c r="HI26" s="161"/>
      <c r="HJ26" s="161"/>
      <c r="HK26" s="161"/>
      <c r="HL26" s="161"/>
      <c r="HM26" s="162"/>
      <c r="HN26" s="162"/>
      <c r="HO26" s="162"/>
      <c r="HP26" s="162"/>
      <c r="HQ26" s="162"/>
      <c r="HR26" s="162"/>
      <c r="HS26" s="162"/>
      <c r="HT26" s="162"/>
      <c r="HU26" s="162"/>
      <c r="HV26" s="162"/>
      <c r="HW26" s="162"/>
      <c r="HX26" s="162"/>
      <c r="HY26" s="163" t="str">
        <f t="shared" si="0"/>
        <v>Lengkapi 12 Self Estimate</v>
      </c>
      <c r="HZ26" s="164" t="str">
        <f>IF($HY26&lt;&gt;"OK","",Hasil!$AU26)</f>
        <v/>
      </c>
      <c r="IA26" s="164" t="str">
        <f>IF($HY26&lt;&gt;"OK","",Hasil!$AV26)</f>
        <v/>
      </c>
    </row>
    <row r="27" spans="1:235" ht="13.4" customHeight="1">
      <c r="A27" s="160">
        <v>23</v>
      </c>
      <c r="B27" s="160" t="s">
        <v>325</v>
      </c>
      <c r="C27" s="160" t="s">
        <v>326</v>
      </c>
      <c r="D27" s="160" t="s">
        <v>282</v>
      </c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1"/>
      <c r="CX27" s="161"/>
      <c r="CY27" s="161"/>
      <c r="CZ27" s="161"/>
      <c r="DA27" s="161"/>
      <c r="DB27" s="161"/>
      <c r="DC27" s="161"/>
      <c r="DD27" s="161"/>
      <c r="DE27" s="161"/>
      <c r="DF27" s="161"/>
      <c r="DG27" s="161"/>
      <c r="DH27" s="161"/>
      <c r="DI27" s="161"/>
      <c r="DJ27" s="161"/>
      <c r="DK27" s="161"/>
      <c r="DL27" s="161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1"/>
      <c r="DY27" s="161"/>
      <c r="DZ27" s="161"/>
      <c r="EA27" s="161"/>
      <c r="EB27" s="161"/>
      <c r="EC27" s="161"/>
      <c r="ED27" s="161"/>
      <c r="EE27" s="161"/>
      <c r="EF27" s="161"/>
      <c r="EG27" s="161"/>
      <c r="EH27" s="161"/>
      <c r="EI27" s="161"/>
      <c r="EJ27" s="161"/>
      <c r="EK27" s="161"/>
      <c r="EL27" s="161"/>
      <c r="EM27" s="161"/>
      <c r="EN27" s="161"/>
      <c r="EO27" s="161"/>
      <c r="EP27" s="161"/>
      <c r="EQ27" s="161"/>
      <c r="ER27" s="161"/>
      <c r="ES27" s="161"/>
      <c r="ET27" s="161"/>
      <c r="EU27" s="161"/>
      <c r="EV27" s="161"/>
      <c r="EW27" s="161"/>
      <c r="EX27" s="161"/>
      <c r="EY27" s="161"/>
      <c r="EZ27" s="161"/>
      <c r="FA27" s="161"/>
      <c r="FB27" s="161"/>
      <c r="FC27" s="161"/>
      <c r="FD27" s="161"/>
      <c r="FE27" s="161"/>
      <c r="FF27" s="161"/>
      <c r="FG27" s="161"/>
      <c r="FH27" s="161"/>
      <c r="FI27" s="161"/>
      <c r="FJ27" s="161"/>
      <c r="FK27" s="161"/>
      <c r="FL27" s="161"/>
      <c r="FM27" s="161"/>
      <c r="FN27" s="161"/>
      <c r="FO27" s="161"/>
      <c r="FP27" s="161"/>
      <c r="FQ27" s="161"/>
      <c r="FR27" s="161"/>
      <c r="FS27" s="161"/>
      <c r="FT27" s="161"/>
      <c r="FU27" s="161"/>
      <c r="FV27" s="161"/>
      <c r="FW27" s="161"/>
      <c r="FX27" s="161"/>
      <c r="FY27" s="161"/>
      <c r="FZ27" s="161"/>
      <c r="GA27" s="161"/>
      <c r="GB27" s="161"/>
      <c r="GC27" s="161"/>
      <c r="GD27" s="161"/>
      <c r="GE27" s="161"/>
      <c r="GF27" s="161"/>
      <c r="GG27" s="161"/>
      <c r="GH27" s="161"/>
      <c r="GI27" s="161"/>
      <c r="GJ27" s="161"/>
      <c r="GK27" s="161"/>
      <c r="GL27" s="161"/>
      <c r="GM27" s="161"/>
      <c r="GN27" s="161"/>
      <c r="GO27" s="161"/>
      <c r="GP27" s="161"/>
      <c r="GQ27" s="161"/>
      <c r="GR27" s="161"/>
      <c r="GS27" s="161"/>
      <c r="GT27" s="161"/>
      <c r="GU27" s="161"/>
      <c r="GV27" s="161"/>
      <c r="GW27" s="161"/>
      <c r="GX27" s="161"/>
      <c r="GY27" s="161"/>
      <c r="GZ27" s="161"/>
      <c r="HA27" s="161"/>
      <c r="HB27" s="161"/>
      <c r="HC27" s="161"/>
      <c r="HD27" s="161"/>
      <c r="HE27" s="161"/>
      <c r="HF27" s="161"/>
      <c r="HG27" s="161"/>
      <c r="HH27" s="161"/>
      <c r="HI27" s="161"/>
      <c r="HJ27" s="161"/>
      <c r="HK27" s="161"/>
      <c r="HL27" s="161"/>
      <c r="HM27" s="162"/>
      <c r="HN27" s="162"/>
      <c r="HO27" s="162"/>
      <c r="HP27" s="162"/>
      <c r="HQ27" s="162"/>
      <c r="HR27" s="162"/>
      <c r="HS27" s="162"/>
      <c r="HT27" s="162"/>
      <c r="HU27" s="162"/>
      <c r="HV27" s="162"/>
      <c r="HW27" s="162"/>
      <c r="HX27" s="162"/>
      <c r="HY27" s="163" t="str">
        <f t="shared" si="0"/>
        <v>Lengkapi 12 Self Estimate</v>
      </c>
      <c r="HZ27" s="164" t="str">
        <f>IF($HY27&lt;&gt;"OK","",Hasil!$AU27)</f>
        <v/>
      </c>
      <c r="IA27" s="164" t="str">
        <f>IF($HY27&lt;&gt;"OK","",Hasil!$AV27)</f>
        <v/>
      </c>
    </row>
    <row r="28" spans="1:235" ht="13.4" customHeight="1">
      <c r="A28" s="160">
        <v>24</v>
      </c>
      <c r="B28" s="160" t="s">
        <v>327</v>
      </c>
      <c r="C28" s="160" t="s">
        <v>328</v>
      </c>
      <c r="D28" s="160" t="s">
        <v>282</v>
      </c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161"/>
      <c r="DH28" s="161"/>
      <c r="DI28" s="161"/>
      <c r="DJ28" s="161"/>
      <c r="DK28" s="161"/>
      <c r="DL28" s="161"/>
      <c r="DM28" s="161"/>
      <c r="DN28" s="161"/>
      <c r="DO28" s="161"/>
      <c r="DP28" s="161"/>
      <c r="DQ28" s="161"/>
      <c r="DR28" s="161"/>
      <c r="DS28" s="161"/>
      <c r="DT28" s="161"/>
      <c r="DU28" s="161"/>
      <c r="DV28" s="161"/>
      <c r="DW28" s="161"/>
      <c r="DX28" s="161"/>
      <c r="DY28" s="161"/>
      <c r="DZ28" s="161"/>
      <c r="EA28" s="161"/>
      <c r="EB28" s="161"/>
      <c r="EC28" s="161"/>
      <c r="ED28" s="161"/>
      <c r="EE28" s="161"/>
      <c r="EF28" s="161"/>
      <c r="EG28" s="161"/>
      <c r="EH28" s="161"/>
      <c r="EI28" s="161"/>
      <c r="EJ28" s="161"/>
      <c r="EK28" s="161"/>
      <c r="EL28" s="161"/>
      <c r="EM28" s="161"/>
      <c r="EN28" s="161"/>
      <c r="EO28" s="161"/>
      <c r="EP28" s="161"/>
      <c r="EQ28" s="161"/>
      <c r="ER28" s="161"/>
      <c r="ES28" s="161"/>
      <c r="ET28" s="161"/>
      <c r="EU28" s="161"/>
      <c r="EV28" s="161"/>
      <c r="EW28" s="161"/>
      <c r="EX28" s="161"/>
      <c r="EY28" s="161"/>
      <c r="EZ28" s="161"/>
      <c r="FA28" s="161"/>
      <c r="FB28" s="161"/>
      <c r="FC28" s="161"/>
      <c r="FD28" s="161"/>
      <c r="FE28" s="161"/>
      <c r="FF28" s="161"/>
      <c r="FG28" s="161"/>
      <c r="FH28" s="161"/>
      <c r="FI28" s="161"/>
      <c r="FJ28" s="161"/>
      <c r="FK28" s="161"/>
      <c r="FL28" s="161"/>
      <c r="FM28" s="161"/>
      <c r="FN28" s="161"/>
      <c r="FO28" s="161"/>
      <c r="FP28" s="161"/>
      <c r="FQ28" s="161"/>
      <c r="FR28" s="161"/>
      <c r="FS28" s="161"/>
      <c r="FT28" s="161"/>
      <c r="FU28" s="161"/>
      <c r="FV28" s="161"/>
      <c r="FW28" s="161"/>
      <c r="FX28" s="161"/>
      <c r="FY28" s="161"/>
      <c r="FZ28" s="161"/>
      <c r="GA28" s="161"/>
      <c r="GB28" s="161"/>
      <c r="GC28" s="161"/>
      <c r="GD28" s="161"/>
      <c r="GE28" s="161"/>
      <c r="GF28" s="161"/>
      <c r="GG28" s="161"/>
      <c r="GH28" s="161"/>
      <c r="GI28" s="161"/>
      <c r="GJ28" s="161"/>
      <c r="GK28" s="161"/>
      <c r="GL28" s="161"/>
      <c r="GM28" s="161"/>
      <c r="GN28" s="161"/>
      <c r="GO28" s="161"/>
      <c r="GP28" s="161"/>
      <c r="GQ28" s="161"/>
      <c r="GR28" s="161"/>
      <c r="GS28" s="161"/>
      <c r="GT28" s="161"/>
      <c r="GU28" s="161"/>
      <c r="GV28" s="161"/>
      <c r="GW28" s="161"/>
      <c r="GX28" s="161"/>
      <c r="GY28" s="161"/>
      <c r="GZ28" s="161"/>
      <c r="HA28" s="161"/>
      <c r="HB28" s="161"/>
      <c r="HC28" s="161"/>
      <c r="HD28" s="161"/>
      <c r="HE28" s="161"/>
      <c r="HF28" s="161"/>
      <c r="HG28" s="161"/>
      <c r="HH28" s="161"/>
      <c r="HI28" s="161"/>
      <c r="HJ28" s="161"/>
      <c r="HK28" s="161"/>
      <c r="HL28" s="161"/>
      <c r="HM28" s="162"/>
      <c r="HN28" s="162"/>
      <c r="HO28" s="162"/>
      <c r="HP28" s="162"/>
      <c r="HQ28" s="162"/>
      <c r="HR28" s="162"/>
      <c r="HS28" s="162"/>
      <c r="HT28" s="162"/>
      <c r="HU28" s="162"/>
      <c r="HV28" s="162"/>
      <c r="HW28" s="162"/>
      <c r="HX28" s="162"/>
      <c r="HY28" s="163" t="str">
        <f t="shared" si="0"/>
        <v>Lengkapi 12 Self Estimate</v>
      </c>
      <c r="HZ28" s="164" t="str">
        <f>IF($HY28&lt;&gt;"OK","",Hasil!$AU28)</f>
        <v/>
      </c>
      <c r="IA28" s="164" t="str">
        <f>IF($HY28&lt;&gt;"OK","",Hasil!$AV28)</f>
        <v/>
      </c>
    </row>
    <row r="29" spans="1:235" ht="13.4" customHeight="1">
      <c r="A29" s="160">
        <v>25</v>
      </c>
      <c r="B29" s="160" t="s">
        <v>329</v>
      </c>
      <c r="C29" s="160" t="s">
        <v>330</v>
      </c>
      <c r="D29" s="160" t="s">
        <v>282</v>
      </c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161"/>
      <c r="CR29" s="161"/>
      <c r="CS29" s="161"/>
      <c r="CT29" s="161"/>
      <c r="CU29" s="161"/>
      <c r="CV29" s="161"/>
      <c r="CW29" s="161"/>
      <c r="CX29" s="161"/>
      <c r="CY29" s="161"/>
      <c r="CZ29" s="161"/>
      <c r="DA29" s="161"/>
      <c r="DB29" s="161"/>
      <c r="DC29" s="161"/>
      <c r="DD29" s="161"/>
      <c r="DE29" s="161"/>
      <c r="DF29" s="161"/>
      <c r="DG29" s="161"/>
      <c r="DH29" s="161"/>
      <c r="DI29" s="161"/>
      <c r="DJ29" s="161"/>
      <c r="DK29" s="161"/>
      <c r="DL29" s="161"/>
      <c r="DM29" s="161"/>
      <c r="DN29" s="161"/>
      <c r="DO29" s="161"/>
      <c r="DP29" s="161"/>
      <c r="DQ29" s="161"/>
      <c r="DR29" s="161"/>
      <c r="DS29" s="161"/>
      <c r="DT29" s="161"/>
      <c r="DU29" s="161"/>
      <c r="DV29" s="161"/>
      <c r="DW29" s="161"/>
      <c r="DX29" s="161"/>
      <c r="DY29" s="161"/>
      <c r="DZ29" s="161"/>
      <c r="EA29" s="161"/>
      <c r="EB29" s="161"/>
      <c r="EC29" s="161"/>
      <c r="ED29" s="161"/>
      <c r="EE29" s="161"/>
      <c r="EF29" s="161"/>
      <c r="EG29" s="161"/>
      <c r="EH29" s="161"/>
      <c r="EI29" s="161"/>
      <c r="EJ29" s="161"/>
      <c r="EK29" s="161"/>
      <c r="EL29" s="161"/>
      <c r="EM29" s="161"/>
      <c r="EN29" s="161"/>
      <c r="EO29" s="161"/>
      <c r="EP29" s="161"/>
      <c r="EQ29" s="161"/>
      <c r="ER29" s="161"/>
      <c r="ES29" s="161"/>
      <c r="ET29" s="161"/>
      <c r="EU29" s="161"/>
      <c r="EV29" s="161"/>
      <c r="EW29" s="161"/>
      <c r="EX29" s="161"/>
      <c r="EY29" s="161"/>
      <c r="EZ29" s="161"/>
      <c r="FA29" s="161"/>
      <c r="FB29" s="161"/>
      <c r="FC29" s="161"/>
      <c r="FD29" s="161"/>
      <c r="FE29" s="161"/>
      <c r="FF29" s="161"/>
      <c r="FG29" s="161"/>
      <c r="FH29" s="161"/>
      <c r="FI29" s="161"/>
      <c r="FJ29" s="161"/>
      <c r="FK29" s="161"/>
      <c r="FL29" s="161"/>
      <c r="FM29" s="161"/>
      <c r="FN29" s="161"/>
      <c r="FO29" s="161"/>
      <c r="FP29" s="161"/>
      <c r="FQ29" s="161"/>
      <c r="FR29" s="161"/>
      <c r="FS29" s="161"/>
      <c r="FT29" s="161"/>
      <c r="FU29" s="161"/>
      <c r="FV29" s="161"/>
      <c r="FW29" s="161"/>
      <c r="FX29" s="161"/>
      <c r="FY29" s="161"/>
      <c r="FZ29" s="161"/>
      <c r="GA29" s="161"/>
      <c r="GB29" s="161"/>
      <c r="GC29" s="161"/>
      <c r="GD29" s="161"/>
      <c r="GE29" s="161"/>
      <c r="GF29" s="161"/>
      <c r="GG29" s="161"/>
      <c r="GH29" s="161"/>
      <c r="GI29" s="161"/>
      <c r="GJ29" s="161"/>
      <c r="GK29" s="161"/>
      <c r="GL29" s="161"/>
      <c r="GM29" s="161"/>
      <c r="GN29" s="161"/>
      <c r="GO29" s="161"/>
      <c r="GP29" s="161"/>
      <c r="GQ29" s="161"/>
      <c r="GR29" s="161"/>
      <c r="GS29" s="161"/>
      <c r="GT29" s="161"/>
      <c r="GU29" s="161"/>
      <c r="GV29" s="161"/>
      <c r="GW29" s="161"/>
      <c r="GX29" s="161"/>
      <c r="GY29" s="161"/>
      <c r="GZ29" s="161"/>
      <c r="HA29" s="161"/>
      <c r="HB29" s="161"/>
      <c r="HC29" s="161"/>
      <c r="HD29" s="161"/>
      <c r="HE29" s="161"/>
      <c r="HF29" s="161"/>
      <c r="HG29" s="161"/>
      <c r="HH29" s="161"/>
      <c r="HI29" s="161"/>
      <c r="HJ29" s="161"/>
      <c r="HK29" s="161"/>
      <c r="HL29" s="161"/>
      <c r="HM29" s="162"/>
      <c r="HN29" s="162"/>
      <c r="HO29" s="162"/>
      <c r="HP29" s="162"/>
      <c r="HQ29" s="162"/>
      <c r="HR29" s="162"/>
      <c r="HS29" s="162"/>
      <c r="HT29" s="162"/>
      <c r="HU29" s="162"/>
      <c r="HV29" s="162"/>
      <c r="HW29" s="162"/>
      <c r="HX29" s="162"/>
      <c r="HY29" s="163" t="str">
        <f t="shared" si="0"/>
        <v>Lengkapi 12 Self Estimate</v>
      </c>
      <c r="HZ29" s="164" t="str">
        <f>IF($HY29&lt;&gt;"OK","",Hasil!$AU29)</f>
        <v/>
      </c>
      <c r="IA29" s="164" t="str">
        <f>IF($HY29&lt;&gt;"OK","",Hasil!$AV29)</f>
        <v/>
      </c>
    </row>
    <row r="30" spans="1:235" ht="13.4" customHeight="1">
      <c r="A30" s="160">
        <v>26</v>
      </c>
      <c r="B30" s="160" t="s">
        <v>331</v>
      </c>
      <c r="C30" s="160" t="s">
        <v>332</v>
      </c>
      <c r="D30" s="160" t="s">
        <v>282</v>
      </c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1"/>
      <c r="DH30" s="161"/>
      <c r="DI30" s="161"/>
      <c r="DJ30" s="161"/>
      <c r="DK30" s="161"/>
      <c r="DL30" s="161"/>
      <c r="DM30" s="161"/>
      <c r="DN30" s="161"/>
      <c r="DO30" s="161"/>
      <c r="DP30" s="161"/>
      <c r="DQ30" s="161"/>
      <c r="DR30" s="161"/>
      <c r="DS30" s="161"/>
      <c r="DT30" s="161"/>
      <c r="DU30" s="161"/>
      <c r="DV30" s="161"/>
      <c r="DW30" s="161"/>
      <c r="DX30" s="161"/>
      <c r="DY30" s="161"/>
      <c r="DZ30" s="161"/>
      <c r="EA30" s="161"/>
      <c r="EB30" s="161"/>
      <c r="EC30" s="161"/>
      <c r="ED30" s="161"/>
      <c r="EE30" s="161"/>
      <c r="EF30" s="161"/>
      <c r="EG30" s="161"/>
      <c r="EH30" s="161"/>
      <c r="EI30" s="161"/>
      <c r="EJ30" s="161"/>
      <c r="EK30" s="161"/>
      <c r="EL30" s="161"/>
      <c r="EM30" s="161"/>
      <c r="EN30" s="161"/>
      <c r="EO30" s="161"/>
      <c r="EP30" s="161"/>
      <c r="EQ30" s="161"/>
      <c r="ER30" s="161"/>
      <c r="ES30" s="161"/>
      <c r="ET30" s="161"/>
      <c r="EU30" s="161"/>
      <c r="EV30" s="161"/>
      <c r="EW30" s="161"/>
      <c r="EX30" s="161"/>
      <c r="EY30" s="161"/>
      <c r="EZ30" s="161"/>
      <c r="FA30" s="161"/>
      <c r="FB30" s="161"/>
      <c r="FC30" s="161"/>
      <c r="FD30" s="161"/>
      <c r="FE30" s="161"/>
      <c r="FF30" s="161"/>
      <c r="FG30" s="161"/>
      <c r="FH30" s="161"/>
      <c r="FI30" s="161"/>
      <c r="FJ30" s="161"/>
      <c r="FK30" s="161"/>
      <c r="FL30" s="161"/>
      <c r="FM30" s="161"/>
      <c r="FN30" s="161"/>
      <c r="FO30" s="161"/>
      <c r="FP30" s="161"/>
      <c r="FQ30" s="161"/>
      <c r="FR30" s="161"/>
      <c r="FS30" s="161"/>
      <c r="FT30" s="161"/>
      <c r="FU30" s="161"/>
      <c r="FV30" s="161"/>
      <c r="FW30" s="161"/>
      <c r="FX30" s="161"/>
      <c r="FY30" s="161"/>
      <c r="FZ30" s="161"/>
      <c r="GA30" s="161"/>
      <c r="GB30" s="161"/>
      <c r="GC30" s="161"/>
      <c r="GD30" s="161"/>
      <c r="GE30" s="161"/>
      <c r="GF30" s="161"/>
      <c r="GG30" s="161"/>
      <c r="GH30" s="161"/>
      <c r="GI30" s="161"/>
      <c r="GJ30" s="161"/>
      <c r="GK30" s="161"/>
      <c r="GL30" s="161"/>
      <c r="GM30" s="161"/>
      <c r="GN30" s="161"/>
      <c r="GO30" s="161"/>
      <c r="GP30" s="161"/>
      <c r="GQ30" s="161"/>
      <c r="GR30" s="161"/>
      <c r="GS30" s="161"/>
      <c r="GT30" s="161"/>
      <c r="GU30" s="161"/>
      <c r="GV30" s="161"/>
      <c r="GW30" s="161"/>
      <c r="GX30" s="161"/>
      <c r="GY30" s="161"/>
      <c r="GZ30" s="161"/>
      <c r="HA30" s="161"/>
      <c r="HB30" s="161"/>
      <c r="HC30" s="161"/>
      <c r="HD30" s="161"/>
      <c r="HE30" s="161"/>
      <c r="HF30" s="161"/>
      <c r="HG30" s="161"/>
      <c r="HH30" s="161"/>
      <c r="HI30" s="161"/>
      <c r="HJ30" s="161"/>
      <c r="HK30" s="161"/>
      <c r="HL30" s="161"/>
      <c r="HM30" s="162"/>
      <c r="HN30" s="162"/>
      <c r="HO30" s="162"/>
      <c r="HP30" s="162"/>
      <c r="HQ30" s="162"/>
      <c r="HR30" s="162"/>
      <c r="HS30" s="162"/>
      <c r="HT30" s="162"/>
      <c r="HU30" s="162"/>
      <c r="HV30" s="162"/>
      <c r="HW30" s="162"/>
      <c r="HX30" s="162"/>
      <c r="HY30" s="163" t="str">
        <f t="shared" si="0"/>
        <v>Lengkapi 12 Self Estimate</v>
      </c>
      <c r="HZ30" s="164" t="str">
        <f>IF($HY30&lt;&gt;"OK","",Hasil!$AU30)</f>
        <v/>
      </c>
      <c r="IA30" s="164" t="str">
        <f>IF($HY30&lt;&gt;"OK","",Hasil!$AV30)</f>
        <v/>
      </c>
    </row>
    <row r="31" spans="1:235" ht="13.4" customHeight="1">
      <c r="A31" s="160">
        <v>27</v>
      </c>
      <c r="B31" s="160" t="s">
        <v>333</v>
      </c>
      <c r="C31" s="160" t="s">
        <v>334</v>
      </c>
      <c r="D31" s="160" t="s">
        <v>282</v>
      </c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  <c r="CG31" s="161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  <c r="CR31" s="161"/>
      <c r="CS31" s="161"/>
      <c r="CT31" s="161"/>
      <c r="CU31" s="161"/>
      <c r="CV31" s="161"/>
      <c r="CW31" s="161"/>
      <c r="CX31" s="161"/>
      <c r="CY31" s="161"/>
      <c r="CZ31" s="161"/>
      <c r="DA31" s="161"/>
      <c r="DB31" s="161"/>
      <c r="DC31" s="161"/>
      <c r="DD31" s="161"/>
      <c r="DE31" s="161"/>
      <c r="DF31" s="161"/>
      <c r="DG31" s="161"/>
      <c r="DH31" s="161"/>
      <c r="DI31" s="161"/>
      <c r="DJ31" s="161"/>
      <c r="DK31" s="161"/>
      <c r="DL31" s="161"/>
      <c r="DM31" s="161"/>
      <c r="DN31" s="161"/>
      <c r="DO31" s="161"/>
      <c r="DP31" s="161"/>
      <c r="DQ31" s="161"/>
      <c r="DR31" s="161"/>
      <c r="DS31" s="161"/>
      <c r="DT31" s="161"/>
      <c r="DU31" s="161"/>
      <c r="DV31" s="161"/>
      <c r="DW31" s="161"/>
      <c r="DX31" s="161"/>
      <c r="DY31" s="161"/>
      <c r="DZ31" s="161"/>
      <c r="EA31" s="161"/>
      <c r="EB31" s="161"/>
      <c r="EC31" s="161"/>
      <c r="ED31" s="161"/>
      <c r="EE31" s="161"/>
      <c r="EF31" s="161"/>
      <c r="EG31" s="161"/>
      <c r="EH31" s="161"/>
      <c r="EI31" s="161"/>
      <c r="EJ31" s="161"/>
      <c r="EK31" s="161"/>
      <c r="EL31" s="161"/>
      <c r="EM31" s="161"/>
      <c r="EN31" s="161"/>
      <c r="EO31" s="161"/>
      <c r="EP31" s="161"/>
      <c r="EQ31" s="161"/>
      <c r="ER31" s="161"/>
      <c r="ES31" s="161"/>
      <c r="ET31" s="161"/>
      <c r="EU31" s="161"/>
      <c r="EV31" s="161"/>
      <c r="EW31" s="161"/>
      <c r="EX31" s="161"/>
      <c r="EY31" s="161"/>
      <c r="EZ31" s="161"/>
      <c r="FA31" s="161"/>
      <c r="FB31" s="161"/>
      <c r="FC31" s="161"/>
      <c r="FD31" s="161"/>
      <c r="FE31" s="161"/>
      <c r="FF31" s="161"/>
      <c r="FG31" s="161"/>
      <c r="FH31" s="161"/>
      <c r="FI31" s="161"/>
      <c r="FJ31" s="161"/>
      <c r="FK31" s="161"/>
      <c r="FL31" s="161"/>
      <c r="FM31" s="161"/>
      <c r="FN31" s="161"/>
      <c r="FO31" s="161"/>
      <c r="FP31" s="161"/>
      <c r="FQ31" s="161"/>
      <c r="FR31" s="161"/>
      <c r="FS31" s="161"/>
      <c r="FT31" s="161"/>
      <c r="FU31" s="161"/>
      <c r="FV31" s="161"/>
      <c r="FW31" s="161"/>
      <c r="FX31" s="161"/>
      <c r="FY31" s="161"/>
      <c r="FZ31" s="161"/>
      <c r="GA31" s="161"/>
      <c r="GB31" s="161"/>
      <c r="GC31" s="161"/>
      <c r="GD31" s="161"/>
      <c r="GE31" s="161"/>
      <c r="GF31" s="161"/>
      <c r="GG31" s="161"/>
      <c r="GH31" s="161"/>
      <c r="GI31" s="161"/>
      <c r="GJ31" s="161"/>
      <c r="GK31" s="161"/>
      <c r="GL31" s="161"/>
      <c r="GM31" s="161"/>
      <c r="GN31" s="161"/>
      <c r="GO31" s="161"/>
      <c r="GP31" s="161"/>
      <c r="GQ31" s="161"/>
      <c r="GR31" s="161"/>
      <c r="GS31" s="161"/>
      <c r="GT31" s="161"/>
      <c r="GU31" s="161"/>
      <c r="GV31" s="161"/>
      <c r="GW31" s="161"/>
      <c r="GX31" s="161"/>
      <c r="GY31" s="161"/>
      <c r="GZ31" s="161"/>
      <c r="HA31" s="161"/>
      <c r="HB31" s="161"/>
      <c r="HC31" s="161"/>
      <c r="HD31" s="161"/>
      <c r="HE31" s="161"/>
      <c r="HF31" s="161"/>
      <c r="HG31" s="161"/>
      <c r="HH31" s="161"/>
      <c r="HI31" s="161"/>
      <c r="HJ31" s="161"/>
      <c r="HK31" s="161"/>
      <c r="HL31" s="161"/>
      <c r="HM31" s="162"/>
      <c r="HN31" s="162"/>
      <c r="HO31" s="162"/>
      <c r="HP31" s="162"/>
      <c r="HQ31" s="162"/>
      <c r="HR31" s="162"/>
      <c r="HS31" s="162"/>
      <c r="HT31" s="162"/>
      <c r="HU31" s="162"/>
      <c r="HV31" s="162"/>
      <c r="HW31" s="162"/>
      <c r="HX31" s="162"/>
      <c r="HY31" s="163" t="str">
        <f t="shared" si="0"/>
        <v>Lengkapi 12 Self Estimate</v>
      </c>
      <c r="HZ31" s="164" t="str">
        <f>IF($HY31&lt;&gt;"OK","",Hasil!$AU31)</f>
        <v/>
      </c>
      <c r="IA31" s="164" t="str">
        <f>IF($HY31&lt;&gt;"OK","",Hasil!$AV31)</f>
        <v/>
      </c>
    </row>
    <row r="32" spans="1:235" ht="13.4" customHeight="1">
      <c r="A32" s="160">
        <v>28</v>
      </c>
      <c r="B32" s="160" t="s">
        <v>335</v>
      </c>
      <c r="C32" s="160" t="s">
        <v>336</v>
      </c>
      <c r="D32" s="160" t="s">
        <v>282</v>
      </c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1"/>
      <c r="BV32" s="161"/>
      <c r="BW32" s="161"/>
      <c r="BX32" s="161"/>
      <c r="BY32" s="161"/>
      <c r="BZ32" s="161"/>
      <c r="CA32" s="161"/>
      <c r="CB32" s="161"/>
      <c r="CC32" s="161"/>
      <c r="CD32" s="161"/>
      <c r="CE32" s="161"/>
      <c r="CF32" s="161"/>
      <c r="CG32" s="161"/>
      <c r="CH32" s="161"/>
      <c r="CI32" s="161"/>
      <c r="CJ32" s="161"/>
      <c r="CK32" s="161"/>
      <c r="CL32" s="161"/>
      <c r="CM32" s="161"/>
      <c r="CN32" s="161"/>
      <c r="CO32" s="161"/>
      <c r="CP32" s="161"/>
      <c r="CQ32" s="161"/>
      <c r="CR32" s="161"/>
      <c r="CS32" s="161"/>
      <c r="CT32" s="161"/>
      <c r="CU32" s="161"/>
      <c r="CV32" s="161"/>
      <c r="CW32" s="161"/>
      <c r="CX32" s="161"/>
      <c r="CY32" s="161"/>
      <c r="CZ32" s="161"/>
      <c r="DA32" s="161"/>
      <c r="DB32" s="161"/>
      <c r="DC32" s="161"/>
      <c r="DD32" s="161"/>
      <c r="DE32" s="161"/>
      <c r="DF32" s="161"/>
      <c r="DG32" s="161"/>
      <c r="DH32" s="161"/>
      <c r="DI32" s="161"/>
      <c r="DJ32" s="161"/>
      <c r="DK32" s="161"/>
      <c r="DL32" s="161"/>
      <c r="DM32" s="161"/>
      <c r="DN32" s="161"/>
      <c r="DO32" s="161"/>
      <c r="DP32" s="161"/>
      <c r="DQ32" s="161"/>
      <c r="DR32" s="161"/>
      <c r="DS32" s="161"/>
      <c r="DT32" s="161"/>
      <c r="DU32" s="161"/>
      <c r="DV32" s="161"/>
      <c r="DW32" s="161"/>
      <c r="DX32" s="161"/>
      <c r="DY32" s="161"/>
      <c r="DZ32" s="161"/>
      <c r="EA32" s="161"/>
      <c r="EB32" s="161"/>
      <c r="EC32" s="161"/>
      <c r="ED32" s="161"/>
      <c r="EE32" s="161"/>
      <c r="EF32" s="161"/>
      <c r="EG32" s="161"/>
      <c r="EH32" s="161"/>
      <c r="EI32" s="161"/>
      <c r="EJ32" s="161"/>
      <c r="EK32" s="161"/>
      <c r="EL32" s="161"/>
      <c r="EM32" s="161"/>
      <c r="EN32" s="161"/>
      <c r="EO32" s="161"/>
      <c r="EP32" s="161"/>
      <c r="EQ32" s="161"/>
      <c r="ER32" s="161"/>
      <c r="ES32" s="161"/>
      <c r="ET32" s="161"/>
      <c r="EU32" s="161"/>
      <c r="EV32" s="161"/>
      <c r="EW32" s="161"/>
      <c r="EX32" s="161"/>
      <c r="EY32" s="161"/>
      <c r="EZ32" s="161"/>
      <c r="FA32" s="161"/>
      <c r="FB32" s="161"/>
      <c r="FC32" s="161"/>
      <c r="FD32" s="161"/>
      <c r="FE32" s="161"/>
      <c r="FF32" s="161"/>
      <c r="FG32" s="161"/>
      <c r="FH32" s="161"/>
      <c r="FI32" s="161"/>
      <c r="FJ32" s="161"/>
      <c r="FK32" s="161"/>
      <c r="FL32" s="161"/>
      <c r="FM32" s="161"/>
      <c r="FN32" s="161"/>
      <c r="FO32" s="161"/>
      <c r="FP32" s="161"/>
      <c r="FQ32" s="161"/>
      <c r="FR32" s="161"/>
      <c r="FS32" s="161"/>
      <c r="FT32" s="161"/>
      <c r="FU32" s="161"/>
      <c r="FV32" s="161"/>
      <c r="FW32" s="161"/>
      <c r="FX32" s="161"/>
      <c r="FY32" s="161"/>
      <c r="FZ32" s="161"/>
      <c r="GA32" s="161"/>
      <c r="GB32" s="161"/>
      <c r="GC32" s="161"/>
      <c r="GD32" s="161"/>
      <c r="GE32" s="161"/>
      <c r="GF32" s="161"/>
      <c r="GG32" s="161"/>
      <c r="GH32" s="161"/>
      <c r="GI32" s="161"/>
      <c r="GJ32" s="161"/>
      <c r="GK32" s="161"/>
      <c r="GL32" s="161"/>
      <c r="GM32" s="161"/>
      <c r="GN32" s="161"/>
      <c r="GO32" s="161"/>
      <c r="GP32" s="161"/>
      <c r="GQ32" s="161"/>
      <c r="GR32" s="161"/>
      <c r="GS32" s="161"/>
      <c r="GT32" s="161"/>
      <c r="GU32" s="161"/>
      <c r="GV32" s="161"/>
      <c r="GW32" s="161"/>
      <c r="GX32" s="161"/>
      <c r="GY32" s="161"/>
      <c r="GZ32" s="161"/>
      <c r="HA32" s="161"/>
      <c r="HB32" s="161"/>
      <c r="HC32" s="161"/>
      <c r="HD32" s="161"/>
      <c r="HE32" s="161"/>
      <c r="HF32" s="161"/>
      <c r="HG32" s="161"/>
      <c r="HH32" s="161"/>
      <c r="HI32" s="161"/>
      <c r="HJ32" s="161"/>
      <c r="HK32" s="161"/>
      <c r="HL32" s="161"/>
      <c r="HM32" s="162"/>
      <c r="HN32" s="162"/>
      <c r="HO32" s="162"/>
      <c r="HP32" s="162"/>
      <c r="HQ32" s="162"/>
      <c r="HR32" s="162"/>
      <c r="HS32" s="162"/>
      <c r="HT32" s="162"/>
      <c r="HU32" s="162"/>
      <c r="HV32" s="162"/>
      <c r="HW32" s="162"/>
      <c r="HX32" s="162"/>
      <c r="HY32" s="163" t="str">
        <f t="shared" si="0"/>
        <v>Lengkapi 12 Self Estimate</v>
      </c>
      <c r="HZ32" s="164" t="str">
        <f>IF($HY32&lt;&gt;"OK","",Hasil!$AU32)</f>
        <v/>
      </c>
      <c r="IA32" s="164" t="str">
        <f>IF($HY32&lt;&gt;"OK","",Hasil!$AV32)</f>
        <v/>
      </c>
    </row>
    <row r="33" spans="1:235" ht="13.4" customHeight="1">
      <c r="A33" s="160">
        <v>29</v>
      </c>
      <c r="B33" s="160" t="s">
        <v>337</v>
      </c>
      <c r="C33" s="160" t="s">
        <v>338</v>
      </c>
      <c r="D33" s="160" t="s">
        <v>282</v>
      </c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1"/>
      <c r="BV33" s="161"/>
      <c r="BW33" s="161"/>
      <c r="BX33" s="161"/>
      <c r="BY33" s="161"/>
      <c r="BZ33" s="161"/>
      <c r="CA33" s="161"/>
      <c r="CB33" s="161"/>
      <c r="CC33" s="161"/>
      <c r="CD33" s="161"/>
      <c r="CE33" s="161"/>
      <c r="CF33" s="161"/>
      <c r="CG33" s="161"/>
      <c r="CH33" s="161"/>
      <c r="CI33" s="161"/>
      <c r="CJ33" s="161"/>
      <c r="CK33" s="161"/>
      <c r="CL33" s="161"/>
      <c r="CM33" s="161"/>
      <c r="CN33" s="161"/>
      <c r="CO33" s="161"/>
      <c r="CP33" s="161"/>
      <c r="CQ33" s="161"/>
      <c r="CR33" s="161"/>
      <c r="CS33" s="161"/>
      <c r="CT33" s="161"/>
      <c r="CU33" s="161"/>
      <c r="CV33" s="161"/>
      <c r="CW33" s="161"/>
      <c r="CX33" s="161"/>
      <c r="CY33" s="161"/>
      <c r="CZ33" s="161"/>
      <c r="DA33" s="161"/>
      <c r="DB33" s="161"/>
      <c r="DC33" s="161"/>
      <c r="DD33" s="161"/>
      <c r="DE33" s="161"/>
      <c r="DF33" s="161"/>
      <c r="DG33" s="161"/>
      <c r="DH33" s="161"/>
      <c r="DI33" s="161"/>
      <c r="DJ33" s="161"/>
      <c r="DK33" s="161"/>
      <c r="DL33" s="161"/>
      <c r="DM33" s="161"/>
      <c r="DN33" s="161"/>
      <c r="DO33" s="161"/>
      <c r="DP33" s="161"/>
      <c r="DQ33" s="161"/>
      <c r="DR33" s="161"/>
      <c r="DS33" s="161"/>
      <c r="DT33" s="161"/>
      <c r="DU33" s="161"/>
      <c r="DV33" s="161"/>
      <c r="DW33" s="161"/>
      <c r="DX33" s="161"/>
      <c r="DY33" s="161"/>
      <c r="DZ33" s="161"/>
      <c r="EA33" s="161"/>
      <c r="EB33" s="161"/>
      <c r="EC33" s="161"/>
      <c r="ED33" s="161"/>
      <c r="EE33" s="161"/>
      <c r="EF33" s="161"/>
      <c r="EG33" s="161"/>
      <c r="EH33" s="161"/>
      <c r="EI33" s="161"/>
      <c r="EJ33" s="161"/>
      <c r="EK33" s="161"/>
      <c r="EL33" s="161"/>
      <c r="EM33" s="161"/>
      <c r="EN33" s="161"/>
      <c r="EO33" s="161"/>
      <c r="EP33" s="161"/>
      <c r="EQ33" s="161"/>
      <c r="ER33" s="161"/>
      <c r="ES33" s="161"/>
      <c r="ET33" s="161"/>
      <c r="EU33" s="161"/>
      <c r="EV33" s="161"/>
      <c r="EW33" s="161"/>
      <c r="EX33" s="161"/>
      <c r="EY33" s="161"/>
      <c r="EZ33" s="161"/>
      <c r="FA33" s="161"/>
      <c r="FB33" s="161"/>
      <c r="FC33" s="161"/>
      <c r="FD33" s="161"/>
      <c r="FE33" s="161"/>
      <c r="FF33" s="161"/>
      <c r="FG33" s="161"/>
      <c r="FH33" s="161"/>
      <c r="FI33" s="161"/>
      <c r="FJ33" s="161"/>
      <c r="FK33" s="161"/>
      <c r="FL33" s="161"/>
      <c r="FM33" s="161"/>
      <c r="FN33" s="161"/>
      <c r="FO33" s="161"/>
      <c r="FP33" s="161"/>
      <c r="FQ33" s="161"/>
      <c r="FR33" s="161"/>
      <c r="FS33" s="161"/>
      <c r="FT33" s="161"/>
      <c r="FU33" s="161"/>
      <c r="FV33" s="161"/>
      <c r="FW33" s="161"/>
      <c r="FX33" s="161"/>
      <c r="FY33" s="161"/>
      <c r="FZ33" s="161"/>
      <c r="GA33" s="161"/>
      <c r="GB33" s="161"/>
      <c r="GC33" s="161"/>
      <c r="GD33" s="161"/>
      <c r="GE33" s="161"/>
      <c r="GF33" s="161"/>
      <c r="GG33" s="161"/>
      <c r="GH33" s="161"/>
      <c r="GI33" s="161"/>
      <c r="GJ33" s="161"/>
      <c r="GK33" s="161"/>
      <c r="GL33" s="161"/>
      <c r="GM33" s="161"/>
      <c r="GN33" s="161"/>
      <c r="GO33" s="161"/>
      <c r="GP33" s="161"/>
      <c r="GQ33" s="161"/>
      <c r="GR33" s="161"/>
      <c r="GS33" s="161"/>
      <c r="GT33" s="161"/>
      <c r="GU33" s="161"/>
      <c r="GV33" s="161"/>
      <c r="GW33" s="161"/>
      <c r="GX33" s="161"/>
      <c r="GY33" s="161"/>
      <c r="GZ33" s="161"/>
      <c r="HA33" s="161"/>
      <c r="HB33" s="161"/>
      <c r="HC33" s="161"/>
      <c r="HD33" s="161"/>
      <c r="HE33" s="161"/>
      <c r="HF33" s="161"/>
      <c r="HG33" s="161"/>
      <c r="HH33" s="161"/>
      <c r="HI33" s="161"/>
      <c r="HJ33" s="161"/>
      <c r="HK33" s="161"/>
      <c r="HL33" s="161"/>
      <c r="HM33" s="162"/>
      <c r="HN33" s="162"/>
      <c r="HO33" s="162"/>
      <c r="HP33" s="162"/>
      <c r="HQ33" s="162"/>
      <c r="HR33" s="162"/>
      <c r="HS33" s="162"/>
      <c r="HT33" s="162"/>
      <c r="HU33" s="162"/>
      <c r="HV33" s="162"/>
      <c r="HW33" s="162"/>
      <c r="HX33" s="162"/>
      <c r="HY33" s="163" t="str">
        <f t="shared" si="0"/>
        <v>Lengkapi 12 Self Estimate</v>
      </c>
      <c r="HZ33" s="164" t="str">
        <f>IF($HY33&lt;&gt;"OK","",Hasil!$AU33)</f>
        <v/>
      </c>
      <c r="IA33" s="164" t="str">
        <f>IF($HY33&lt;&gt;"OK","",Hasil!$AV33)</f>
        <v/>
      </c>
    </row>
    <row r="34" spans="1:235" ht="13.4" customHeight="1">
      <c r="A34" s="160">
        <v>30</v>
      </c>
      <c r="B34" s="160" t="s">
        <v>339</v>
      </c>
      <c r="C34" s="160" t="s">
        <v>340</v>
      </c>
      <c r="D34" s="160" t="s">
        <v>282</v>
      </c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1"/>
      <c r="BV34" s="161"/>
      <c r="BW34" s="161"/>
      <c r="BX34" s="161"/>
      <c r="BY34" s="161"/>
      <c r="BZ34" s="161"/>
      <c r="CA34" s="161"/>
      <c r="CB34" s="161"/>
      <c r="CC34" s="161"/>
      <c r="CD34" s="161"/>
      <c r="CE34" s="161"/>
      <c r="CF34" s="161"/>
      <c r="CG34" s="161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  <c r="CR34" s="161"/>
      <c r="CS34" s="161"/>
      <c r="CT34" s="161"/>
      <c r="CU34" s="161"/>
      <c r="CV34" s="161"/>
      <c r="CW34" s="161"/>
      <c r="CX34" s="161"/>
      <c r="CY34" s="161"/>
      <c r="CZ34" s="161"/>
      <c r="DA34" s="161"/>
      <c r="DB34" s="161"/>
      <c r="DC34" s="161"/>
      <c r="DD34" s="161"/>
      <c r="DE34" s="161"/>
      <c r="DF34" s="161"/>
      <c r="DG34" s="161"/>
      <c r="DH34" s="161"/>
      <c r="DI34" s="161"/>
      <c r="DJ34" s="161"/>
      <c r="DK34" s="161"/>
      <c r="DL34" s="161"/>
      <c r="DM34" s="161"/>
      <c r="DN34" s="161"/>
      <c r="DO34" s="161"/>
      <c r="DP34" s="161"/>
      <c r="DQ34" s="161"/>
      <c r="DR34" s="161"/>
      <c r="DS34" s="161"/>
      <c r="DT34" s="161"/>
      <c r="DU34" s="161"/>
      <c r="DV34" s="161"/>
      <c r="DW34" s="161"/>
      <c r="DX34" s="161"/>
      <c r="DY34" s="161"/>
      <c r="DZ34" s="161"/>
      <c r="EA34" s="161"/>
      <c r="EB34" s="161"/>
      <c r="EC34" s="161"/>
      <c r="ED34" s="161"/>
      <c r="EE34" s="161"/>
      <c r="EF34" s="161"/>
      <c r="EG34" s="161"/>
      <c r="EH34" s="161"/>
      <c r="EI34" s="161"/>
      <c r="EJ34" s="161"/>
      <c r="EK34" s="161"/>
      <c r="EL34" s="161"/>
      <c r="EM34" s="161"/>
      <c r="EN34" s="161"/>
      <c r="EO34" s="161"/>
      <c r="EP34" s="161"/>
      <c r="EQ34" s="161"/>
      <c r="ER34" s="161"/>
      <c r="ES34" s="161"/>
      <c r="ET34" s="161"/>
      <c r="EU34" s="161"/>
      <c r="EV34" s="161"/>
      <c r="EW34" s="161"/>
      <c r="EX34" s="161"/>
      <c r="EY34" s="161"/>
      <c r="EZ34" s="161"/>
      <c r="FA34" s="161"/>
      <c r="FB34" s="161"/>
      <c r="FC34" s="161"/>
      <c r="FD34" s="161"/>
      <c r="FE34" s="161"/>
      <c r="FF34" s="161"/>
      <c r="FG34" s="161"/>
      <c r="FH34" s="161"/>
      <c r="FI34" s="161"/>
      <c r="FJ34" s="161"/>
      <c r="FK34" s="161"/>
      <c r="FL34" s="161"/>
      <c r="FM34" s="161"/>
      <c r="FN34" s="161"/>
      <c r="FO34" s="161"/>
      <c r="FP34" s="161"/>
      <c r="FQ34" s="161"/>
      <c r="FR34" s="161"/>
      <c r="FS34" s="161"/>
      <c r="FT34" s="161"/>
      <c r="FU34" s="161"/>
      <c r="FV34" s="161"/>
      <c r="FW34" s="161"/>
      <c r="FX34" s="161"/>
      <c r="FY34" s="161"/>
      <c r="FZ34" s="161"/>
      <c r="GA34" s="161"/>
      <c r="GB34" s="161"/>
      <c r="GC34" s="161"/>
      <c r="GD34" s="161"/>
      <c r="GE34" s="161"/>
      <c r="GF34" s="161"/>
      <c r="GG34" s="161"/>
      <c r="GH34" s="161"/>
      <c r="GI34" s="161"/>
      <c r="GJ34" s="161"/>
      <c r="GK34" s="161"/>
      <c r="GL34" s="161"/>
      <c r="GM34" s="161"/>
      <c r="GN34" s="161"/>
      <c r="GO34" s="161"/>
      <c r="GP34" s="161"/>
      <c r="GQ34" s="161"/>
      <c r="GR34" s="161"/>
      <c r="GS34" s="161"/>
      <c r="GT34" s="161"/>
      <c r="GU34" s="161"/>
      <c r="GV34" s="161"/>
      <c r="GW34" s="161"/>
      <c r="GX34" s="161"/>
      <c r="GY34" s="161"/>
      <c r="GZ34" s="161"/>
      <c r="HA34" s="161"/>
      <c r="HB34" s="161"/>
      <c r="HC34" s="161"/>
      <c r="HD34" s="161"/>
      <c r="HE34" s="161"/>
      <c r="HF34" s="161"/>
      <c r="HG34" s="161"/>
      <c r="HH34" s="161"/>
      <c r="HI34" s="161"/>
      <c r="HJ34" s="161"/>
      <c r="HK34" s="161"/>
      <c r="HL34" s="161"/>
      <c r="HM34" s="162"/>
      <c r="HN34" s="162"/>
      <c r="HO34" s="162"/>
      <c r="HP34" s="162"/>
      <c r="HQ34" s="162"/>
      <c r="HR34" s="162"/>
      <c r="HS34" s="162"/>
      <c r="HT34" s="162"/>
      <c r="HU34" s="162"/>
      <c r="HV34" s="162"/>
      <c r="HW34" s="162"/>
      <c r="HX34" s="162"/>
      <c r="HY34" s="163" t="str">
        <f t="shared" si="0"/>
        <v>Lengkapi 12 Self Estimate</v>
      </c>
      <c r="HZ34" s="164" t="str">
        <f>IF($HY34&lt;&gt;"OK","",Hasil!$AU34)</f>
        <v/>
      </c>
      <c r="IA34" s="164" t="str">
        <f>IF($HY34&lt;&gt;"OK","",Hasil!$AV34)</f>
        <v/>
      </c>
    </row>
    <row r="35" spans="1:235" ht="13.4" customHeight="1">
      <c r="A35" s="160">
        <v>31</v>
      </c>
      <c r="B35" s="160" t="s">
        <v>341</v>
      </c>
      <c r="C35" s="160" t="s">
        <v>342</v>
      </c>
      <c r="D35" s="160" t="s">
        <v>282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1"/>
      <c r="BV35" s="161"/>
      <c r="BW35" s="161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  <c r="CR35" s="161"/>
      <c r="CS35" s="161"/>
      <c r="CT35" s="161"/>
      <c r="CU35" s="161"/>
      <c r="CV35" s="161"/>
      <c r="CW35" s="161"/>
      <c r="CX35" s="161"/>
      <c r="CY35" s="161"/>
      <c r="CZ35" s="161"/>
      <c r="DA35" s="161"/>
      <c r="DB35" s="161"/>
      <c r="DC35" s="161"/>
      <c r="DD35" s="161"/>
      <c r="DE35" s="161"/>
      <c r="DF35" s="161"/>
      <c r="DG35" s="161"/>
      <c r="DH35" s="161"/>
      <c r="DI35" s="161"/>
      <c r="DJ35" s="161"/>
      <c r="DK35" s="161"/>
      <c r="DL35" s="161"/>
      <c r="DM35" s="161"/>
      <c r="DN35" s="161"/>
      <c r="DO35" s="161"/>
      <c r="DP35" s="161"/>
      <c r="DQ35" s="161"/>
      <c r="DR35" s="161"/>
      <c r="DS35" s="161"/>
      <c r="DT35" s="161"/>
      <c r="DU35" s="161"/>
      <c r="DV35" s="161"/>
      <c r="DW35" s="161"/>
      <c r="DX35" s="161"/>
      <c r="DY35" s="161"/>
      <c r="DZ35" s="161"/>
      <c r="EA35" s="161"/>
      <c r="EB35" s="161"/>
      <c r="EC35" s="161"/>
      <c r="ED35" s="161"/>
      <c r="EE35" s="161"/>
      <c r="EF35" s="161"/>
      <c r="EG35" s="161"/>
      <c r="EH35" s="161"/>
      <c r="EI35" s="161"/>
      <c r="EJ35" s="161"/>
      <c r="EK35" s="161"/>
      <c r="EL35" s="161"/>
      <c r="EM35" s="161"/>
      <c r="EN35" s="161"/>
      <c r="EO35" s="161"/>
      <c r="EP35" s="161"/>
      <c r="EQ35" s="161"/>
      <c r="ER35" s="161"/>
      <c r="ES35" s="161"/>
      <c r="ET35" s="161"/>
      <c r="EU35" s="161"/>
      <c r="EV35" s="161"/>
      <c r="EW35" s="161"/>
      <c r="EX35" s="161"/>
      <c r="EY35" s="161"/>
      <c r="EZ35" s="161"/>
      <c r="FA35" s="161"/>
      <c r="FB35" s="161"/>
      <c r="FC35" s="161"/>
      <c r="FD35" s="161"/>
      <c r="FE35" s="161"/>
      <c r="FF35" s="161"/>
      <c r="FG35" s="161"/>
      <c r="FH35" s="161"/>
      <c r="FI35" s="161"/>
      <c r="FJ35" s="161"/>
      <c r="FK35" s="161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  <c r="GB35" s="161"/>
      <c r="GC35" s="161"/>
      <c r="GD35" s="161"/>
      <c r="GE35" s="161"/>
      <c r="GF35" s="161"/>
      <c r="GG35" s="161"/>
      <c r="GH35" s="161"/>
      <c r="GI35" s="161"/>
      <c r="GJ35" s="161"/>
      <c r="GK35" s="161"/>
      <c r="GL35" s="161"/>
      <c r="GM35" s="161"/>
      <c r="GN35" s="161"/>
      <c r="GO35" s="161"/>
      <c r="GP35" s="161"/>
      <c r="GQ35" s="161"/>
      <c r="GR35" s="161"/>
      <c r="GS35" s="161"/>
      <c r="GT35" s="161"/>
      <c r="GU35" s="161"/>
      <c r="GV35" s="161"/>
      <c r="GW35" s="161"/>
      <c r="GX35" s="161"/>
      <c r="GY35" s="161"/>
      <c r="GZ35" s="161"/>
      <c r="HA35" s="161"/>
      <c r="HB35" s="161"/>
      <c r="HC35" s="161"/>
      <c r="HD35" s="161"/>
      <c r="HE35" s="161"/>
      <c r="HF35" s="161"/>
      <c r="HG35" s="161"/>
      <c r="HH35" s="161"/>
      <c r="HI35" s="161"/>
      <c r="HJ35" s="161"/>
      <c r="HK35" s="161"/>
      <c r="HL35" s="161"/>
      <c r="HM35" s="162"/>
      <c r="HN35" s="162"/>
      <c r="HO35" s="162"/>
      <c r="HP35" s="162"/>
      <c r="HQ35" s="162"/>
      <c r="HR35" s="162"/>
      <c r="HS35" s="162"/>
      <c r="HT35" s="162"/>
      <c r="HU35" s="162"/>
      <c r="HV35" s="162"/>
      <c r="HW35" s="162"/>
      <c r="HX35" s="162"/>
      <c r="HY35" s="163" t="str">
        <f t="shared" si="0"/>
        <v>Lengkapi 12 Self Estimate</v>
      </c>
      <c r="HZ35" s="164" t="str">
        <f>IF($HY35&lt;&gt;"OK","",Hasil!$AU35)</f>
        <v/>
      </c>
      <c r="IA35" s="164" t="str">
        <f>IF($HY35&lt;&gt;"OK","",Hasil!$AV35)</f>
        <v/>
      </c>
    </row>
    <row r="36" spans="1:235" ht="13.4" customHeight="1">
      <c r="A36" s="160">
        <v>32</v>
      </c>
      <c r="B36" s="160" t="s">
        <v>343</v>
      </c>
      <c r="C36" s="160" t="s">
        <v>344</v>
      </c>
      <c r="D36" s="160" t="s">
        <v>282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A36" s="161"/>
      <c r="CB36" s="161"/>
      <c r="CC36" s="161"/>
      <c r="CD36" s="161"/>
      <c r="CE36" s="161"/>
      <c r="CF36" s="161"/>
      <c r="CG36" s="161"/>
      <c r="CH36" s="161"/>
      <c r="CI36" s="161"/>
      <c r="CJ36" s="161"/>
      <c r="CK36" s="161"/>
      <c r="CL36" s="161"/>
      <c r="CM36" s="161"/>
      <c r="CN36" s="161"/>
      <c r="CO36" s="161"/>
      <c r="CP36" s="161"/>
      <c r="CQ36" s="161"/>
      <c r="CR36" s="161"/>
      <c r="CS36" s="161"/>
      <c r="CT36" s="161"/>
      <c r="CU36" s="161"/>
      <c r="CV36" s="161"/>
      <c r="CW36" s="161"/>
      <c r="CX36" s="161"/>
      <c r="CY36" s="161"/>
      <c r="CZ36" s="161"/>
      <c r="DA36" s="161"/>
      <c r="DB36" s="161"/>
      <c r="DC36" s="161"/>
      <c r="DD36" s="161"/>
      <c r="DE36" s="161"/>
      <c r="DF36" s="161"/>
      <c r="DG36" s="161"/>
      <c r="DH36" s="161"/>
      <c r="DI36" s="161"/>
      <c r="DJ36" s="161"/>
      <c r="DK36" s="161"/>
      <c r="DL36" s="161"/>
      <c r="DM36" s="161"/>
      <c r="DN36" s="161"/>
      <c r="DO36" s="161"/>
      <c r="DP36" s="161"/>
      <c r="DQ36" s="161"/>
      <c r="DR36" s="161"/>
      <c r="DS36" s="161"/>
      <c r="DT36" s="161"/>
      <c r="DU36" s="161"/>
      <c r="DV36" s="161"/>
      <c r="DW36" s="161"/>
      <c r="DX36" s="161"/>
      <c r="DY36" s="161"/>
      <c r="DZ36" s="161"/>
      <c r="EA36" s="161"/>
      <c r="EB36" s="161"/>
      <c r="EC36" s="161"/>
      <c r="ED36" s="161"/>
      <c r="EE36" s="161"/>
      <c r="EF36" s="161"/>
      <c r="EG36" s="161"/>
      <c r="EH36" s="161"/>
      <c r="EI36" s="161"/>
      <c r="EJ36" s="161"/>
      <c r="EK36" s="161"/>
      <c r="EL36" s="161"/>
      <c r="EM36" s="161"/>
      <c r="EN36" s="161"/>
      <c r="EO36" s="161"/>
      <c r="EP36" s="161"/>
      <c r="EQ36" s="161"/>
      <c r="ER36" s="161"/>
      <c r="ES36" s="161"/>
      <c r="ET36" s="161"/>
      <c r="EU36" s="161"/>
      <c r="EV36" s="161"/>
      <c r="EW36" s="161"/>
      <c r="EX36" s="161"/>
      <c r="EY36" s="161"/>
      <c r="EZ36" s="161"/>
      <c r="FA36" s="161"/>
      <c r="FB36" s="161"/>
      <c r="FC36" s="161"/>
      <c r="FD36" s="161"/>
      <c r="FE36" s="161"/>
      <c r="FF36" s="161"/>
      <c r="FG36" s="161"/>
      <c r="FH36" s="161"/>
      <c r="FI36" s="161"/>
      <c r="FJ36" s="161"/>
      <c r="FK36" s="161"/>
      <c r="FL36" s="161"/>
      <c r="FM36" s="161"/>
      <c r="FN36" s="161"/>
      <c r="FO36" s="161"/>
      <c r="FP36" s="161"/>
      <c r="FQ36" s="161"/>
      <c r="FR36" s="161"/>
      <c r="FS36" s="161"/>
      <c r="FT36" s="161"/>
      <c r="FU36" s="161"/>
      <c r="FV36" s="161"/>
      <c r="FW36" s="161"/>
      <c r="FX36" s="161"/>
      <c r="FY36" s="161"/>
      <c r="FZ36" s="161"/>
      <c r="GA36" s="161"/>
      <c r="GB36" s="161"/>
      <c r="GC36" s="161"/>
      <c r="GD36" s="161"/>
      <c r="GE36" s="161"/>
      <c r="GF36" s="161"/>
      <c r="GG36" s="161"/>
      <c r="GH36" s="161"/>
      <c r="GI36" s="161"/>
      <c r="GJ36" s="161"/>
      <c r="GK36" s="161"/>
      <c r="GL36" s="161"/>
      <c r="GM36" s="161"/>
      <c r="GN36" s="161"/>
      <c r="GO36" s="161"/>
      <c r="GP36" s="161"/>
      <c r="GQ36" s="161"/>
      <c r="GR36" s="161"/>
      <c r="GS36" s="161"/>
      <c r="GT36" s="161"/>
      <c r="GU36" s="161"/>
      <c r="GV36" s="161"/>
      <c r="GW36" s="161"/>
      <c r="GX36" s="161"/>
      <c r="GY36" s="161"/>
      <c r="GZ36" s="161"/>
      <c r="HA36" s="161"/>
      <c r="HB36" s="161"/>
      <c r="HC36" s="161"/>
      <c r="HD36" s="161"/>
      <c r="HE36" s="161"/>
      <c r="HF36" s="161"/>
      <c r="HG36" s="161"/>
      <c r="HH36" s="161"/>
      <c r="HI36" s="161"/>
      <c r="HJ36" s="161"/>
      <c r="HK36" s="161"/>
      <c r="HL36" s="161"/>
      <c r="HM36" s="162"/>
      <c r="HN36" s="162"/>
      <c r="HO36" s="162"/>
      <c r="HP36" s="162"/>
      <c r="HQ36" s="162"/>
      <c r="HR36" s="162"/>
      <c r="HS36" s="162"/>
      <c r="HT36" s="162"/>
      <c r="HU36" s="162"/>
      <c r="HV36" s="162"/>
      <c r="HW36" s="162"/>
      <c r="HX36" s="162"/>
      <c r="HY36" s="163" t="str">
        <f t="shared" si="0"/>
        <v>Lengkapi 12 Self Estimate</v>
      </c>
      <c r="HZ36" s="164" t="str">
        <f>IF($HY36&lt;&gt;"OK","",Hasil!$AU36)</f>
        <v/>
      </c>
      <c r="IA36" s="164" t="str">
        <f>IF($HY36&lt;&gt;"OK","",Hasil!$AV36)</f>
        <v/>
      </c>
    </row>
    <row r="37" spans="1:235" ht="13.4" customHeight="1">
      <c r="A37" s="160">
        <v>33</v>
      </c>
      <c r="B37" s="160" t="s">
        <v>345</v>
      </c>
      <c r="C37" s="160" t="s">
        <v>346</v>
      </c>
      <c r="D37" s="160" t="s">
        <v>282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  <c r="BS37" s="161"/>
      <c r="BT37" s="161"/>
      <c r="BU37" s="161"/>
      <c r="BV37" s="161"/>
      <c r="BW37" s="161"/>
      <c r="BX37" s="161"/>
      <c r="BY37" s="161"/>
      <c r="BZ37" s="161"/>
      <c r="CA37" s="161"/>
      <c r="CB37" s="161"/>
      <c r="CC37" s="161"/>
      <c r="CD37" s="161"/>
      <c r="CE37" s="161"/>
      <c r="CF37" s="161"/>
      <c r="CG37" s="161"/>
      <c r="CH37" s="161"/>
      <c r="CI37" s="161"/>
      <c r="CJ37" s="161"/>
      <c r="CK37" s="161"/>
      <c r="CL37" s="161"/>
      <c r="CM37" s="161"/>
      <c r="CN37" s="161"/>
      <c r="CO37" s="161"/>
      <c r="CP37" s="161"/>
      <c r="CQ37" s="161"/>
      <c r="CR37" s="161"/>
      <c r="CS37" s="161"/>
      <c r="CT37" s="161"/>
      <c r="CU37" s="161"/>
      <c r="CV37" s="161"/>
      <c r="CW37" s="161"/>
      <c r="CX37" s="161"/>
      <c r="CY37" s="161"/>
      <c r="CZ37" s="161"/>
      <c r="DA37" s="161"/>
      <c r="DB37" s="161"/>
      <c r="DC37" s="161"/>
      <c r="DD37" s="161"/>
      <c r="DE37" s="161"/>
      <c r="DF37" s="161"/>
      <c r="DG37" s="161"/>
      <c r="DH37" s="161"/>
      <c r="DI37" s="161"/>
      <c r="DJ37" s="161"/>
      <c r="DK37" s="161"/>
      <c r="DL37" s="161"/>
      <c r="DM37" s="161"/>
      <c r="DN37" s="161"/>
      <c r="DO37" s="161"/>
      <c r="DP37" s="161"/>
      <c r="DQ37" s="161"/>
      <c r="DR37" s="161"/>
      <c r="DS37" s="161"/>
      <c r="DT37" s="161"/>
      <c r="DU37" s="161"/>
      <c r="DV37" s="161"/>
      <c r="DW37" s="161"/>
      <c r="DX37" s="161"/>
      <c r="DY37" s="161"/>
      <c r="DZ37" s="161"/>
      <c r="EA37" s="161"/>
      <c r="EB37" s="161"/>
      <c r="EC37" s="161"/>
      <c r="ED37" s="161"/>
      <c r="EE37" s="161"/>
      <c r="EF37" s="161"/>
      <c r="EG37" s="161"/>
      <c r="EH37" s="161"/>
      <c r="EI37" s="161"/>
      <c r="EJ37" s="161"/>
      <c r="EK37" s="161"/>
      <c r="EL37" s="161"/>
      <c r="EM37" s="161"/>
      <c r="EN37" s="161"/>
      <c r="EO37" s="161"/>
      <c r="EP37" s="161"/>
      <c r="EQ37" s="161"/>
      <c r="ER37" s="161"/>
      <c r="ES37" s="161"/>
      <c r="ET37" s="161"/>
      <c r="EU37" s="161"/>
      <c r="EV37" s="161"/>
      <c r="EW37" s="161"/>
      <c r="EX37" s="161"/>
      <c r="EY37" s="161"/>
      <c r="EZ37" s="161"/>
      <c r="FA37" s="161"/>
      <c r="FB37" s="161"/>
      <c r="FC37" s="161"/>
      <c r="FD37" s="161"/>
      <c r="FE37" s="161"/>
      <c r="FF37" s="161"/>
      <c r="FG37" s="161"/>
      <c r="FH37" s="161"/>
      <c r="FI37" s="161"/>
      <c r="FJ37" s="161"/>
      <c r="FK37" s="161"/>
      <c r="FL37" s="161"/>
      <c r="FM37" s="161"/>
      <c r="FN37" s="161"/>
      <c r="FO37" s="161"/>
      <c r="FP37" s="161"/>
      <c r="FQ37" s="161"/>
      <c r="FR37" s="161"/>
      <c r="FS37" s="161"/>
      <c r="FT37" s="161"/>
      <c r="FU37" s="161"/>
      <c r="FV37" s="161"/>
      <c r="FW37" s="161"/>
      <c r="FX37" s="161"/>
      <c r="FY37" s="161"/>
      <c r="FZ37" s="161"/>
      <c r="GA37" s="161"/>
      <c r="GB37" s="161"/>
      <c r="GC37" s="161"/>
      <c r="GD37" s="161"/>
      <c r="GE37" s="161"/>
      <c r="GF37" s="161"/>
      <c r="GG37" s="161"/>
      <c r="GH37" s="161"/>
      <c r="GI37" s="161"/>
      <c r="GJ37" s="161"/>
      <c r="GK37" s="161"/>
      <c r="GL37" s="161"/>
      <c r="GM37" s="161"/>
      <c r="GN37" s="161"/>
      <c r="GO37" s="161"/>
      <c r="GP37" s="161"/>
      <c r="GQ37" s="161"/>
      <c r="GR37" s="161"/>
      <c r="GS37" s="161"/>
      <c r="GT37" s="161"/>
      <c r="GU37" s="161"/>
      <c r="GV37" s="161"/>
      <c r="GW37" s="161"/>
      <c r="GX37" s="161"/>
      <c r="GY37" s="161"/>
      <c r="GZ37" s="161"/>
      <c r="HA37" s="161"/>
      <c r="HB37" s="161"/>
      <c r="HC37" s="161"/>
      <c r="HD37" s="161"/>
      <c r="HE37" s="161"/>
      <c r="HF37" s="161"/>
      <c r="HG37" s="161"/>
      <c r="HH37" s="161"/>
      <c r="HI37" s="161"/>
      <c r="HJ37" s="161"/>
      <c r="HK37" s="161"/>
      <c r="HL37" s="161"/>
      <c r="HM37" s="162"/>
      <c r="HN37" s="162"/>
      <c r="HO37" s="162"/>
      <c r="HP37" s="162"/>
      <c r="HQ37" s="162"/>
      <c r="HR37" s="162"/>
      <c r="HS37" s="162"/>
      <c r="HT37" s="162"/>
      <c r="HU37" s="162"/>
      <c r="HV37" s="162"/>
      <c r="HW37" s="162"/>
      <c r="HX37" s="162"/>
      <c r="HY37" s="163" t="str">
        <f t="shared" ref="HY37:HY68" si="1">IF(AND(B37="",C37=""),"",IF(OR(B37="",C37=""),"Lengkapi identitas",IF(COUNT(HM37:HX37)&lt;12,"Lengkapi 12 Self Estimate",IF(OR(MIN(HM37:HX37)&lt;1,MAX(HM37:HX37)&gt;7),"Self Estimate harus 1–7","OK"))))</f>
        <v>Lengkapi 12 Self Estimate</v>
      </c>
      <c r="HZ37" s="164" t="str">
        <f>IF($HY37&lt;&gt;"OK","",Hasil!$AU37)</f>
        <v/>
      </c>
      <c r="IA37" s="164" t="str">
        <f>IF($HY37&lt;&gt;"OK","",Hasil!$AV37)</f>
        <v/>
      </c>
    </row>
    <row r="38" spans="1:235" ht="13.4" customHeight="1">
      <c r="A38" s="160">
        <v>34</v>
      </c>
      <c r="B38" s="160" t="s">
        <v>347</v>
      </c>
      <c r="C38" s="160" t="s">
        <v>348</v>
      </c>
      <c r="D38" s="160" t="s">
        <v>282</v>
      </c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  <c r="BS38" s="161"/>
      <c r="BT38" s="161"/>
      <c r="BU38" s="161"/>
      <c r="BV38" s="161"/>
      <c r="BW38" s="161"/>
      <c r="BX38" s="161"/>
      <c r="BY38" s="161"/>
      <c r="BZ38" s="161"/>
      <c r="CA38" s="161"/>
      <c r="CB38" s="161"/>
      <c r="CC38" s="161"/>
      <c r="CD38" s="161"/>
      <c r="CE38" s="161"/>
      <c r="CF38" s="161"/>
      <c r="CG38" s="161"/>
      <c r="CH38" s="161"/>
      <c r="CI38" s="161"/>
      <c r="CJ38" s="161"/>
      <c r="CK38" s="161"/>
      <c r="CL38" s="161"/>
      <c r="CM38" s="161"/>
      <c r="CN38" s="161"/>
      <c r="CO38" s="161"/>
      <c r="CP38" s="161"/>
      <c r="CQ38" s="161"/>
      <c r="CR38" s="161"/>
      <c r="CS38" s="161"/>
      <c r="CT38" s="161"/>
      <c r="CU38" s="161"/>
      <c r="CV38" s="161"/>
      <c r="CW38" s="161"/>
      <c r="CX38" s="161"/>
      <c r="CY38" s="161"/>
      <c r="CZ38" s="161"/>
      <c r="DA38" s="161"/>
      <c r="DB38" s="161"/>
      <c r="DC38" s="161"/>
      <c r="DD38" s="161"/>
      <c r="DE38" s="161"/>
      <c r="DF38" s="161"/>
      <c r="DG38" s="161"/>
      <c r="DH38" s="161"/>
      <c r="DI38" s="161"/>
      <c r="DJ38" s="161"/>
      <c r="DK38" s="161"/>
      <c r="DL38" s="161"/>
      <c r="DM38" s="161"/>
      <c r="DN38" s="161"/>
      <c r="DO38" s="161"/>
      <c r="DP38" s="161"/>
      <c r="DQ38" s="161"/>
      <c r="DR38" s="161"/>
      <c r="DS38" s="161"/>
      <c r="DT38" s="161"/>
      <c r="DU38" s="161"/>
      <c r="DV38" s="161"/>
      <c r="DW38" s="161"/>
      <c r="DX38" s="161"/>
      <c r="DY38" s="161"/>
      <c r="DZ38" s="161"/>
      <c r="EA38" s="161"/>
      <c r="EB38" s="161"/>
      <c r="EC38" s="161"/>
      <c r="ED38" s="161"/>
      <c r="EE38" s="161"/>
      <c r="EF38" s="161"/>
      <c r="EG38" s="161"/>
      <c r="EH38" s="161"/>
      <c r="EI38" s="161"/>
      <c r="EJ38" s="161"/>
      <c r="EK38" s="161"/>
      <c r="EL38" s="161"/>
      <c r="EM38" s="161"/>
      <c r="EN38" s="161"/>
      <c r="EO38" s="161"/>
      <c r="EP38" s="161"/>
      <c r="EQ38" s="161"/>
      <c r="ER38" s="161"/>
      <c r="ES38" s="161"/>
      <c r="ET38" s="161"/>
      <c r="EU38" s="161"/>
      <c r="EV38" s="161"/>
      <c r="EW38" s="161"/>
      <c r="EX38" s="161"/>
      <c r="EY38" s="161"/>
      <c r="EZ38" s="161"/>
      <c r="FA38" s="161"/>
      <c r="FB38" s="161"/>
      <c r="FC38" s="161"/>
      <c r="FD38" s="161"/>
      <c r="FE38" s="161"/>
      <c r="FF38" s="161"/>
      <c r="FG38" s="161"/>
      <c r="FH38" s="161"/>
      <c r="FI38" s="161"/>
      <c r="FJ38" s="161"/>
      <c r="FK38" s="161"/>
      <c r="FL38" s="161"/>
      <c r="FM38" s="161"/>
      <c r="FN38" s="161"/>
      <c r="FO38" s="161"/>
      <c r="FP38" s="161"/>
      <c r="FQ38" s="161"/>
      <c r="FR38" s="161"/>
      <c r="FS38" s="161"/>
      <c r="FT38" s="161"/>
      <c r="FU38" s="161"/>
      <c r="FV38" s="161"/>
      <c r="FW38" s="161"/>
      <c r="FX38" s="161"/>
      <c r="FY38" s="161"/>
      <c r="FZ38" s="161"/>
      <c r="GA38" s="161"/>
      <c r="GB38" s="161"/>
      <c r="GC38" s="161"/>
      <c r="GD38" s="161"/>
      <c r="GE38" s="161"/>
      <c r="GF38" s="161"/>
      <c r="GG38" s="161"/>
      <c r="GH38" s="161"/>
      <c r="GI38" s="161"/>
      <c r="GJ38" s="161"/>
      <c r="GK38" s="161"/>
      <c r="GL38" s="161"/>
      <c r="GM38" s="161"/>
      <c r="GN38" s="161"/>
      <c r="GO38" s="161"/>
      <c r="GP38" s="161"/>
      <c r="GQ38" s="161"/>
      <c r="GR38" s="161"/>
      <c r="GS38" s="161"/>
      <c r="GT38" s="161"/>
      <c r="GU38" s="161"/>
      <c r="GV38" s="161"/>
      <c r="GW38" s="161"/>
      <c r="GX38" s="161"/>
      <c r="GY38" s="161"/>
      <c r="GZ38" s="161"/>
      <c r="HA38" s="161"/>
      <c r="HB38" s="161"/>
      <c r="HC38" s="161"/>
      <c r="HD38" s="161"/>
      <c r="HE38" s="161"/>
      <c r="HF38" s="161"/>
      <c r="HG38" s="161"/>
      <c r="HH38" s="161"/>
      <c r="HI38" s="161"/>
      <c r="HJ38" s="161"/>
      <c r="HK38" s="161"/>
      <c r="HL38" s="161"/>
      <c r="HM38" s="162"/>
      <c r="HN38" s="162"/>
      <c r="HO38" s="162"/>
      <c r="HP38" s="162"/>
      <c r="HQ38" s="162"/>
      <c r="HR38" s="162"/>
      <c r="HS38" s="162"/>
      <c r="HT38" s="162"/>
      <c r="HU38" s="162"/>
      <c r="HV38" s="162"/>
      <c r="HW38" s="162"/>
      <c r="HX38" s="162"/>
      <c r="HY38" s="163" t="str">
        <f t="shared" si="1"/>
        <v>Lengkapi 12 Self Estimate</v>
      </c>
      <c r="HZ38" s="164" t="str">
        <f>IF($HY38&lt;&gt;"OK","",Hasil!$AU38)</f>
        <v/>
      </c>
      <c r="IA38" s="164" t="str">
        <f>IF($HY38&lt;&gt;"OK","",Hasil!$AV38)</f>
        <v/>
      </c>
    </row>
    <row r="39" spans="1:235" ht="13.4" customHeight="1">
      <c r="A39" s="160">
        <v>35</v>
      </c>
      <c r="B39" s="160" t="s">
        <v>349</v>
      </c>
      <c r="C39" s="160" t="s">
        <v>350</v>
      </c>
      <c r="D39" s="160" t="s">
        <v>282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1"/>
      <c r="BV39" s="161"/>
      <c r="BW39" s="161"/>
      <c r="BX39" s="161"/>
      <c r="BY39" s="161"/>
      <c r="BZ39" s="161"/>
      <c r="CA39" s="161"/>
      <c r="CB39" s="161"/>
      <c r="CC39" s="161"/>
      <c r="CD39" s="161"/>
      <c r="CE39" s="161"/>
      <c r="CF39" s="161"/>
      <c r="CG39" s="161"/>
      <c r="CH39" s="161"/>
      <c r="CI39" s="161"/>
      <c r="CJ39" s="161"/>
      <c r="CK39" s="161"/>
      <c r="CL39" s="161"/>
      <c r="CM39" s="161"/>
      <c r="CN39" s="161"/>
      <c r="CO39" s="161"/>
      <c r="CP39" s="161"/>
      <c r="CQ39" s="161"/>
      <c r="CR39" s="161"/>
      <c r="CS39" s="161"/>
      <c r="CT39" s="161"/>
      <c r="CU39" s="161"/>
      <c r="CV39" s="161"/>
      <c r="CW39" s="161"/>
      <c r="CX39" s="161"/>
      <c r="CY39" s="161"/>
      <c r="CZ39" s="161"/>
      <c r="DA39" s="161"/>
      <c r="DB39" s="161"/>
      <c r="DC39" s="161"/>
      <c r="DD39" s="161"/>
      <c r="DE39" s="161"/>
      <c r="DF39" s="161"/>
      <c r="DG39" s="161"/>
      <c r="DH39" s="161"/>
      <c r="DI39" s="161"/>
      <c r="DJ39" s="161"/>
      <c r="DK39" s="161"/>
      <c r="DL39" s="161"/>
      <c r="DM39" s="161"/>
      <c r="DN39" s="161"/>
      <c r="DO39" s="161"/>
      <c r="DP39" s="161"/>
      <c r="DQ39" s="161"/>
      <c r="DR39" s="161"/>
      <c r="DS39" s="161"/>
      <c r="DT39" s="161"/>
      <c r="DU39" s="161"/>
      <c r="DV39" s="161"/>
      <c r="DW39" s="161"/>
      <c r="DX39" s="161"/>
      <c r="DY39" s="161"/>
      <c r="DZ39" s="161"/>
      <c r="EA39" s="161"/>
      <c r="EB39" s="161"/>
      <c r="EC39" s="161"/>
      <c r="ED39" s="161"/>
      <c r="EE39" s="161"/>
      <c r="EF39" s="161"/>
      <c r="EG39" s="161"/>
      <c r="EH39" s="161"/>
      <c r="EI39" s="161"/>
      <c r="EJ39" s="161"/>
      <c r="EK39" s="161"/>
      <c r="EL39" s="161"/>
      <c r="EM39" s="161"/>
      <c r="EN39" s="161"/>
      <c r="EO39" s="161"/>
      <c r="EP39" s="161"/>
      <c r="EQ39" s="161"/>
      <c r="ER39" s="161"/>
      <c r="ES39" s="161"/>
      <c r="ET39" s="161"/>
      <c r="EU39" s="161"/>
      <c r="EV39" s="161"/>
      <c r="EW39" s="161"/>
      <c r="EX39" s="161"/>
      <c r="EY39" s="161"/>
      <c r="EZ39" s="161"/>
      <c r="FA39" s="161"/>
      <c r="FB39" s="161"/>
      <c r="FC39" s="161"/>
      <c r="FD39" s="161"/>
      <c r="FE39" s="161"/>
      <c r="FF39" s="161"/>
      <c r="FG39" s="161"/>
      <c r="FH39" s="161"/>
      <c r="FI39" s="161"/>
      <c r="FJ39" s="161"/>
      <c r="FK39" s="161"/>
      <c r="FL39" s="161"/>
      <c r="FM39" s="161"/>
      <c r="FN39" s="161"/>
      <c r="FO39" s="161"/>
      <c r="FP39" s="161"/>
      <c r="FQ39" s="161"/>
      <c r="FR39" s="161"/>
      <c r="FS39" s="161"/>
      <c r="FT39" s="161"/>
      <c r="FU39" s="161"/>
      <c r="FV39" s="161"/>
      <c r="FW39" s="161"/>
      <c r="FX39" s="161"/>
      <c r="FY39" s="161"/>
      <c r="FZ39" s="161"/>
      <c r="GA39" s="161"/>
      <c r="GB39" s="161"/>
      <c r="GC39" s="161"/>
      <c r="GD39" s="161"/>
      <c r="GE39" s="161"/>
      <c r="GF39" s="161"/>
      <c r="GG39" s="161"/>
      <c r="GH39" s="161"/>
      <c r="GI39" s="161"/>
      <c r="GJ39" s="161"/>
      <c r="GK39" s="161"/>
      <c r="GL39" s="161"/>
      <c r="GM39" s="161"/>
      <c r="GN39" s="161"/>
      <c r="GO39" s="161"/>
      <c r="GP39" s="161"/>
      <c r="GQ39" s="161"/>
      <c r="GR39" s="161"/>
      <c r="GS39" s="161"/>
      <c r="GT39" s="161"/>
      <c r="GU39" s="161"/>
      <c r="GV39" s="161"/>
      <c r="GW39" s="161"/>
      <c r="GX39" s="161"/>
      <c r="GY39" s="161"/>
      <c r="GZ39" s="161"/>
      <c r="HA39" s="161"/>
      <c r="HB39" s="161"/>
      <c r="HC39" s="161"/>
      <c r="HD39" s="161"/>
      <c r="HE39" s="161"/>
      <c r="HF39" s="161"/>
      <c r="HG39" s="161"/>
      <c r="HH39" s="161"/>
      <c r="HI39" s="161"/>
      <c r="HJ39" s="161"/>
      <c r="HK39" s="161"/>
      <c r="HL39" s="161"/>
      <c r="HM39" s="162"/>
      <c r="HN39" s="162"/>
      <c r="HO39" s="162"/>
      <c r="HP39" s="162"/>
      <c r="HQ39" s="162"/>
      <c r="HR39" s="162"/>
      <c r="HS39" s="162"/>
      <c r="HT39" s="162"/>
      <c r="HU39" s="162"/>
      <c r="HV39" s="162"/>
      <c r="HW39" s="162"/>
      <c r="HX39" s="162"/>
      <c r="HY39" s="163" t="str">
        <f t="shared" si="1"/>
        <v>Lengkapi 12 Self Estimate</v>
      </c>
      <c r="HZ39" s="164" t="str">
        <f>IF($HY39&lt;&gt;"OK","",Hasil!$AU39)</f>
        <v/>
      </c>
      <c r="IA39" s="164" t="str">
        <f>IF($HY39&lt;&gt;"OK","",Hasil!$AV39)</f>
        <v/>
      </c>
    </row>
    <row r="40" spans="1:235" ht="13.4" customHeight="1">
      <c r="A40" s="160">
        <v>36</v>
      </c>
      <c r="B40" s="160" t="s">
        <v>351</v>
      </c>
      <c r="C40" s="160" t="s">
        <v>352</v>
      </c>
      <c r="D40" s="160" t="s">
        <v>282</v>
      </c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1"/>
      <c r="CD40" s="161"/>
      <c r="CE40" s="161"/>
      <c r="CF40" s="161"/>
      <c r="CG40" s="161"/>
      <c r="CH40" s="161"/>
      <c r="CI40" s="161"/>
      <c r="CJ40" s="161"/>
      <c r="CK40" s="161"/>
      <c r="CL40" s="161"/>
      <c r="CM40" s="161"/>
      <c r="CN40" s="161"/>
      <c r="CO40" s="161"/>
      <c r="CP40" s="161"/>
      <c r="CQ40" s="161"/>
      <c r="CR40" s="161"/>
      <c r="CS40" s="161"/>
      <c r="CT40" s="161"/>
      <c r="CU40" s="161"/>
      <c r="CV40" s="161"/>
      <c r="CW40" s="161"/>
      <c r="CX40" s="161"/>
      <c r="CY40" s="161"/>
      <c r="CZ40" s="161"/>
      <c r="DA40" s="161"/>
      <c r="DB40" s="161"/>
      <c r="DC40" s="161"/>
      <c r="DD40" s="161"/>
      <c r="DE40" s="161"/>
      <c r="DF40" s="161"/>
      <c r="DG40" s="161"/>
      <c r="DH40" s="161"/>
      <c r="DI40" s="161"/>
      <c r="DJ40" s="161"/>
      <c r="DK40" s="161"/>
      <c r="DL40" s="161"/>
      <c r="DM40" s="161"/>
      <c r="DN40" s="161"/>
      <c r="DO40" s="161"/>
      <c r="DP40" s="161"/>
      <c r="DQ40" s="161"/>
      <c r="DR40" s="161"/>
      <c r="DS40" s="161"/>
      <c r="DT40" s="161"/>
      <c r="DU40" s="161"/>
      <c r="DV40" s="161"/>
      <c r="DW40" s="161"/>
      <c r="DX40" s="161"/>
      <c r="DY40" s="161"/>
      <c r="DZ40" s="161"/>
      <c r="EA40" s="161"/>
      <c r="EB40" s="161"/>
      <c r="EC40" s="161"/>
      <c r="ED40" s="161"/>
      <c r="EE40" s="161"/>
      <c r="EF40" s="161"/>
      <c r="EG40" s="161"/>
      <c r="EH40" s="161"/>
      <c r="EI40" s="161"/>
      <c r="EJ40" s="161"/>
      <c r="EK40" s="161"/>
      <c r="EL40" s="161"/>
      <c r="EM40" s="161"/>
      <c r="EN40" s="161"/>
      <c r="EO40" s="161"/>
      <c r="EP40" s="161"/>
      <c r="EQ40" s="161"/>
      <c r="ER40" s="161"/>
      <c r="ES40" s="161"/>
      <c r="ET40" s="161"/>
      <c r="EU40" s="161"/>
      <c r="EV40" s="161"/>
      <c r="EW40" s="161"/>
      <c r="EX40" s="161"/>
      <c r="EY40" s="161"/>
      <c r="EZ40" s="161"/>
      <c r="FA40" s="161"/>
      <c r="FB40" s="161"/>
      <c r="FC40" s="161"/>
      <c r="FD40" s="161"/>
      <c r="FE40" s="161"/>
      <c r="FF40" s="161"/>
      <c r="FG40" s="161"/>
      <c r="FH40" s="161"/>
      <c r="FI40" s="161"/>
      <c r="FJ40" s="161"/>
      <c r="FK40" s="161"/>
      <c r="FL40" s="161"/>
      <c r="FM40" s="161"/>
      <c r="FN40" s="161"/>
      <c r="FO40" s="161"/>
      <c r="FP40" s="161"/>
      <c r="FQ40" s="161"/>
      <c r="FR40" s="161"/>
      <c r="FS40" s="161"/>
      <c r="FT40" s="161"/>
      <c r="FU40" s="161"/>
      <c r="FV40" s="161"/>
      <c r="FW40" s="161"/>
      <c r="FX40" s="161"/>
      <c r="FY40" s="161"/>
      <c r="FZ40" s="161"/>
      <c r="GA40" s="161"/>
      <c r="GB40" s="161"/>
      <c r="GC40" s="161"/>
      <c r="GD40" s="161"/>
      <c r="GE40" s="161"/>
      <c r="GF40" s="161"/>
      <c r="GG40" s="161"/>
      <c r="GH40" s="161"/>
      <c r="GI40" s="161"/>
      <c r="GJ40" s="161"/>
      <c r="GK40" s="161"/>
      <c r="GL40" s="161"/>
      <c r="GM40" s="161"/>
      <c r="GN40" s="161"/>
      <c r="GO40" s="161"/>
      <c r="GP40" s="161"/>
      <c r="GQ40" s="161"/>
      <c r="GR40" s="161"/>
      <c r="GS40" s="161"/>
      <c r="GT40" s="161"/>
      <c r="GU40" s="161"/>
      <c r="GV40" s="161"/>
      <c r="GW40" s="161"/>
      <c r="GX40" s="161"/>
      <c r="GY40" s="161"/>
      <c r="GZ40" s="161"/>
      <c r="HA40" s="161"/>
      <c r="HB40" s="161"/>
      <c r="HC40" s="161"/>
      <c r="HD40" s="161"/>
      <c r="HE40" s="161"/>
      <c r="HF40" s="161"/>
      <c r="HG40" s="161"/>
      <c r="HH40" s="161"/>
      <c r="HI40" s="161"/>
      <c r="HJ40" s="161"/>
      <c r="HK40" s="161"/>
      <c r="HL40" s="161"/>
      <c r="HM40" s="162"/>
      <c r="HN40" s="162"/>
      <c r="HO40" s="162"/>
      <c r="HP40" s="162"/>
      <c r="HQ40" s="162"/>
      <c r="HR40" s="162"/>
      <c r="HS40" s="162"/>
      <c r="HT40" s="162"/>
      <c r="HU40" s="162"/>
      <c r="HV40" s="162"/>
      <c r="HW40" s="162"/>
      <c r="HX40" s="162"/>
      <c r="HY40" s="163" t="str">
        <f t="shared" si="1"/>
        <v>Lengkapi 12 Self Estimate</v>
      </c>
      <c r="HZ40" s="164" t="str">
        <f>IF($HY40&lt;&gt;"OK","",Hasil!$AU40)</f>
        <v/>
      </c>
      <c r="IA40" s="164" t="str">
        <f>IF($HY40&lt;&gt;"OK","",Hasil!$AV40)</f>
        <v/>
      </c>
    </row>
    <row r="41" spans="1:235" ht="13.4" customHeight="1">
      <c r="A41" s="160">
        <v>37</v>
      </c>
      <c r="B41" s="160" t="s">
        <v>353</v>
      </c>
      <c r="C41" s="160" t="s">
        <v>354</v>
      </c>
      <c r="D41" s="160" t="s">
        <v>282</v>
      </c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1"/>
      <c r="CD41" s="161"/>
      <c r="CE41" s="16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61"/>
      <c r="CQ41" s="161"/>
      <c r="CR41" s="161"/>
      <c r="CS41" s="161"/>
      <c r="CT41" s="161"/>
      <c r="CU41" s="161"/>
      <c r="CV41" s="161"/>
      <c r="CW41" s="161"/>
      <c r="CX41" s="161"/>
      <c r="CY41" s="161"/>
      <c r="CZ41" s="161"/>
      <c r="DA41" s="161"/>
      <c r="DB41" s="161"/>
      <c r="DC41" s="161"/>
      <c r="DD41" s="161"/>
      <c r="DE41" s="161"/>
      <c r="DF41" s="161"/>
      <c r="DG41" s="161"/>
      <c r="DH41" s="161"/>
      <c r="DI41" s="161"/>
      <c r="DJ41" s="161"/>
      <c r="DK41" s="161"/>
      <c r="DL41" s="161"/>
      <c r="DM41" s="161"/>
      <c r="DN41" s="161"/>
      <c r="DO41" s="161"/>
      <c r="DP41" s="161"/>
      <c r="DQ41" s="161"/>
      <c r="DR41" s="161"/>
      <c r="DS41" s="161"/>
      <c r="DT41" s="161"/>
      <c r="DU41" s="161"/>
      <c r="DV41" s="161"/>
      <c r="DW41" s="161"/>
      <c r="DX41" s="161"/>
      <c r="DY41" s="161"/>
      <c r="DZ41" s="161"/>
      <c r="EA41" s="161"/>
      <c r="EB41" s="161"/>
      <c r="EC41" s="161"/>
      <c r="ED41" s="161"/>
      <c r="EE41" s="161"/>
      <c r="EF41" s="161"/>
      <c r="EG41" s="161"/>
      <c r="EH41" s="161"/>
      <c r="EI41" s="161"/>
      <c r="EJ41" s="161"/>
      <c r="EK41" s="161"/>
      <c r="EL41" s="161"/>
      <c r="EM41" s="161"/>
      <c r="EN41" s="161"/>
      <c r="EO41" s="161"/>
      <c r="EP41" s="161"/>
      <c r="EQ41" s="161"/>
      <c r="ER41" s="161"/>
      <c r="ES41" s="161"/>
      <c r="ET41" s="161"/>
      <c r="EU41" s="161"/>
      <c r="EV41" s="161"/>
      <c r="EW41" s="161"/>
      <c r="EX41" s="161"/>
      <c r="EY41" s="161"/>
      <c r="EZ41" s="161"/>
      <c r="FA41" s="161"/>
      <c r="FB41" s="161"/>
      <c r="FC41" s="161"/>
      <c r="FD41" s="161"/>
      <c r="FE41" s="161"/>
      <c r="FF41" s="161"/>
      <c r="FG41" s="161"/>
      <c r="FH41" s="161"/>
      <c r="FI41" s="161"/>
      <c r="FJ41" s="161"/>
      <c r="FK41" s="161"/>
      <c r="FL41" s="161"/>
      <c r="FM41" s="161"/>
      <c r="FN41" s="161"/>
      <c r="FO41" s="161"/>
      <c r="FP41" s="161"/>
      <c r="FQ41" s="161"/>
      <c r="FR41" s="161"/>
      <c r="FS41" s="161"/>
      <c r="FT41" s="161"/>
      <c r="FU41" s="161"/>
      <c r="FV41" s="161"/>
      <c r="FW41" s="161"/>
      <c r="FX41" s="161"/>
      <c r="FY41" s="161"/>
      <c r="FZ41" s="161"/>
      <c r="GA41" s="161"/>
      <c r="GB41" s="161"/>
      <c r="GC41" s="161"/>
      <c r="GD41" s="161"/>
      <c r="GE41" s="161"/>
      <c r="GF41" s="161"/>
      <c r="GG41" s="161"/>
      <c r="GH41" s="161"/>
      <c r="GI41" s="161"/>
      <c r="GJ41" s="161"/>
      <c r="GK41" s="161"/>
      <c r="GL41" s="161"/>
      <c r="GM41" s="161"/>
      <c r="GN41" s="161"/>
      <c r="GO41" s="161"/>
      <c r="GP41" s="161"/>
      <c r="GQ41" s="161"/>
      <c r="GR41" s="161"/>
      <c r="GS41" s="161"/>
      <c r="GT41" s="161"/>
      <c r="GU41" s="161"/>
      <c r="GV41" s="161"/>
      <c r="GW41" s="161"/>
      <c r="GX41" s="161"/>
      <c r="GY41" s="161"/>
      <c r="GZ41" s="161"/>
      <c r="HA41" s="161"/>
      <c r="HB41" s="161"/>
      <c r="HC41" s="161"/>
      <c r="HD41" s="161"/>
      <c r="HE41" s="161"/>
      <c r="HF41" s="161"/>
      <c r="HG41" s="161"/>
      <c r="HH41" s="161"/>
      <c r="HI41" s="161"/>
      <c r="HJ41" s="161"/>
      <c r="HK41" s="161"/>
      <c r="HL41" s="161"/>
      <c r="HM41" s="162"/>
      <c r="HN41" s="162"/>
      <c r="HO41" s="162"/>
      <c r="HP41" s="162"/>
      <c r="HQ41" s="162"/>
      <c r="HR41" s="162"/>
      <c r="HS41" s="162"/>
      <c r="HT41" s="162"/>
      <c r="HU41" s="162"/>
      <c r="HV41" s="162"/>
      <c r="HW41" s="162"/>
      <c r="HX41" s="162"/>
      <c r="HY41" s="163" t="str">
        <f t="shared" si="1"/>
        <v>Lengkapi 12 Self Estimate</v>
      </c>
      <c r="HZ41" s="164" t="str">
        <f>IF($HY41&lt;&gt;"OK","",Hasil!$AU41)</f>
        <v/>
      </c>
      <c r="IA41" s="164" t="str">
        <f>IF($HY41&lt;&gt;"OK","",Hasil!$AV41)</f>
        <v/>
      </c>
    </row>
    <row r="42" spans="1:235" ht="13.4" customHeight="1">
      <c r="A42" s="7">
        <v>38</v>
      </c>
      <c r="B42" s="8"/>
      <c r="C42" s="8"/>
      <c r="D42" s="9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5"/>
      <c r="HM42" s="19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1"/>
      <c r="HY42" s="25" t="str">
        <f t="shared" si="1"/>
        <v/>
      </c>
      <c r="HZ42" s="69" t="str">
        <f>IF($HY42&lt;&gt;"OK","",Hasil!$AU42)</f>
        <v/>
      </c>
      <c r="IA42" s="69" t="str">
        <f>IF($HY42&lt;&gt;"OK","",Hasil!$AV42)</f>
        <v/>
      </c>
    </row>
    <row r="43" spans="1:235" ht="13.4" customHeight="1">
      <c r="A43" s="7">
        <v>39</v>
      </c>
      <c r="B43" s="8"/>
      <c r="C43" s="8"/>
      <c r="D43" s="9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5"/>
      <c r="HM43" s="19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1"/>
      <c r="HY43" s="25" t="str">
        <f t="shared" si="1"/>
        <v/>
      </c>
      <c r="HZ43" s="69" t="str">
        <f>IF($HY43&lt;&gt;"OK","",Hasil!$AU43)</f>
        <v/>
      </c>
      <c r="IA43" s="69" t="str">
        <f>IF($HY43&lt;&gt;"OK","",Hasil!$AV43)</f>
        <v/>
      </c>
    </row>
    <row r="44" spans="1:235" ht="13.4" customHeight="1">
      <c r="A44" s="7">
        <v>40</v>
      </c>
      <c r="B44" s="8"/>
      <c r="C44" s="8"/>
      <c r="D44" s="9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5"/>
      <c r="HM44" s="19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1"/>
      <c r="HY44" s="25" t="str">
        <f t="shared" si="1"/>
        <v/>
      </c>
      <c r="HZ44" s="69" t="str">
        <f>IF($HY44&lt;&gt;"OK","",Hasil!$AU44)</f>
        <v/>
      </c>
      <c r="IA44" s="69" t="str">
        <f>IF($HY44&lt;&gt;"OK","",Hasil!$AV44)</f>
        <v/>
      </c>
    </row>
    <row r="45" spans="1:235" ht="13.4" customHeight="1">
      <c r="A45" s="7">
        <v>41</v>
      </c>
      <c r="B45" s="8"/>
      <c r="C45" s="8"/>
      <c r="D45" s="9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5"/>
      <c r="HM45" s="19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1"/>
      <c r="HY45" s="25" t="str">
        <f t="shared" si="1"/>
        <v/>
      </c>
      <c r="HZ45" s="69" t="str">
        <f>IF($HY45&lt;&gt;"OK","",Hasil!$AU45)</f>
        <v/>
      </c>
      <c r="IA45" s="69" t="str">
        <f>IF($HY45&lt;&gt;"OK","",Hasil!$AV45)</f>
        <v/>
      </c>
    </row>
    <row r="46" spans="1:235" ht="13.4" customHeight="1">
      <c r="A46" s="7">
        <v>42</v>
      </c>
      <c r="B46" s="8"/>
      <c r="C46" s="8"/>
      <c r="D46" s="9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5"/>
      <c r="HM46" s="19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1"/>
      <c r="HY46" s="25" t="str">
        <f t="shared" si="1"/>
        <v/>
      </c>
      <c r="HZ46" s="69" t="str">
        <f>IF($HY46&lt;&gt;"OK","",Hasil!$AU46)</f>
        <v/>
      </c>
      <c r="IA46" s="69" t="str">
        <f>IF($HY46&lt;&gt;"OK","",Hasil!$AV46)</f>
        <v/>
      </c>
    </row>
    <row r="47" spans="1:235" ht="13.4" customHeight="1">
      <c r="A47" s="7">
        <v>43</v>
      </c>
      <c r="B47" s="8"/>
      <c r="C47" s="8"/>
      <c r="D47" s="9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5"/>
      <c r="HM47" s="19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1"/>
      <c r="HY47" s="25" t="str">
        <f t="shared" si="1"/>
        <v/>
      </c>
      <c r="HZ47" s="69" t="str">
        <f>IF($HY47&lt;&gt;"OK","",Hasil!$AU47)</f>
        <v/>
      </c>
      <c r="IA47" s="69" t="str">
        <f>IF($HY47&lt;&gt;"OK","",Hasil!$AV47)</f>
        <v/>
      </c>
    </row>
    <row r="48" spans="1:235" ht="13.4" customHeight="1">
      <c r="A48" s="7">
        <v>44</v>
      </c>
      <c r="B48" s="8"/>
      <c r="C48" s="8"/>
      <c r="D48" s="9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5"/>
      <c r="HM48" s="19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1"/>
      <c r="HY48" s="25" t="str">
        <f t="shared" si="1"/>
        <v/>
      </c>
      <c r="HZ48" s="69" t="str">
        <f>IF($HY48&lt;&gt;"OK","",Hasil!$AU48)</f>
        <v/>
      </c>
      <c r="IA48" s="69" t="str">
        <f>IF($HY48&lt;&gt;"OK","",Hasil!$AV48)</f>
        <v/>
      </c>
    </row>
    <row r="49" spans="1:235" ht="13.4" customHeight="1">
      <c r="A49" s="7">
        <v>45</v>
      </c>
      <c r="B49" s="8"/>
      <c r="C49" s="8"/>
      <c r="D49" s="9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5"/>
      <c r="HM49" s="19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1"/>
      <c r="HY49" s="25" t="str">
        <f t="shared" si="1"/>
        <v/>
      </c>
      <c r="HZ49" s="69" t="str">
        <f>IF($HY49&lt;&gt;"OK","",Hasil!$AU49)</f>
        <v/>
      </c>
      <c r="IA49" s="69" t="str">
        <f>IF($HY49&lt;&gt;"OK","",Hasil!$AV49)</f>
        <v/>
      </c>
    </row>
    <row r="50" spans="1:235" ht="13.4" customHeight="1">
      <c r="A50" s="7">
        <v>46</v>
      </c>
      <c r="B50" s="8"/>
      <c r="C50" s="8"/>
      <c r="D50" s="9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5"/>
      <c r="HM50" s="19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1"/>
      <c r="HY50" s="25" t="str">
        <f t="shared" si="1"/>
        <v/>
      </c>
      <c r="HZ50" s="69" t="str">
        <f>IF($HY50&lt;&gt;"OK","",Hasil!$AU50)</f>
        <v/>
      </c>
      <c r="IA50" s="69" t="str">
        <f>IF($HY50&lt;&gt;"OK","",Hasil!$AV50)</f>
        <v/>
      </c>
    </row>
    <row r="51" spans="1:235" ht="13.4" customHeight="1">
      <c r="A51" s="7">
        <v>47</v>
      </c>
      <c r="B51" s="8"/>
      <c r="C51" s="8"/>
      <c r="D51" s="9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5"/>
      <c r="HM51" s="19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1"/>
      <c r="HY51" s="25" t="str">
        <f t="shared" si="1"/>
        <v/>
      </c>
      <c r="HZ51" s="69" t="str">
        <f>IF($HY51&lt;&gt;"OK","",Hasil!$AU51)</f>
        <v/>
      </c>
      <c r="IA51" s="69" t="str">
        <f>IF($HY51&lt;&gt;"OK","",Hasil!$AV51)</f>
        <v/>
      </c>
    </row>
    <row r="52" spans="1:235" ht="13.4" customHeight="1">
      <c r="A52" s="7">
        <v>48</v>
      </c>
      <c r="B52" s="8"/>
      <c r="C52" s="8"/>
      <c r="D52" s="9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5"/>
      <c r="HM52" s="19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1"/>
      <c r="HY52" s="25" t="str">
        <f t="shared" si="1"/>
        <v/>
      </c>
      <c r="HZ52" s="69" t="str">
        <f>IF($HY52&lt;&gt;"OK","",Hasil!$AU52)</f>
        <v/>
      </c>
      <c r="IA52" s="69" t="str">
        <f>IF($HY52&lt;&gt;"OK","",Hasil!$AV52)</f>
        <v/>
      </c>
    </row>
    <row r="53" spans="1:235" ht="13.4" customHeight="1">
      <c r="A53" s="7">
        <v>49</v>
      </c>
      <c r="B53" s="8"/>
      <c r="C53" s="8"/>
      <c r="D53" s="9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5"/>
      <c r="HM53" s="19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1"/>
      <c r="HY53" s="25" t="str">
        <f t="shared" si="1"/>
        <v/>
      </c>
      <c r="HZ53" s="69" t="str">
        <f>IF($HY53&lt;&gt;"OK","",Hasil!$AU53)</f>
        <v/>
      </c>
      <c r="IA53" s="69" t="str">
        <f>IF($HY53&lt;&gt;"OK","",Hasil!$AV53)</f>
        <v/>
      </c>
    </row>
    <row r="54" spans="1:235" ht="13.4" customHeight="1">
      <c r="A54" s="7">
        <v>50</v>
      </c>
      <c r="B54" s="8"/>
      <c r="C54" s="8"/>
      <c r="D54" s="9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5"/>
      <c r="HM54" s="19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1"/>
      <c r="HY54" s="25" t="str">
        <f t="shared" si="1"/>
        <v/>
      </c>
      <c r="HZ54" s="69" t="str">
        <f>IF($HY54&lt;&gt;"OK","",Hasil!$AU54)</f>
        <v/>
      </c>
      <c r="IA54" s="69" t="str">
        <f>IF($HY54&lt;&gt;"OK","",Hasil!$AV54)</f>
        <v/>
      </c>
    </row>
    <row r="55" spans="1:235" ht="13.4" customHeight="1">
      <c r="A55" s="7">
        <v>51</v>
      </c>
      <c r="B55" s="8"/>
      <c r="C55" s="8"/>
      <c r="D55" s="9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5"/>
      <c r="HM55" s="19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1"/>
      <c r="HY55" s="25" t="str">
        <f t="shared" si="1"/>
        <v/>
      </c>
      <c r="HZ55" s="69" t="str">
        <f>IF($HY55&lt;&gt;"OK","",Hasil!$AU55)</f>
        <v/>
      </c>
      <c r="IA55" s="69" t="str">
        <f>IF($HY55&lt;&gt;"OK","",Hasil!$AV55)</f>
        <v/>
      </c>
    </row>
    <row r="56" spans="1:235" ht="13.4" customHeight="1">
      <c r="A56" s="7">
        <v>52</v>
      </c>
      <c r="B56" s="8"/>
      <c r="C56" s="8"/>
      <c r="D56" s="9"/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5"/>
      <c r="HM56" s="19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1"/>
      <c r="HY56" s="25" t="str">
        <f t="shared" si="1"/>
        <v/>
      </c>
      <c r="HZ56" s="69" t="str">
        <f>IF($HY56&lt;&gt;"OK","",Hasil!$AU56)</f>
        <v/>
      </c>
      <c r="IA56" s="69" t="str">
        <f>IF($HY56&lt;&gt;"OK","",Hasil!$AV56)</f>
        <v/>
      </c>
    </row>
    <row r="57" spans="1:235" ht="13.4" customHeight="1">
      <c r="A57" s="7">
        <v>53</v>
      </c>
      <c r="B57" s="8"/>
      <c r="C57" s="8"/>
      <c r="D57" s="9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5"/>
      <c r="HM57" s="19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1"/>
      <c r="HY57" s="25" t="str">
        <f t="shared" si="1"/>
        <v/>
      </c>
      <c r="HZ57" s="69" t="str">
        <f>IF($HY57&lt;&gt;"OK","",Hasil!$AU57)</f>
        <v/>
      </c>
      <c r="IA57" s="69" t="str">
        <f>IF($HY57&lt;&gt;"OK","",Hasil!$AV57)</f>
        <v/>
      </c>
    </row>
    <row r="58" spans="1:235" ht="13.4" customHeight="1">
      <c r="A58" s="7">
        <v>54</v>
      </c>
      <c r="B58" s="8"/>
      <c r="C58" s="8"/>
      <c r="D58" s="9"/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5"/>
      <c r="HM58" s="19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1"/>
      <c r="HY58" s="25" t="str">
        <f t="shared" si="1"/>
        <v/>
      </c>
      <c r="HZ58" s="69" t="str">
        <f>IF($HY58&lt;&gt;"OK","",Hasil!$AU58)</f>
        <v/>
      </c>
      <c r="IA58" s="69" t="str">
        <f>IF($HY58&lt;&gt;"OK","",Hasil!$AV58)</f>
        <v/>
      </c>
    </row>
    <row r="59" spans="1:235" ht="13.4" customHeight="1">
      <c r="A59" s="7">
        <v>55</v>
      </c>
      <c r="B59" s="8"/>
      <c r="C59" s="8"/>
      <c r="D59" s="9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5"/>
      <c r="HM59" s="19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1"/>
      <c r="HY59" s="25" t="str">
        <f t="shared" si="1"/>
        <v/>
      </c>
      <c r="HZ59" s="69" t="str">
        <f>IF($HY59&lt;&gt;"OK","",Hasil!$AU59)</f>
        <v/>
      </c>
      <c r="IA59" s="69" t="str">
        <f>IF($HY59&lt;&gt;"OK","",Hasil!$AV59)</f>
        <v/>
      </c>
    </row>
    <row r="60" spans="1:235" ht="13.4" customHeight="1">
      <c r="A60" s="7">
        <v>56</v>
      </c>
      <c r="B60" s="8"/>
      <c r="C60" s="8"/>
      <c r="D60" s="9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5"/>
      <c r="HM60" s="19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1"/>
      <c r="HY60" s="25" t="str">
        <f t="shared" si="1"/>
        <v/>
      </c>
      <c r="HZ60" s="69" t="str">
        <f>IF($HY60&lt;&gt;"OK","",Hasil!$AU60)</f>
        <v/>
      </c>
      <c r="IA60" s="69" t="str">
        <f>IF($HY60&lt;&gt;"OK","",Hasil!$AV60)</f>
        <v/>
      </c>
    </row>
    <row r="61" spans="1:235" ht="13.4" customHeight="1">
      <c r="A61" s="7">
        <v>57</v>
      </c>
      <c r="B61" s="8"/>
      <c r="C61" s="8"/>
      <c r="D61" s="9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5"/>
      <c r="HM61" s="19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1"/>
      <c r="HY61" s="25" t="str">
        <f t="shared" si="1"/>
        <v/>
      </c>
      <c r="HZ61" s="69" t="str">
        <f>IF($HY61&lt;&gt;"OK","",Hasil!$AU61)</f>
        <v/>
      </c>
      <c r="IA61" s="69" t="str">
        <f>IF($HY61&lt;&gt;"OK","",Hasil!$AV61)</f>
        <v/>
      </c>
    </row>
    <row r="62" spans="1:235" ht="13.4" customHeight="1">
      <c r="A62" s="7">
        <v>58</v>
      </c>
      <c r="B62" s="8"/>
      <c r="C62" s="8"/>
      <c r="D62" s="9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5"/>
      <c r="HM62" s="19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1"/>
      <c r="HY62" s="25" t="str">
        <f t="shared" si="1"/>
        <v/>
      </c>
      <c r="HZ62" s="69" t="str">
        <f>IF($HY62&lt;&gt;"OK","",Hasil!$AU62)</f>
        <v/>
      </c>
      <c r="IA62" s="69" t="str">
        <f>IF($HY62&lt;&gt;"OK","",Hasil!$AV62)</f>
        <v/>
      </c>
    </row>
    <row r="63" spans="1:235" ht="13.4" customHeight="1">
      <c r="A63" s="7">
        <v>59</v>
      </c>
      <c r="B63" s="8"/>
      <c r="C63" s="8"/>
      <c r="D63" s="9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5"/>
      <c r="HM63" s="19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1"/>
      <c r="HY63" s="25" t="str">
        <f t="shared" si="1"/>
        <v/>
      </c>
      <c r="HZ63" s="69" t="str">
        <f>IF($HY63&lt;&gt;"OK","",Hasil!$AU63)</f>
        <v/>
      </c>
      <c r="IA63" s="69" t="str">
        <f>IF($HY63&lt;&gt;"OK","",Hasil!$AV63)</f>
        <v/>
      </c>
    </row>
    <row r="64" spans="1:235" ht="13.4" customHeight="1">
      <c r="A64" s="7">
        <v>60</v>
      </c>
      <c r="B64" s="8"/>
      <c r="C64" s="8"/>
      <c r="D64" s="9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5"/>
      <c r="HM64" s="19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1"/>
      <c r="HY64" s="25" t="str">
        <f t="shared" si="1"/>
        <v/>
      </c>
      <c r="HZ64" s="69" t="str">
        <f>IF($HY64&lt;&gt;"OK","",Hasil!$AU64)</f>
        <v/>
      </c>
      <c r="IA64" s="69" t="str">
        <f>IF($HY64&lt;&gt;"OK","",Hasil!$AV64)</f>
        <v/>
      </c>
    </row>
    <row r="65" spans="1:235" ht="13.4" customHeight="1">
      <c r="A65" s="7">
        <v>61</v>
      </c>
      <c r="B65" s="8"/>
      <c r="C65" s="8"/>
      <c r="D65" s="9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5"/>
      <c r="HM65" s="19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1"/>
      <c r="HY65" s="25" t="str">
        <f t="shared" si="1"/>
        <v/>
      </c>
      <c r="HZ65" s="69" t="str">
        <f>IF($HY65&lt;&gt;"OK","",Hasil!$AU65)</f>
        <v/>
      </c>
      <c r="IA65" s="69" t="str">
        <f>IF($HY65&lt;&gt;"OK","",Hasil!$AV65)</f>
        <v/>
      </c>
    </row>
    <row r="66" spans="1:235" ht="13.4" customHeight="1">
      <c r="A66" s="7">
        <v>62</v>
      </c>
      <c r="B66" s="8"/>
      <c r="C66" s="8"/>
      <c r="D66" s="9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5"/>
      <c r="HM66" s="19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1"/>
      <c r="HY66" s="25" t="str">
        <f t="shared" si="1"/>
        <v/>
      </c>
      <c r="HZ66" s="69" t="str">
        <f>IF($HY66&lt;&gt;"OK","",Hasil!$AU66)</f>
        <v/>
      </c>
      <c r="IA66" s="69" t="str">
        <f>IF($HY66&lt;&gt;"OK","",Hasil!$AV66)</f>
        <v/>
      </c>
    </row>
    <row r="67" spans="1:235" ht="13.4" customHeight="1">
      <c r="A67" s="7">
        <v>63</v>
      </c>
      <c r="B67" s="8"/>
      <c r="C67" s="8"/>
      <c r="D67" s="9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5"/>
      <c r="HM67" s="19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1"/>
      <c r="HY67" s="25" t="str">
        <f t="shared" si="1"/>
        <v/>
      </c>
      <c r="HZ67" s="69" t="str">
        <f>IF($HY67&lt;&gt;"OK","",Hasil!$AU67)</f>
        <v/>
      </c>
      <c r="IA67" s="69" t="str">
        <f>IF($HY67&lt;&gt;"OK","",Hasil!$AV67)</f>
        <v/>
      </c>
    </row>
    <row r="68" spans="1:235" ht="13.4" customHeight="1">
      <c r="A68" s="7">
        <v>64</v>
      </c>
      <c r="B68" s="8"/>
      <c r="C68" s="8"/>
      <c r="D68" s="9"/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5"/>
      <c r="HM68" s="19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1"/>
      <c r="HY68" s="25" t="str">
        <f t="shared" si="1"/>
        <v/>
      </c>
      <c r="HZ68" s="69" t="str">
        <f>IF($HY68&lt;&gt;"OK","",Hasil!$AU68)</f>
        <v/>
      </c>
      <c r="IA68" s="69" t="str">
        <f>IF($HY68&lt;&gt;"OK","",Hasil!$AV68)</f>
        <v/>
      </c>
    </row>
    <row r="69" spans="1:235" ht="13.4" customHeight="1">
      <c r="A69" s="7">
        <v>65</v>
      </c>
      <c r="B69" s="8"/>
      <c r="C69" s="8"/>
      <c r="D69" s="9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5"/>
      <c r="HM69" s="19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1"/>
      <c r="HY69" s="25" t="str">
        <f t="shared" ref="HY69:HY100" si="2">IF(AND(B69="",C69=""),"",IF(OR(B69="",C69=""),"Lengkapi identitas",IF(COUNT(HM69:HX69)&lt;12,"Lengkapi 12 Self Estimate",IF(OR(MIN(HM69:HX69)&lt;1,MAX(HM69:HX69)&gt;7),"Self Estimate harus 1–7","OK"))))</f>
        <v/>
      </c>
      <c r="HZ69" s="69" t="str">
        <f>IF($HY69&lt;&gt;"OK","",Hasil!$AU69)</f>
        <v/>
      </c>
      <c r="IA69" s="69" t="str">
        <f>IF($HY69&lt;&gt;"OK","",Hasil!$AV69)</f>
        <v/>
      </c>
    </row>
    <row r="70" spans="1:235" ht="13.4" customHeight="1">
      <c r="A70" s="7">
        <v>66</v>
      </c>
      <c r="B70" s="8"/>
      <c r="C70" s="8"/>
      <c r="D70" s="9"/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5"/>
      <c r="HM70" s="19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1"/>
      <c r="HY70" s="25" t="str">
        <f t="shared" si="2"/>
        <v/>
      </c>
      <c r="HZ70" s="69" t="str">
        <f>IF($HY70&lt;&gt;"OK","",Hasil!$AU70)</f>
        <v/>
      </c>
      <c r="IA70" s="69" t="str">
        <f>IF($HY70&lt;&gt;"OK","",Hasil!$AV70)</f>
        <v/>
      </c>
    </row>
    <row r="71" spans="1:235" ht="13.4" customHeight="1">
      <c r="A71" s="7">
        <v>67</v>
      </c>
      <c r="B71" s="8"/>
      <c r="C71" s="8"/>
      <c r="D71" s="9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5"/>
      <c r="HM71" s="19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1"/>
      <c r="HY71" s="25" t="str">
        <f t="shared" si="2"/>
        <v/>
      </c>
      <c r="HZ71" s="69" t="str">
        <f>IF($HY71&lt;&gt;"OK","",Hasil!$AU71)</f>
        <v/>
      </c>
      <c r="IA71" s="69" t="str">
        <f>IF($HY71&lt;&gt;"OK","",Hasil!$AV71)</f>
        <v/>
      </c>
    </row>
    <row r="72" spans="1:235" ht="13.4" customHeight="1">
      <c r="A72" s="7">
        <v>68</v>
      </c>
      <c r="B72" s="8"/>
      <c r="C72" s="8"/>
      <c r="D72" s="9"/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5"/>
      <c r="HM72" s="19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1"/>
      <c r="HY72" s="25" t="str">
        <f t="shared" si="2"/>
        <v/>
      </c>
      <c r="HZ72" s="69" t="str">
        <f>IF($HY72&lt;&gt;"OK","",Hasil!$AU72)</f>
        <v/>
      </c>
      <c r="IA72" s="69" t="str">
        <f>IF($HY72&lt;&gt;"OK","",Hasil!$AV72)</f>
        <v/>
      </c>
    </row>
    <row r="73" spans="1:235" ht="13.4" customHeight="1">
      <c r="A73" s="7">
        <v>69</v>
      </c>
      <c r="B73" s="8"/>
      <c r="C73" s="8"/>
      <c r="D73" s="9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5"/>
      <c r="HM73" s="19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1"/>
      <c r="HY73" s="25" t="str">
        <f t="shared" si="2"/>
        <v/>
      </c>
      <c r="HZ73" s="69" t="str">
        <f>IF($HY73&lt;&gt;"OK","",Hasil!$AU73)</f>
        <v/>
      </c>
      <c r="IA73" s="69" t="str">
        <f>IF($HY73&lt;&gt;"OK","",Hasil!$AV73)</f>
        <v/>
      </c>
    </row>
    <row r="74" spans="1:235" ht="13.4" customHeight="1">
      <c r="A74" s="7">
        <v>70</v>
      </c>
      <c r="B74" s="8"/>
      <c r="C74" s="8"/>
      <c r="D74" s="9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5"/>
      <c r="HM74" s="19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1"/>
      <c r="HY74" s="25" t="str">
        <f t="shared" si="2"/>
        <v/>
      </c>
      <c r="HZ74" s="69" t="str">
        <f>IF($HY74&lt;&gt;"OK","",Hasil!$AU74)</f>
        <v/>
      </c>
      <c r="IA74" s="69" t="str">
        <f>IF($HY74&lt;&gt;"OK","",Hasil!$AV74)</f>
        <v/>
      </c>
    </row>
    <row r="75" spans="1:235" ht="13.4" customHeight="1">
      <c r="A75" s="7">
        <v>71</v>
      </c>
      <c r="B75" s="8"/>
      <c r="C75" s="8"/>
      <c r="D75" s="9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5"/>
      <c r="HM75" s="19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1"/>
      <c r="HY75" s="25" t="str">
        <f t="shared" si="2"/>
        <v/>
      </c>
      <c r="HZ75" s="69" t="str">
        <f>IF($HY75&lt;&gt;"OK","",Hasil!$AU75)</f>
        <v/>
      </c>
      <c r="IA75" s="69" t="str">
        <f>IF($HY75&lt;&gt;"OK","",Hasil!$AV75)</f>
        <v/>
      </c>
    </row>
    <row r="76" spans="1:235" ht="13.4" customHeight="1">
      <c r="A76" s="7">
        <v>72</v>
      </c>
      <c r="B76" s="8"/>
      <c r="C76" s="8"/>
      <c r="D76" s="9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5"/>
      <c r="HM76" s="19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1"/>
      <c r="HY76" s="25" t="str">
        <f t="shared" si="2"/>
        <v/>
      </c>
      <c r="HZ76" s="69" t="str">
        <f>IF($HY76&lt;&gt;"OK","",Hasil!$AU76)</f>
        <v/>
      </c>
      <c r="IA76" s="69" t="str">
        <f>IF($HY76&lt;&gt;"OK","",Hasil!$AV76)</f>
        <v/>
      </c>
    </row>
    <row r="77" spans="1:235" ht="13.4" customHeight="1">
      <c r="A77" s="7">
        <v>73</v>
      </c>
      <c r="B77" s="8"/>
      <c r="C77" s="8"/>
      <c r="D77" s="9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5"/>
      <c r="HM77" s="19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1"/>
      <c r="HY77" s="25" t="str">
        <f t="shared" si="2"/>
        <v/>
      </c>
      <c r="HZ77" s="69" t="str">
        <f>IF($HY77&lt;&gt;"OK","",Hasil!$AU77)</f>
        <v/>
      </c>
      <c r="IA77" s="69" t="str">
        <f>IF($HY77&lt;&gt;"OK","",Hasil!$AV77)</f>
        <v/>
      </c>
    </row>
    <row r="78" spans="1:235" ht="13.4" customHeight="1">
      <c r="A78" s="7">
        <v>74</v>
      </c>
      <c r="B78" s="8"/>
      <c r="C78" s="8"/>
      <c r="D78" s="9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5"/>
      <c r="HM78" s="19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1"/>
      <c r="HY78" s="25" t="str">
        <f t="shared" si="2"/>
        <v/>
      </c>
      <c r="HZ78" s="69" t="str">
        <f>IF($HY78&lt;&gt;"OK","",Hasil!$AU78)</f>
        <v/>
      </c>
      <c r="IA78" s="69" t="str">
        <f>IF($HY78&lt;&gt;"OK","",Hasil!$AV78)</f>
        <v/>
      </c>
    </row>
    <row r="79" spans="1:235" ht="13.4" customHeight="1">
      <c r="A79" s="7">
        <v>75</v>
      </c>
      <c r="B79" s="8"/>
      <c r="C79" s="8"/>
      <c r="D79" s="9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5"/>
      <c r="HM79" s="19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1"/>
      <c r="HY79" s="25" t="str">
        <f t="shared" si="2"/>
        <v/>
      </c>
      <c r="HZ79" s="69" t="str">
        <f>IF($HY79&lt;&gt;"OK","",Hasil!$AU79)</f>
        <v/>
      </c>
      <c r="IA79" s="69" t="str">
        <f>IF($HY79&lt;&gt;"OK","",Hasil!$AV79)</f>
        <v/>
      </c>
    </row>
    <row r="80" spans="1:235" ht="13.4" customHeight="1">
      <c r="A80" s="7">
        <v>76</v>
      </c>
      <c r="B80" s="8"/>
      <c r="C80" s="8"/>
      <c r="D80" s="9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5"/>
      <c r="HM80" s="19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1"/>
      <c r="HY80" s="25" t="str">
        <f t="shared" si="2"/>
        <v/>
      </c>
      <c r="HZ80" s="69" t="str">
        <f>IF($HY80&lt;&gt;"OK","",Hasil!$AU80)</f>
        <v/>
      </c>
      <c r="IA80" s="69" t="str">
        <f>IF($HY80&lt;&gt;"OK","",Hasil!$AV80)</f>
        <v/>
      </c>
    </row>
    <row r="81" spans="1:235" ht="13.4" customHeight="1">
      <c r="A81" s="7">
        <v>77</v>
      </c>
      <c r="B81" s="8"/>
      <c r="C81" s="8"/>
      <c r="D81" s="9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5"/>
      <c r="HM81" s="19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1"/>
      <c r="HY81" s="25" t="str">
        <f t="shared" si="2"/>
        <v/>
      </c>
      <c r="HZ81" s="69" t="str">
        <f>IF($HY81&lt;&gt;"OK","",Hasil!$AU81)</f>
        <v/>
      </c>
      <c r="IA81" s="69" t="str">
        <f>IF($HY81&lt;&gt;"OK","",Hasil!$AV81)</f>
        <v/>
      </c>
    </row>
    <row r="82" spans="1:235" ht="13.4" customHeight="1">
      <c r="A82" s="7">
        <v>78</v>
      </c>
      <c r="B82" s="8"/>
      <c r="C82" s="8"/>
      <c r="D82" s="9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5"/>
      <c r="HM82" s="19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1"/>
      <c r="HY82" s="25" t="str">
        <f t="shared" si="2"/>
        <v/>
      </c>
      <c r="HZ82" s="69" t="str">
        <f>IF($HY82&lt;&gt;"OK","",Hasil!$AU82)</f>
        <v/>
      </c>
      <c r="IA82" s="69" t="str">
        <f>IF($HY82&lt;&gt;"OK","",Hasil!$AV82)</f>
        <v/>
      </c>
    </row>
    <row r="83" spans="1:235" ht="13.4" customHeight="1">
      <c r="A83" s="7">
        <v>79</v>
      </c>
      <c r="B83" s="8"/>
      <c r="C83" s="8"/>
      <c r="D83" s="9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5"/>
      <c r="HM83" s="19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1"/>
      <c r="HY83" s="25" t="str">
        <f t="shared" si="2"/>
        <v/>
      </c>
      <c r="HZ83" s="69" t="str">
        <f>IF($HY83&lt;&gt;"OK","",Hasil!$AU83)</f>
        <v/>
      </c>
      <c r="IA83" s="69" t="str">
        <f>IF($HY83&lt;&gt;"OK","",Hasil!$AV83)</f>
        <v/>
      </c>
    </row>
    <row r="84" spans="1:235" ht="13.4" customHeight="1">
      <c r="A84" s="7">
        <v>80</v>
      </c>
      <c r="B84" s="8"/>
      <c r="C84" s="8"/>
      <c r="D84" s="9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5"/>
      <c r="HM84" s="19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1"/>
      <c r="HY84" s="25" t="str">
        <f t="shared" si="2"/>
        <v/>
      </c>
      <c r="HZ84" s="69" t="str">
        <f>IF($HY84&lt;&gt;"OK","",Hasil!$AU84)</f>
        <v/>
      </c>
      <c r="IA84" s="69" t="str">
        <f>IF($HY84&lt;&gt;"OK","",Hasil!$AV84)</f>
        <v/>
      </c>
    </row>
    <row r="85" spans="1:235" ht="13.4" customHeight="1">
      <c r="A85" s="7">
        <v>81</v>
      </c>
      <c r="B85" s="8"/>
      <c r="C85" s="8"/>
      <c r="D85" s="9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5"/>
      <c r="HM85" s="19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1"/>
      <c r="HY85" s="25" t="str">
        <f t="shared" si="2"/>
        <v/>
      </c>
      <c r="HZ85" s="69" t="str">
        <f>IF($HY85&lt;&gt;"OK","",Hasil!$AU85)</f>
        <v/>
      </c>
      <c r="IA85" s="69" t="str">
        <f>IF($HY85&lt;&gt;"OK","",Hasil!$AV85)</f>
        <v/>
      </c>
    </row>
    <row r="86" spans="1:235" ht="13.4" customHeight="1">
      <c r="A86" s="7">
        <v>82</v>
      </c>
      <c r="B86" s="8"/>
      <c r="C86" s="8"/>
      <c r="D86" s="9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5"/>
      <c r="HM86" s="19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1"/>
      <c r="HY86" s="25" t="str">
        <f t="shared" si="2"/>
        <v/>
      </c>
      <c r="HZ86" s="69" t="str">
        <f>IF($HY86&lt;&gt;"OK","",Hasil!$AU86)</f>
        <v/>
      </c>
      <c r="IA86" s="69" t="str">
        <f>IF($HY86&lt;&gt;"OK","",Hasil!$AV86)</f>
        <v/>
      </c>
    </row>
    <row r="87" spans="1:235" ht="13.4" customHeight="1">
      <c r="A87" s="7">
        <v>83</v>
      </c>
      <c r="B87" s="8"/>
      <c r="C87" s="8"/>
      <c r="D87" s="9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5"/>
      <c r="HM87" s="19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1"/>
      <c r="HY87" s="25" t="str">
        <f t="shared" si="2"/>
        <v/>
      </c>
      <c r="HZ87" s="69" t="str">
        <f>IF($HY87&lt;&gt;"OK","",Hasil!$AU87)</f>
        <v/>
      </c>
      <c r="IA87" s="69" t="str">
        <f>IF($HY87&lt;&gt;"OK","",Hasil!$AV87)</f>
        <v/>
      </c>
    </row>
    <row r="88" spans="1:235" ht="13.4" customHeight="1">
      <c r="A88" s="7">
        <v>84</v>
      </c>
      <c r="B88" s="8"/>
      <c r="C88" s="8"/>
      <c r="D88" s="9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5"/>
      <c r="HM88" s="19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1"/>
      <c r="HY88" s="25" t="str">
        <f t="shared" si="2"/>
        <v/>
      </c>
      <c r="HZ88" s="69" t="str">
        <f>IF($HY88&lt;&gt;"OK","",Hasil!$AU88)</f>
        <v/>
      </c>
      <c r="IA88" s="69" t="str">
        <f>IF($HY88&lt;&gt;"OK","",Hasil!$AV88)</f>
        <v/>
      </c>
    </row>
    <row r="89" spans="1:235" ht="13.4" customHeight="1">
      <c r="A89" s="7">
        <v>85</v>
      </c>
      <c r="B89" s="8"/>
      <c r="C89" s="8"/>
      <c r="D89" s="9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5"/>
      <c r="HM89" s="19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1"/>
      <c r="HY89" s="25" t="str">
        <f t="shared" si="2"/>
        <v/>
      </c>
      <c r="HZ89" s="69" t="str">
        <f>IF($HY89&lt;&gt;"OK","",Hasil!$AU89)</f>
        <v/>
      </c>
      <c r="IA89" s="69" t="str">
        <f>IF($HY89&lt;&gt;"OK","",Hasil!$AV89)</f>
        <v/>
      </c>
    </row>
    <row r="90" spans="1:235" ht="13.4" customHeight="1">
      <c r="A90" s="7">
        <v>86</v>
      </c>
      <c r="B90" s="8"/>
      <c r="C90" s="8"/>
      <c r="D90" s="9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5"/>
      <c r="HM90" s="19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1"/>
      <c r="HY90" s="25" t="str">
        <f t="shared" si="2"/>
        <v/>
      </c>
      <c r="HZ90" s="69" t="str">
        <f>IF($HY90&lt;&gt;"OK","",Hasil!$AU90)</f>
        <v/>
      </c>
      <c r="IA90" s="69" t="str">
        <f>IF($HY90&lt;&gt;"OK","",Hasil!$AV90)</f>
        <v/>
      </c>
    </row>
    <row r="91" spans="1:235" ht="13.4" customHeight="1">
      <c r="A91" s="7">
        <v>87</v>
      </c>
      <c r="B91" s="8"/>
      <c r="C91" s="8"/>
      <c r="D91" s="9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5"/>
      <c r="HM91" s="19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1"/>
      <c r="HY91" s="25" t="str">
        <f t="shared" si="2"/>
        <v/>
      </c>
      <c r="HZ91" s="69" t="str">
        <f>IF($HY91&lt;&gt;"OK","",Hasil!$AU91)</f>
        <v/>
      </c>
      <c r="IA91" s="69" t="str">
        <f>IF($HY91&lt;&gt;"OK","",Hasil!$AV91)</f>
        <v/>
      </c>
    </row>
    <row r="92" spans="1:235" ht="13.4" customHeight="1">
      <c r="A92" s="7">
        <v>88</v>
      </c>
      <c r="B92" s="8"/>
      <c r="C92" s="8"/>
      <c r="D92" s="9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5"/>
      <c r="HM92" s="19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1"/>
      <c r="HY92" s="25" t="str">
        <f t="shared" si="2"/>
        <v/>
      </c>
      <c r="HZ92" s="69" t="str">
        <f>IF($HY92&lt;&gt;"OK","",Hasil!$AU92)</f>
        <v/>
      </c>
      <c r="IA92" s="69" t="str">
        <f>IF($HY92&lt;&gt;"OK","",Hasil!$AV92)</f>
        <v/>
      </c>
    </row>
    <row r="93" spans="1:235" ht="13.4" customHeight="1">
      <c r="A93" s="7">
        <v>89</v>
      </c>
      <c r="B93" s="8"/>
      <c r="C93" s="8"/>
      <c r="D93" s="9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5"/>
      <c r="HM93" s="19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1"/>
      <c r="HY93" s="25" t="str">
        <f t="shared" si="2"/>
        <v/>
      </c>
      <c r="HZ93" s="69" t="str">
        <f>IF($HY93&lt;&gt;"OK","",Hasil!$AU93)</f>
        <v/>
      </c>
      <c r="IA93" s="69" t="str">
        <f>IF($HY93&lt;&gt;"OK","",Hasil!$AV93)</f>
        <v/>
      </c>
    </row>
    <row r="94" spans="1:235" ht="13.4" customHeight="1">
      <c r="A94" s="7">
        <v>90</v>
      </c>
      <c r="B94" s="8"/>
      <c r="C94" s="8"/>
      <c r="D94" s="9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5"/>
      <c r="HM94" s="19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1"/>
      <c r="HY94" s="25" t="str">
        <f t="shared" si="2"/>
        <v/>
      </c>
      <c r="HZ94" s="69" t="str">
        <f>IF($HY94&lt;&gt;"OK","",Hasil!$AU94)</f>
        <v/>
      </c>
      <c r="IA94" s="69" t="str">
        <f>IF($HY94&lt;&gt;"OK","",Hasil!$AV94)</f>
        <v/>
      </c>
    </row>
    <row r="95" spans="1:235" ht="13.4" customHeight="1">
      <c r="A95" s="7">
        <v>91</v>
      </c>
      <c r="B95" s="8"/>
      <c r="C95" s="8"/>
      <c r="D95" s="9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5"/>
      <c r="HM95" s="19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1"/>
      <c r="HY95" s="25" t="str">
        <f t="shared" si="2"/>
        <v/>
      </c>
      <c r="HZ95" s="69" t="str">
        <f>IF($HY95&lt;&gt;"OK","",Hasil!$AU95)</f>
        <v/>
      </c>
      <c r="IA95" s="69" t="str">
        <f>IF($HY95&lt;&gt;"OK","",Hasil!$AV95)</f>
        <v/>
      </c>
    </row>
    <row r="96" spans="1:235" ht="13.4" customHeight="1">
      <c r="A96" s="7">
        <v>92</v>
      </c>
      <c r="B96" s="8"/>
      <c r="C96" s="8"/>
      <c r="D96" s="9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5"/>
      <c r="HM96" s="19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1"/>
      <c r="HY96" s="25" t="str">
        <f t="shared" si="2"/>
        <v/>
      </c>
      <c r="HZ96" s="69" t="str">
        <f>IF($HY96&lt;&gt;"OK","",Hasil!$AU96)</f>
        <v/>
      </c>
      <c r="IA96" s="69" t="str">
        <f>IF($HY96&lt;&gt;"OK","",Hasil!$AV96)</f>
        <v/>
      </c>
    </row>
    <row r="97" spans="1:235" ht="13.4" customHeight="1">
      <c r="A97" s="7">
        <v>93</v>
      </c>
      <c r="B97" s="8"/>
      <c r="C97" s="8"/>
      <c r="D97" s="9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5"/>
      <c r="HM97" s="19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1"/>
      <c r="HY97" s="25" t="str">
        <f t="shared" si="2"/>
        <v/>
      </c>
      <c r="HZ97" s="69" t="str">
        <f>IF($HY97&lt;&gt;"OK","",Hasil!$AU97)</f>
        <v/>
      </c>
      <c r="IA97" s="69" t="str">
        <f>IF($HY97&lt;&gt;"OK","",Hasil!$AV97)</f>
        <v/>
      </c>
    </row>
    <row r="98" spans="1:235" ht="13.4" customHeight="1">
      <c r="A98" s="7">
        <v>94</v>
      </c>
      <c r="B98" s="8"/>
      <c r="C98" s="8"/>
      <c r="D98" s="9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5"/>
      <c r="HM98" s="19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1"/>
      <c r="HY98" s="25" t="str">
        <f t="shared" si="2"/>
        <v/>
      </c>
      <c r="HZ98" s="69" t="str">
        <f>IF($HY98&lt;&gt;"OK","",Hasil!$AU98)</f>
        <v/>
      </c>
      <c r="IA98" s="69" t="str">
        <f>IF($HY98&lt;&gt;"OK","",Hasil!$AV98)</f>
        <v/>
      </c>
    </row>
    <row r="99" spans="1:235" ht="13.4" customHeight="1">
      <c r="A99" s="7">
        <v>95</v>
      </c>
      <c r="B99" s="8"/>
      <c r="C99" s="8"/>
      <c r="D99" s="9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5"/>
      <c r="HM99" s="19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1"/>
      <c r="HY99" s="25" t="str">
        <f t="shared" si="2"/>
        <v/>
      </c>
      <c r="HZ99" s="69" t="str">
        <f>IF($HY99&lt;&gt;"OK","",Hasil!$AU99)</f>
        <v/>
      </c>
      <c r="IA99" s="69" t="str">
        <f>IF($HY99&lt;&gt;"OK","",Hasil!$AV99)</f>
        <v/>
      </c>
    </row>
    <row r="100" spans="1:235" ht="13.4" customHeight="1">
      <c r="A100" s="7">
        <v>96</v>
      </c>
      <c r="B100" s="8"/>
      <c r="C100" s="8"/>
      <c r="D100" s="9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5"/>
      <c r="HM100" s="19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1"/>
      <c r="HY100" s="25" t="str">
        <f t="shared" si="2"/>
        <v/>
      </c>
      <c r="HZ100" s="69" t="str">
        <f>IF($HY100&lt;&gt;"OK","",Hasil!$AU100)</f>
        <v/>
      </c>
      <c r="IA100" s="69" t="str">
        <f>IF($HY100&lt;&gt;"OK","",Hasil!$AV100)</f>
        <v/>
      </c>
    </row>
    <row r="101" spans="1:235" ht="13.4" customHeight="1">
      <c r="A101" s="7">
        <v>97</v>
      </c>
      <c r="B101" s="8"/>
      <c r="C101" s="8"/>
      <c r="D101" s="9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5"/>
      <c r="HM101" s="19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1"/>
      <c r="HY101" s="25" t="str">
        <f t="shared" ref="HY101:HY132" si="3">IF(AND(B101="",C101=""),"",IF(OR(B101="",C101=""),"Lengkapi identitas",IF(COUNT(HM101:HX101)&lt;12,"Lengkapi 12 Self Estimate",IF(OR(MIN(HM101:HX101)&lt;1,MAX(HM101:HX101)&gt;7),"Self Estimate harus 1–7","OK"))))</f>
        <v/>
      </c>
      <c r="HZ101" s="69" t="str">
        <f>IF($HY101&lt;&gt;"OK","",Hasil!$AU101)</f>
        <v/>
      </c>
      <c r="IA101" s="69" t="str">
        <f>IF($HY101&lt;&gt;"OK","",Hasil!$AV101)</f>
        <v/>
      </c>
    </row>
    <row r="102" spans="1:235" ht="13.4" customHeight="1">
      <c r="A102" s="7">
        <v>98</v>
      </c>
      <c r="B102" s="8"/>
      <c r="C102" s="8"/>
      <c r="D102" s="9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5"/>
      <c r="HM102" s="19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1"/>
      <c r="HY102" s="25" t="str">
        <f t="shared" si="3"/>
        <v/>
      </c>
      <c r="HZ102" s="69" t="str">
        <f>IF($HY102&lt;&gt;"OK","",Hasil!$AU102)</f>
        <v/>
      </c>
      <c r="IA102" s="69" t="str">
        <f>IF($HY102&lt;&gt;"OK","",Hasil!$AV102)</f>
        <v/>
      </c>
    </row>
    <row r="103" spans="1:235" ht="13.4" customHeight="1">
      <c r="A103" s="7">
        <v>99</v>
      </c>
      <c r="B103" s="8"/>
      <c r="C103" s="8"/>
      <c r="D103" s="9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5"/>
      <c r="HM103" s="19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1"/>
      <c r="HY103" s="25" t="str">
        <f t="shared" si="3"/>
        <v/>
      </c>
      <c r="HZ103" s="69" t="str">
        <f>IF($HY103&lt;&gt;"OK","",Hasil!$AU103)</f>
        <v/>
      </c>
      <c r="IA103" s="69" t="str">
        <f>IF($HY103&lt;&gt;"OK","",Hasil!$AV103)</f>
        <v/>
      </c>
    </row>
    <row r="104" spans="1:235" ht="13.4" customHeight="1">
      <c r="A104" s="7">
        <v>100</v>
      </c>
      <c r="B104" s="8"/>
      <c r="C104" s="8"/>
      <c r="D104" s="9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5"/>
      <c r="HM104" s="19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1"/>
      <c r="HY104" s="25" t="str">
        <f t="shared" si="3"/>
        <v/>
      </c>
      <c r="HZ104" s="69" t="str">
        <f>IF($HY104&lt;&gt;"OK","",Hasil!$AU104)</f>
        <v/>
      </c>
      <c r="IA104" s="69" t="str">
        <f>IF($HY104&lt;&gt;"OK","",Hasil!$AV104)</f>
        <v/>
      </c>
    </row>
    <row r="105" spans="1:235" ht="13.4" customHeight="1">
      <c r="A105" s="7">
        <v>101</v>
      </c>
      <c r="B105" s="8"/>
      <c r="C105" s="8"/>
      <c r="D105" s="9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5"/>
      <c r="HM105" s="19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1"/>
      <c r="HY105" s="25" t="str">
        <f t="shared" si="3"/>
        <v/>
      </c>
      <c r="HZ105" s="69" t="str">
        <f>IF($HY105&lt;&gt;"OK","",Hasil!$AU105)</f>
        <v/>
      </c>
      <c r="IA105" s="69" t="str">
        <f>IF($HY105&lt;&gt;"OK","",Hasil!$AV105)</f>
        <v/>
      </c>
    </row>
    <row r="106" spans="1:235" ht="13.4" customHeight="1">
      <c r="A106" s="7">
        <v>102</v>
      </c>
      <c r="B106" s="8"/>
      <c r="C106" s="8"/>
      <c r="D106" s="9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5"/>
      <c r="HM106" s="19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1"/>
      <c r="HY106" s="25" t="str">
        <f t="shared" si="3"/>
        <v/>
      </c>
      <c r="HZ106" s="69" t="str">
        <f>IF($HY106&lt;&gt;"OK","",Hasil!$AU106)</f>
        <v/>
      </c>
      <c r="IA106" s="69" t="str">
        <f>IF($HY106&lt;&gt;"OK","",Hasil!$AV106)</f>
        <v/>
      </c>
    </row>
    <row r="107" spans="1:235" ht="13.4" customHeight="1">
      <c r="A107" s="7">
        <v>103</v>
      </c>
      <c r="B107" s="8"/>
      <c r="C107" s="8"/>
      <c r="D107" s="9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5"/>
      <c r="HM107" s="19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1"/>
      <c r="HY107" s="25" t="str">
        <f t="shared" si="3"/>
        <v/>
      </c>
      <c r="HZ107" s="69" t="str">
        <f>IF($HY107&lt;&gt;"OK","",Hasil!$AU107)</f>
        <v/>
      </c>
      <c r="IA107" s="69" t="str">
        <f>IF($HY107&lt;&gt;"OK","",Hasil!$AV107)</f>
        <v/>
      </c>
    </row>
    <row r="108" spans="1:235" ht="13.4" customHeight="1">
      <c r="A108" s="7">
        <v>104</v>
      </c>
      <c r="B108" s="8"/>
      <c r="C108" s="8"/>
      <c r="D108" s="9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5"/>
      <c r="HM108" s="19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1"/>
      <c r="HY108" s="25" t="str">
        <f t="shared" si="3"/>
        <v/>
      </c>
      <c r="HZ108" s="69" t="str">
        <f>IF($HY108&lt;&gt;"OK","",Hasil!$AU108)</f>
        <v/>
      </c>
      <c r="IA108" s="69" t="str">
        <f>IF($HY108&lt;&gt;"OK","",Hasil!$AV108)</f>
        <v/>
      </c>
    </row>
    <row r="109" spans="1:235" ht="13.4" customHeight="1">
      <c r="A109" s="7">
        <v>105</v>
      </c>
      <c r="B109" s="8"/>
      <c r="C109" s="8"/>
      <c r="D109" s="9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5"/>
      <c r="HM109" s="19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1"/>
      <c r="HY109" s="25" t="str">
        <f t="shared" si="3"/>
        <v/>
      </c>
      <c r="HZ109" s="69" t="str">
        <f>IF($HY109&lt;&gt;"OK","",Hasil!$AU109)</f>
        <v/>
      </c>
      <c r="IA109" s="69" t="str">
        <f>IF($HY109&lt;&gt;"OK","",Hasil!$AV109)</f>
        <v/>
      </c>
    </row>
    <row r="110" spans="1:235" ht="13.4" customHeight="1">
      <c r="A110" s="7">
        <v>106</v>
      </c>
      <c r="B110" s="8"/>
      <c r="C110" s="8"/>
      <c r="D110" s="9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5"/>
      <c r="HM110" s="19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1"/>
      <c r="HY110" s="25" t="str">
        <f t="shared" si="3"/>
        <v/>
      </c>
      <c r="HZ110" s="69" t="str">
        <f>IF($HY110&lt;&gt;"OK","",Hasil!$AU110)</f>
        <v/>
      </c>
      <c r="IA110" s="69" t="str">
        <f>IF($HY110&lt;&gt;"OK","",Hasil!$AV110)</f>
        <v/>
      </c>
    </row>
    <row r="111" spans="1:235" ht="13.4" customHeight="1">
      <c r="A111" s="7">
        <v>107</v>
      </c>
      <c r="B111" s="8"/>
      <c r="C111" s="8"/>
      <c r="D111" s="9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5"/>
      <c r="HM111" s="19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1"/>
      <c r="HY111" s="25" t="str">
        <f t="shared" si="3"/>
        <v/>
      </c>
      <c r="HZ111" s="69" t="str">
        <f>IF($HY111&lt;&gt;"OK","",Hasil!$AU111)</f>
        <v/>
      </c>
      <c r="IA111" s="69" t="str">
        <f>IF($HY111&lt;&gt;"OK","",Hasil!$AV111)</f>
        <v/>
      </c>
    </row>
    <row r="112" spans="1:235" ht="13.4" customHeight="1">
      <c r="A112" s="7">
        <v>108</v>
      </c>
      <c r="B112" s="8"/>
      <c r="C112" s="8"/>
      <c r="D112" s="9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5"/>
      <c r="HM112" s="19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1"/>
      <c r="HY112" s="25" t="str">
        <f t="shared" si="3"/>
        <v/>
      </c>
      <c r="HZ112" s="69" t="str">
        <f>IF($HY112&lt;&gt;"OK","",Hasil!$AU112)</f>
        <v/>
      </c>
      <c r="IA112" s="69" t="str">
        <f>IF($HY112&lt;&gt;"OK","",Hasil!$AV112)</f>
        <v/>
      </c>
    </row>
    <row r="113" spans="1:235" ht="13.4" customHeight="1">
      <c r="A113" s="7">
        <v>109</v>
      </c>
      <c r="B113" s="8"/>
      <c r="C113" s="8"/>
      <c r="D113" s="9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5"/>
      <c r="HM113" s="19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1"/>
      <c r="HY113" s="25" t="str">
        <f t="shared" si="3"/>
        <v/>
      </c>
      <c r="HZ113" s="69" t="str">
        <f>IF($HY113&lt;&gt;"OK","",Hasil!$AU113)</f>
        <v/>
      </c>
      <c r="IA113" s="69" t="str">
        <f>IF($HY113&lt;&gt;"OK","",Hasil!$AV113)</f>
        <v/>
      </c>
    </row>
    <row r="114" spans="1:235" ht="13.4" customHeight="1">
      <c r="A114" s="7">
        <v>110</v>
      </c>
      <c r="B114" s="8"/>
      <c r="C114" s="8"/>
      <c r="D114" s="9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5"/>
      <c r="HM114" s="19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1"/>
      <c r="HY114" s="25" t="str">
        <f t="shared" si="3"/>
        <v/>
      </c>
      <c r="HZ114" s="69" t="str">
        <f>IF($HY114&lt;&gt;"OK","",Hasil!$AU114)</f>
        <v/>
      </c>
      <c r="IA114" s="69" t="str">
        <f>IF($HY114&lt;&gt;"OK","",Hasil!$AV114)</f>
        <v/>
      </c>
    </row>
    <row r="115" spans="1:235" ht="13.4" customHeight="1">
      <c r="A115" s="7">
        <v>111</v>
      </c>
      <c r="B115" s="8"/>
      <c r="C115" s="8"/>
      <c r="D115" s="9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5"/>
      <c r="HM115" s="19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1"/>
      <c r="HY115" s="25" t="str">
        <f t="shared" si="3"/>
        <v/>
      </c>
      <c r="HZ115" s="69" t="str">
        <f>IF($HY115&lt;&gt;"OK","",Hasil!$AU115)</f>
        <v/>
      </c>
      <c r="IA115" s="69" t="str">
        <f>IF($HY115&lt;&gt;"OK","",Hasil!$AV115)</f>
        <v/>
      </c>
    </row>
    <row r="116" spans="1:235" ht="13.4" customHeight="1">
      <c r="A116" s="7">
        <v>112</v>
      </c>
      <c r="B116" s="8"/>
      <c r="C116" s="8"/>
      <c r="D116" s="9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5"/>
      <c r="HM116" s="19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1"/>
      <c r="HY116" s="25" t="str">
        <f t="shared" si="3"/>
        <v/>
      </c>
      <c r="HZ116" s="69" t="str">
        <f>IF($HY116&lt;&gt;"OK","",Hasil!$AU116)</f>
        <v/>
      </c>
      <c r="IA116" s="69" t="str">
        <f>IF($HY116&lt;&gt;"OK","",Hasil!$AV116)</f>
        <v/>
      </c>
    </row>
    <row r="117" spans="1:235" ht="13.4" customHeight="1">
      <c r="A117" s="7">
        <v>113</v>
      </c>
      <c r="B117" s="8"/>
      <c r="C117" s="8"/>
      <c r="D117" s="9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5"/>
      <c r="HM117" s="19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1"/>
      <c r="HY117" s="25" t="str">
        <f t="shared" si="3"/>
        <v/>
      </c>
      <c r="HZ117" s="69" t="str">
        <f>IF($HY117&lt;&gt;"OK","",Hasil!$AU117)</f>
        <v/>
      </c>
      <c r="IA117" s="69" t="str">
        <f>IF($HY117&lt;&gt;"OK","",Hasil!$AV117)</f>
        <v/>
      </c>
    </row>
    <row r="118" spans="1:235" ht="13.4" customHeight="1">
      <c r="A118" s="7">
        <v>114</v>
      </c>
      <c r="B118" s="8"/>
      <c r="C118" s="8"/>
      <c r="D118" s="9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5"/>
      <c r="HM118" s="19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1"/>
      <c r="HY118" s="25" t="str">
        <f t="shared" si="3"/>
        <v/>
      </c>
      <c r="HZ118" s="69" t="str">
        <f>IF($HY118&lt;&gt;"OK","",Hasil!$AU118)</f>
        <v/>
      </c>
      <c r="IA118" s="69" t="str">
        <f>IF($HY118&lt;&gt;"OK","",Hasil!$AV118)</f>
        <v/>
      </c>
    </row>
    <row r="119" spans="1:235" ht="13.4" customHeight="1">
      <c r="A119" s="7">
        <v>115</v>
      </c>
      <c r="B119" s="8"/>
      <c r="C119" s="8"/>
      <c r="D119" s="9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5"/>
      <c r="HM119" s="19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1"/>
      <c r="HY119" s="25" t="str">
        <f t="shared" si="3"/>
        <v/>
      </c>
      <c r="HZ119" s="69" t="str">
        <f>IF($HY119&lt;&gt;"OK","",Hasil!$AU119)</f>
        <v/>
      </c>
      <c r="IA119" s="69" t="str">
        <f>IF($HY119&lt;&gt;"OK","",Hasil!$AV119)</f>
        <v/>
      </c>
    </row>
    <row r="120" spans="1:235" ht="13.4" customHeight="1">
      <c r="A120" s="7">
        <v>116</v>
      </c>
      <c r="B120" s="8"/>
      <c r="C120" s="8"/>
      <c r="D120" s="9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5"/>
      <c r="HM120" s="19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1"/>
      <c r="HY120" s="25" t="str">
        <f t="shared" si="3"/>
        <v/>
      </c>
      <c r="HZ120" s="69" t="str">
        <f>IF($HY120&lt;&gt;"OK","",Hasil!$AU120)</f>
        <v/>
      </c>
      <c r="IA120" s="69" t="str">
        <f>IF($HY120&lt;&gt;"OK","",Hasil!$AV120)</f>
        <v/>
      </c>
    </row>
    <row r="121" spans="1:235" ht="13.4" customHeight="1">
      <c r="A121" s="7">
        <v>117</v>
      </c>
      <c r="B121" s="8"/>
      <c r="C121" s="8"/>
      <c r="D121" s="9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5"/>
      <c r="HM121" s="19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1"/>
      <c r="HY121" s="25" t="str">
        <f t="shared" si="3"/>
        <v/>
      </c>
      <c r="HZ121" s="69" t="str">
        <f>IF($HY121&lt;&gt;"OK","",Hasil!$AU121)</f>
        <v/>
      </c>
      <c r="IA121" s="69" t="str">
        <f>IF($HY121&lt;&gt;"OK","",Hasil!$AV121)</f>
        <v/>
      </c>
    </row>
    <row r="122" spans="1:235" ht="13.4" customHeight="1">
      <c r="A122" s="7">
        <v>118</v>
      </c>
      <c r="B122" s="8"/>
      <c r="C122" s="8"/>
      <c r="D122" s="9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5"/>
      <c r="HM122" s="19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1"/>
      <c r="HY122" s="25" t="str">
        <f t="shared" si="3"/>
        <v/>
      </c>
      <c r="HZ122" s="69" t="str">
        <f>IF($HY122&lt;&gt;"OK","",Hasil!$AU122)</f>
        <v/>
      </c>
      <c r="IA122" s="69" t="str">
        <f>IF($HY122&lt;&gt;"OK","",Hasil!$AV122)</f>
        <v/>
      </c>
    </row>
    <row r="123" spans="1:235" ht="13.4" customHeight="1">
      <c r="A123" s="7">
        <v>119</v>
      </c>
      <c r="B123" s="8"/>
      <c r="C123" s="8"/>
      <c r="D123" s="9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5"/>
      <c r="HM123" s="19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1"/>
      <c r="HY123" s="25" t="str">
        <f t="shared" si="3"/>
        <v/>
      </c>
      <c r="HZ123" s="69" t="str">
        <f>IF($HY123&lt;&gt;"OK","",Hasil!$AU123)</f>
        <v/>
      </c>
      <c r="IA123" s="69" t="str">
        <f>IF($HY123&lt;&gt;"OK","",Hasil!$AV123)</f>
        <v/>
      </c>
    </row>
    <row r="124" spans="1:235" ht="13.4" customHeight="1">
      <c r="A124" s="7">
        <v>120</v>
      </c>
      <c r="B124" s="8"/>
      <c r="C124" s="8"/>
      <c r="D124" s="9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5"/>
      <c r="HM124" s="19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1"/>
      <c r="HY124" s="25" t="str">
        <f t="shared" si="3"/>
        <v/>
      </c>
      <c r="HZ124" s="69" t="str">
        <f>IF($HY124&lt;&gt;"OK","",Hasil!$AU124)</f>
        <v/>
      </c>
      <c r="IA124" s="69" t="str">
        <f>IF($HY124&lt;&gt;"OK","",Hasil!$AV124)</f>
        <v/>
      </c>
    </row>
    <row r="125" spans="1:235" ht="13.4" customHeight="1">
      <c r="A125" s="7">
        <v>121</v>
      </c>
      <c r="B125" s="8"/>
      <c r="C125" s="8"/>
      <c r="D125" s="9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5"/>
      <c r="HM125" s="19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1"/>
      <c r="HY125" s="25" t="str">
        <f t="shared" si="3"/>
        <v/>
      </c>
      <c r="HZ125" s="69" t="str">
        <f>IF($HY125&lt;&gt;"OK","",Hasil!$AU125)</f>
        <v/>
      </c>
      <c r="IA125" s="69" t="str">
        <f>IF($HY125&lt;&gt;"OK","",Hasil!$AV125)</f>
        <v/>
      </c>
    </row>
    <row r="126" spans="1:235" ht="13.4" customHeight="1">
      <c r="A126" s="7">
        <v>122</v>
      </c>
      <c r="B126" s="8"/>
      <c r="C126" s="8"/>
      <c r="D126" s="9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5"/>
      <c r="HM126" s="19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1"/>
      <c r="HY126" s="25" t="str">
        <f t="shared" si="3"/>
        <v/>
      </c>
      <c r="HZ126" s="69" t="str">
        <f>IF($HY126&lt;&gt;"OK","",Hasil!$AU126)</f>
        <v/>
      </c>
      <c r="IA126" s="69" t="str">
        <f>IF($HY126&lt;&gt;"OK","",Hasil!$AV126)</f>
        <v/>
      </c>
    </row>
    <row r="127" spans="1:235" ht="13.4" customHeight="1">
      <c r="A127" s="7">
        <v>123</v>
      </c>
      <c r="B127" s="8"/>
      <c r="C127" s="8"/>
      <c r="D127" s="9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5"/>
      <c r="HM127" s="19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1"/>
      <c r="HY127" s="25" t="str">
        <f t="shared" si="3"/>
        <v/>
      </c>
      <c r="HZ127" s="69" t="str">
        <f>IF($HY127&lt;&gt;"OK","",Hasil!$AU127)</f>
        <v/>
      </c>
      <c r="IA127" s="69" t="str">
        <f>IF($HY127&lt;&gt;"OK","",Hasil!$AV127)</f>
        <v/>
      </c>
    </row>
    <row r="128" spans="1:235" ht="13.4" customHeight="1">
      <c r="A128" s="7">
        <v>124</v>
      </c>
      <c r="B128" s="8"/>
      <c r="C128" s="8"/>
      <c r="D128" s="9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5"/>
      <c r="HM128" s="19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1"/>
      <c r="HY128" s="25" t="str">
        <f t="shared" si="3"/>
        <v/>
      </c>
      <c r="HZ128" s="69" t="str">
        <f>IF($HY128&lt;&gt;"OK","",Hasil!$AU128)</f>
        <v/>
      </c>
      <c r="IA128" s="69" t="str">
        <f>IF($HY128&lt;&gt;"OK","",Hasil!$AV128)</f>
        <v/>
      </c>
    </row>
    <row r="129" spans="1:235" ht="13.4" customHeight="1">
      <c r="A129" s="7">
        <v>125</v>
      </c>
      <c r="B129" s="8"/>
      <c r="C129" s="8"/>
      <c r="D129" s="9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5"/>
      <c r="HM129" s="19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1"/>
      <c r="HY129" s="25" t="str">
        <f t="shared" si="3"/>
        <v/>
      </c>
      <c r="HZ129" s="69" t="str">
        <f>IF($HY129&lt;&gt;"OK","",Hasil!$AU129)</f>
        <v/>
      </c>
      <c r="IA129" s="69" t="str">
        <f>IF($HY129&lt;&gt;"OK","",Hasil!$AV129)</f>
        <v/>
      </c>
    </row>
    <row r="130" spans="1:235" ht="13.4" customHeight="1">
      <c r="A130" s="7">
        <v>126</v>
      </c>
      <c r="B130" s="8"/>
      <c r="C130" s="8"/>
      <c r="D130" s="9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5"/>
      <c r="HM130" s="19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1"/>
      <c r="HY130" s="25" t="str">
        <f t="shared" si="3"/>
        <v/>
      </c>
      <c r="HZ130" s="69" t="str">
        <f>IF($HY130&lt;&gt;"OK","",Hasil!$AU130)</f>
        <v/>
      </c>
      <c r="IA130" s="69" t="str">
        <f>IF($HY130&lt;&gt;"OK","",Hasil!$AV130)</f>
        <v/>
      </c>
    </row>
    <row r="131" spans="1:235" ht="13.4" customHeight="1">
      <c r="A131" s="7">
        <v>127</v>
      </c>
      <c r="B131" s="8"/>
      <c r="C131" s="8"/>
      <c r="D131" s="9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5"/>
      <c r="HM131" s="19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1"/>
      <c r="HY131" s="25" t="str">
        <f t="shared" si="3"/>
        <v/>
      </c>
      <c r="HZ131" s="69" t="str">
        <f>IF($HY131&lt;&gt;"OK","",Hasil!$AU131)</f>
        <v/>
      </c>
      <c r="IA131" s="69" t="str">
        <f>IF($HY131&lt;&gt;"OK","",Hasil!$AV131)</f>
        <v/>
      </c>
    </row>
    <row r="132" spans="1:235" ht="13.4" customHeight="1">
      <c r="A132" s="7">
        <v>128</v>
      </c>
      <c r="B132" s="8"/>
      <c r="C132" s="8"/>
      <c r="D132" s="9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5"/>
      <c r="HM132" s="19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1"/>
      <c r="HY132" s="25" t="str">
        <f t="shared" si="3"/>
        <v/>
      </c>
      <c r="HZ132" s="69" t="str">
        <f>IF($HY132&lt;&gt;"OK","",Hasil!$AU132)</f>
        <v/>
      </c>
      <c r="IA132" s="69" t="str">
        <f>IF($HY132&lt;&gt;"OK","",Hasil!$AV132)</f>
        <v/>
      </c>
    </row>
    <row r="133" spans="1:235" ht="13.4" customHeight="1">
      <c r="A133" s="7">
        <v>129</v>
      </c>
      <c r="B133" s="8"/>
      <c r="C133" s="8"/>
      <c r="D133" s="9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5"/>
      <c r="HM133" s="19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1"/>
      <c r="HY133" s="25" t="str">
        <f t="shared" ref="HY133:HY164" si="4">IF(AND(B133="",C133=""),"",IF(OR(B133="",C133=""),"Lengkapi identitas",IF(COUNT(HM133:HX133)&lt;12,"Lengkapi 12 Self Estimate",IF(OR(MIN(HM133:HX133)&lt;1,MAX(HM133:HX133)&gt;7),"Self Estimate harus 1–7","OK"))))</f>
        <v/>
      </c>
      <c r="HZ133" s="69" t="str">
        <f>IF($HY133&lt;&gt;"OK","",Hasil!$AU133)</f>
        <v/>
      </c>
      <c r="IA133" s="69" t="str">
        <f>IF($HY133&lt;&gt;"OK","",Hasil!$AV133)</f>
        <v/>
      </c>
    </row>
    <row r="134" spans="1:235" ht="13.4" customHeight="1">
      <c r="A134" s="7">
        <v>130</v>
      </c>
      <c r="B134" s="8"/>
      <c r="C134" s="8"/>
      <c r="D134" s="9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5"/>
      <c r="HM134" s="19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1"/>
      <c r="HY134" s="25" t="str">
        <f t="shared" si="4"/>
        <v/>
      </c>
      <c r="HZ134" s="69" t="str">
        <f>IF($HY134&lt;&gt;"OK","",Hasil!$AU134)</f>
        <v/>
      </c>
      <c r="IA134" s="69" t="str">
        <f>IF($HY134&lt;&gt;"OK","",Hasil!$AV134)</f>
        <v/>
      </c>
    </row>
    <row r="135" spans="1:235" ht="13.4" customHeight="1">
      <c r="A135" s="7">
        <v>131</v>
      </c>
      <c r="B135" s="8"/>
      <c r="C135" s="8"/>
      <c r="D135" s="9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5"/>
      <c r="HM135" s="19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1"/>
      <c r="HY135" s="25" t="str">
        <f t="shared" si="4"/>
        <v/>
      </c>
      <c r="HZ135" s="69" t="str">
        <f>IF($HY135&lt;&gt;"OK","",Hasil!$AU135)</f>
        <v/>
      </c>
      <c r="IA135" s="69" t="str">
        <f>IF($HY135&lt;&gt;"OK","",Hasil!$AV135)</f>
        <v/>
      </c>
    </row>
    <row r="136" spans="1:235" ht="13.4" customHeight="1">
      <c r="A136" s="7">
        <v>132</v>
      </c>
      <c r="B136" s="8"/>
      <c r="C136" s="8"/>
      <c r="D136" s="9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5"/>
      <c r="HM136" s="19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1"/>
      <c r="HY136" s="25" t="str">
        <f t="shared" si="4"/>
        <v/>
      </c>
      <c r="HZ136" s="69" t="str">
        <f>IF($HY136&lt;&gt;"OK","",Hasil!$AU136)</f>
        <v/>
      </c>
      <c r="IA136" s="69" t="str">
        <f>IF($HY136&lt;&gt;"OK","",Hasil!$AV136)</f>
        <v/>
      </c>
    </row>
    <row r="137" spans="1:235" ht="13.4" customHeight="1">
      <c r="A137" s="7">
        <v>133</v>
      </c>
      <c r="B137" s="8"/>
      <c r="C137" s="8"/>
      <c r="D137" s="9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5"/>
      <c r="HM137" s="19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1"/>
      <c r="HY137" s="25" t="str">
        <f t="shared" si="4"/>
        <v/>
      </c>
      <c r="HZ137" s="69" t="str">
        <f>IF($HY137&lt;&gt;"OK","",Hasil!$AU137)</f>
        <v/>
      </c>
      <c r="IA137" s="69" t="str">
        <f>IF($HY137&lt;&gt;"OK","",Hasil!$AV137)</f>
        <v/>
      </c>
    </row>
    <row r="138" spans="1:235" ht="13.4" customHeight="1">
      <c r="A138" s="7">
        <v>134</v>
      </c>
      <c r="B138" s="8"/>
      <c r="C138" s="8"/>
      <c r="D138" s="9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5"/>
      <c r="HM138" s="19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1"/>
      <c r="HY138" s="25" t="str">
        <f t="shared" si="4"/>
        <v/>
      </c>
      <c r="HZ138" s="69" t="str">
        <f>IF($HY138&lt;&gt;"OK","",Hasil!$AU138)</f>
        <v/>
      </c>
      <c r="IA138" s="69" t="str">
        <f>IF($HY138&lt;&gt;"OK","",Hasil!$AV138)</f>
        <v/>
      </c>
    </row>
    <row r="139" spans="1:235" ht="13.4" customHeight="1">
      <c r="A139" s="7">
        <v>135</v>
      </c>
      <c r="B139" s="8"/>
      <c r="C139" s="8"/>
      <c r="D139" s="9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5"/>
      <c r="HM139" s="19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1"/>
      <c r="HY139" s="25" t="str">
        <f t="shared" si="4"/>
        <v/>
      </c>
      <c r="HZ139" s="69" t="str">
        <f>IF($HY139&lt;&gt;"OK","",Hasil!$AU139)</f>
        <v/>
      </c>
      <c r="IA139" s="69" t="str">
        <f>IF($HY139&lt;&gt;"OK","",Hasil!$AV139)</f>
        <v/>
      </c>
    </row>
    <row r="140" spans="1:235" ht="13.4" customHeight="1">
      <c r="A140" s="7">
        <v>136</v>
      </c>
      <c r="B140" s="8"/>
      <c r="C140" s="8"/>
      <c r="D140" s="9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5"/>
      <c r="HM140" s="19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1"/>
      <c r="HY140" s="25" t="str">
        <f t="shared" si="4"/>
        <v/>
      </c>
      <c r="HZ140" s="69" t="str">
        <f>IF($HY140&lt;&gt;"OK","",Hasil!$AU140)</f>
        <v/>
      </c>
      <c r="IA140" s="69" t="str">
        <f>IF($HY140&lt;&gt;"OK","",Hasil!$AV140)</f>
        <v/>
      </c>
    </row>
    <row r="141" spans="1:235" ht="13.4" customHeight="1">
      <c r="A141" s="7">
        <v>137</v>
      </c>
      <c r="B141" s="8"/>
      <c r="C141" s="8"/>
      <c r="D141" s="9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5"/>
      <c r="HM141" s="19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1"/>
      <c r="HY141" s="25" t="str">
        <f t="shared" si="4"/>
        <v/>
      </c>
      <c r="HZ141" s="69" t="str">
        <f>IF($HY141&lt;&gt;"OK","",Hasil!$AU141)</f>
        <v/>
      </c>
      <c r="IA141" s="69" t="str">
        <f>IF($HY141&lt;&gt;"OK","",Hasil!$AV141)</f>
        <v/>
      </c>
    </row>
    <row r="142" spans="1:235" ht="13.4" customHeight="1">
      <c r="A142" s="7">
        <v>138</v>
      </c>
      <c r="B142" s="8"/>
      <c r="C142" s="8"/>
      <c r="D142" s="9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5"/>
      <c r="HM142" s="19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1"/>
      <c r="HY142" s="25" t="str">
        <f t="shared" si="4"/>
        <v/>
      </c>
      <c r="HZ142" s="69" t="str">
        <f>IF($HY142&lt;&gt;"OK","",Hasil!$AU142)</f>
        <v/>
      </c>
      <c r="IA142" s="69" t="str">
        <f>IF($HY142&lt;&gt;"OK","",Hasil!$AV142)</f>
        <v/>
      </c>
    </row>
    <row r="143" spans="1:235" ht="13.4" customHeight="1">
      <c r="A143" s="7">
        <v>139</v>
      </c>
      <c r="B143" s="8"/>
      <c r="C143" s="8"/>
      <c r="D143" s="9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5"/>
      <c r="HM143" s="19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1"/>
      <c r="HY143" s="25" t="str">
        <f t="shared" si="4"/>
        <v/>
      </c>
      <c r="HZ143" s="69" t="str">
        <f>IF($HY143&lt;&gt;"OK","",Hasil!$AU143)</f>
        <v/>
      </c>
      <c r="IA143" s="69" t="str">
        <f>IF($HY143&lt;&gt;"OK","",Hasil!$AV143)</f>
        <v/>
      </c>
    </row>
    <row r="144" spans="1:235" ht="13.4" customHeight="1">
      <c r="A144" s="7">
        <v>140</v>
      </c>
      <c r="B144" s="8"/>
      <c r="C144" s="8"/>
      <c r="D144" s="9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5"/>
      <c r="HM144" s="19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1"/>
      <c r="HY144" s="25" t="str">
        <f t="shared" si="4"/>
        <v/>
      </c>
      <c r="HZ144" s="69" t="str">
        <f>IF($HY144&lt;&gt;"OK","",Hasil!$AU144)</f>
        <v/>
      </c>
      <c r="IA144" s="69" t="str">
        <f>IF($HY144&lt;&gt;"OK","",Hasil!$AV144)</f>
        <v/>
      </c>
    </row>
    <row r="145" spans="1:235" ht="13.4" customHeight="1">
      <c r="A145" s="7">
        <v>141</v>
      </c>
      <c r="B145" s="8"/>
      <c r="C145" s="8"/>
      <c r="D145" s="9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5"/>
      <c r="HM145" s="19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1"/>
      <c r="HY145" s="25" t="str">
        <f t="shared" si="4"/>
        <v/>
      </c>
      <c r="HZ145" s="69" t="str">
        <f>IF($HY145&lt;&gt;"OK","",Hasil!$AU145)</f>
        <v/>
      </c>
      <c r="IA145" s="69" t="str">
        <f>IF($HY145&lt;&gt;"OK","",Hasil!$AV145)</f>
        <v/>
      </c>
    </row>
    <row r="146" spans="1:235" ht="13.4" customHeight="1">
      <c r="A146" s="7">
        <v>142</v>
      </c>
      <c r="B146" s="8"/>
      <c r="C146" s="8"/>
      <c r="D146" s="9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5"/>
      <c r="HM146" s="19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1"/>
      <c r="HY146" s="25" t="str">
        <f t="shared" si="4"/>
        <v/>
      </c>
      <c r="HZ146" s="69" t="str">
        <f>IF($HY146&lt;&gt;"OK","",Hasil!$AU146)</f>
        <v/>
      </c>
      <c r="IA146" s="69" t="str">
        <f>IF($HY146&lt;&gt;"OK","",Hasil!$AV146)</f>
        <v/>
      </c>
    </row>
    <row r="147" spans="1:235" ht="13.4" customHeight="1">
      <c r="A147" s="7">
        <v>143</v>
      </c>
      <c r="B147" s="8"/>
      <c r="C147" s="8"/>
      <c r="D147" s="9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5"/>
      <c r="HM147" s="19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1"/>
      <c r="HY147" s="25" t="str">
        <f t="shared" si="4"/>
        <v/>
      </c>
      <c r="HZ147" s="69" t="str">
        <f>IF($HY147&lt;&gt;"OK","",Hasil!$AU147)</f>
        <v/>
      </c>
      <c r="IA147" s="69" t="str">
        <f>IF($HY147&lt;&gt;"OK","",Hasil!$AV147)</f>
        <v/>
      </c>
    </row>
    <row r="148" spans="1:235" ht="13.4" customHeight="1">
      <c r="A148" s="7">
        <v>144</v>
      </c>
      <c r="B148" s="8"/>
      <c r="C148" s="8"/>
      <c r="D148" s="9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5"/>
      <c r="HM148" s="19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1"/>
      <c r="HY148" s="25" t="str">
        <f t="shared" si="4"/>
        <v/>
      </c>
      <c r="HZ148" s="69" t="str">
        <f>IF($HY148&lt;&gt;"OK","",Hasil!$AU148)</f>
        <v/>
      </c>
      <c r="IA148" s="69" t="str">
        <f>IF($HY148&lt;&gt;"OK","",Hasil!$AV148)</f>
        <v/>
      </c>
    </row>
    <row r="149" spans="1:235" ht="13.4" customHeight="1">
      <c r="A149" s="7">
        <v>145</v>
      </c>
      <c r="B149" s="8"/>
      <c r="C149" s="8"/>
      <c r="D149" s="9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5"/>
      <c r="HM149" s="19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1"/>
      <c r="HY149" s="25" t="str">
        <f t="shared" si="4"/>
        <v/>
      </c>
      <c r="HZ149" s="69" t="str">
        <f>IF($HY149&lt;&gt;"OK","",Hasil!$AU149)</f>
        <v/>
      </c>
      <c r="IA149" s="69" t="str">
        <f>IF($HY149&lt;&gt;"OK","",Hasil!$AV149)</f>
        <v/>
      </c>
    </row>
    <row r="150" spans="1:235" ht="13.4" customHeight="1">
      <c r="A150" s="7">
        <v>146</v>
      </c>
      <c r="B150" s="8"/>
      <c r="C150" s="8"/>
      <c r="D150" s="9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5"/>
      <c r="HM150" s="19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1"/>
      <c r="HY150" s="25" t="str">
        <f t="shared" si="4"/>
        <v/>
      </c>
      <c r="HZ150" s="69" t="str">
        <f>IF($HY150&lt;&gt;"OK","",Hasil!$AU150)</f>
        <v/>
      </c>
      <c r="IA150" s="69" t="str">
        <f>IF($HY150&lt;&gt;"OK","",Hasil!$AV150)</f>
        <v/>
      </c>
    </row>
    <row r="151" spans="1:235" ht="13.4" customHeight="1">
      <c r="A151" s="7">
        <v>147</v>
      </c>
      <c r="B151" s="8"/>
      <c r="C151" s="8"/>
      <c r="D151" s="9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5"/>
      <c r="HM151" s="19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1"/>
      <c r="HY151" s="25" t="str">
        <f t="shared" si="4"/>
        <v/>
      </c>
      <c r="HZ151" s="69" t="str">
        <f>IF($HY151&lt;&gt;"OK","",Hasil!$AU151)</f>
        <v/>
      </c>
      <c r="IA151" s="69" t="str">
        <f>IF($HY151&lt;&gt;"OK","",Hasil!$AV151)</f>
        <v/>
      </c>
    </row>
    <row r="152" spans="1:235" ht="13.4" customHeight="1">
      <c r="A152" s="7">
        <v>148</v>
      </c>
      <c r="B152" s="8"/>
      <c r="C152" s="8"/>
      <c r="D152" s="9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5"/>
      <c r="HM152" s="19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1"/>
      <c r="HY152" s="25" t="str">
        <f t="shared" si="4"/>
        <v/>
      </c>
      <c r="HZ152" s="69" t="str">
        <f>IF($HY152&lt;&gt;"OK","",Hasil!$AU152)</f>
        <v/>
      </c>
      <c r="IA152" s="69" t="str">
        <f>IF($HY152&lt;&gt;"OK","",Hasil!$AV152)</f>
        <v/>
      </c>
    </row>
    <row r="153" spans="1:235" ht="13.4" customHeight="1">
      <c r="A153" s="7">
        <v>149</v>
      </c>
      <c r="B153" s="8"/>
      <c r="C153" s="8"/>
      <c r="D153" s="9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5"/>
      <c r="HM153" s="19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1"/>
      <c r="HY153" s="25" t="str">
        <f t="shared" si="4"/>
        <v/>
      </c>
      <c r="HZ153" s="69" t="str">
        <f>IF($HY153&lt;&gt;"OK","",Hasil!$AU153)</f>
        <v/>
      </c>
      <c r="IA153" s="69" t="str">
        <f>IF($HY153&lt;&gt;"OK","",Hasil!$AV153)</f>
        <v/>
      </c>
    </row>
    <row r="154" spans="1:235" ht="13.4" customHeight="1">
      <c r="A154" s="7">
        <v>150</v>
      </c>
      <c r="B154" s="8"/>
      <c r="C154" s="8"/>
      <c r="D154" s="9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5"/>
      <c r="HM154" s="19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1"/>
      <c r="HY154" s="25" t="str">
        <f t="shared" si="4"/>
        <v/>
      </c>
      <c r="HZ154" s="69" t="str">
        <f>IF($HY154&lt;&gt;"OK","",Hasil!$AU154)</f>
        <v/>
      </c>
      <c r="IA154" s="69" t="str">
        <f>IF($HY154&lt;&gt;"OK","",Hasil!$AV154)</f>
        <v/>
      </c>
    </row>
    <row r="155" spans="1:235" ht="13.4" customHeight="1">
      <c r="A155" s="7">
        <v>151</v>
      </c>
      <c r="B155" s="8"/>
      <c r="C155" s="8"/>
      <c r="D155" s="9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5"/>
      <c r="HM155" s="19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1"/>
      <c r="HY155" s="25" t="str">
        <f t="shared" si="4"/>
        <v/>
      </c>
      <c r="HZ155" s="69" t="str">
        <f>IF($HY155&lt;&gt;"OK","",Hasil!$AU155)</f>
        <v/>
      </c>
      <c r="IA155" s="69" t="str">
        <f>IF($HY155&lt;&gt;"OK","",Hasil!$AV155)</f>
        <v/>
      </c>
    </row>
    <row r="156" spans="1:235" ht="13.4" customHeight="1">
      <c r="A156" s="7">
        <v>152</v>
      </c>
      <c r="B156" s="8"/>
      <c r="C156" s="8"/>
      <c r="D156" s="9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5"/>
      <c r="HM156" s="19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1"/>
      <c r="HY156" s="25" t="str">
        <f t="shared" si="4"/>
        <v/>
      </c>
      <c r="HZ156" s="69" t="str">
        <f>IF($HY156&lt;&gt;"OK","",Hasil!$AU156)</f>
        <v/>
      </c>
      <c r="IA156" s="69" t="str">
        <f>IF($HY156&lt;&gt;"OK","",Hasil!$AV156)</f>
        <v/>
      </c>
    </row>
    <row r="157" spans="1:235" ht="13.4" customHeight="1">
      <c r="A157" s="7">
        <v>153</v>
      </c>
      <c r="B157" s="8"/>
      <c r="C157" s="8"/>
      <c r="D157" s="9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5"/>
      <c r="HM157" s="19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1"/>
      <c r="HY157" s="25" t="str">
        <f t="shared" si="4"/>
        <v/>
      </c>
      <c r="HZ157" s="69" t="str">
        <f>IF($HY157&lt;&gt;"OK","",Hasil!$AU157)</f>
        <v/>
      </c>
      <c r="IA157" s="69" t="str">
        <f>IF($HY157&lt;&gt;"OK","",Hasil!$AV157)</f>
        <v/>
      </c>
    </row>
    <row r="158" spans="1:235" ht="13.4" customHeight="1">
      <c r="A158" s="7">
        <v>154</v>
      </c>
      <c r="B158" s="8"/>
      <c r="C158" s="8"/>
      <c r="D158" s="9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5"/>
      <c r="HM158" s="19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1"/>
      <c r="HY158" s="25" t="str">
        <f t="shared" si="4"/>
        <v/>
      </c>
      <c r="HZ158" s="69" t="str">
        <f>IF($HY158&lt;&gt;"OK","",Hasil!$AU158)</f>
        <v/>
      </c>
      <c r="IA158" s="69" t="str">
        <f>IF($HY158&lt;&gt;"OK","",Hasil!$AV158)</f>
        <v/>
      </c>
    </row>
    <row r="159" spans="1:235" ht="13.4" customHeight="1">
      <c r="A159" s="7">
        <v>155</v>
      </c>
      <c r="B159" s="8"/>
      <c r="C159" s="8"/>
      <c r="D159" s="9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5"/>
      <c r="HM159" s="19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1"/>
      <c r="HY159" s="25" t="str">
        <f t="shared" si="4"/>
        <v/>
      </c>
      <c r="HZ159" s="69" t="str">
        <f>IF($HY159&lt;&gt;"OK","",Hasil!$AU159)</f>
        <v/>
      </c>
      <c r="IA159" s="69" t="str">
        <f>IF($HY159&lt;&gt;"OK","",Hasil!$AV159)</f>
        <v/>
      </c>
    </row>
    <row r="160" spans="1:235" ht="13.4" customHeight="1">
      <c r="A160" s="7">
        <v>156</v>
      </c>
      <c r="B160" s="8"/>
      <c r="C160" s="8"/>
      <c r="D160" s="9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5"/>
      <c r="HM160" s="19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1"/>
      <c r="HY160" s="25" t="str">
        <f t="shared" si="4"/>
        <v/>
      </c>
      <c r="HZ160" s="69" t="str">
        <f>IF($HY160&lt;&gt;"OK","",Hasil!$AU160)</f>
        <v/>
      </c>
      <c r="IA160" s="69" t="str">
        <f>IF($HY160&lt;&gt;"OK","",Hasil!$AV160)</f>
        <v/>
      </c>
    </row>
    <row r="161" spans="1:235" ht="13.4" customHeight="1">
      <c r="A161" s="7">
        <v>157</v>
      </c>
      <c r="B161" s="8"/>
      <c r="C161" s="8"/>
      <c r="D161" s="9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5"/>
      <c r="HM161" s="19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1"/>
      <c r="HY161" s="25" t="str">
        <f t="shared" si="4"/>
        <v/>
      </c>
      <c r="HZ161" s="69" t="str">
        <f>IF($HY161&lt;&gt;"OK","",Hasil!$AU161)</f>
        <v/>
      </c>
      <c r="IA161" s="69" t="str">
        <f>IF($HY161&lt;&gt;"OK","",Hasil!$AV161)</f>
        <v/>
      </c>
    </row>
    <row r="162" spans="1:235" ht="13.4" customHeight="1">
      <c r="A162" s="7">
        <v>158</v>
      </c>
      <c r="B162" s="8"/>
      <c r="C162" s="8"/>
      <c r="D162" s="9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5"/>
      <c r="HM162" s="19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1"/>
      <c r="HY162" s="25" t="str">
        <f t="shared" si="4"/>
        <v/>
      </c>
      <c r="HZ162" s="69" t="str">
        <f>IF($HY162&lt;&gt;"OK","",Hasil!$AU162)</f>
        <v/>
      </c>
      <c r="IA162" s="69" t="str">
        <f>IF($HY162&lt;&gt;"OK","",Hasil!$AV162)</f>
        <v/>
      </c>
    </row>
    <row r="163" spans="1:235" ht="13.4" customHeight="1">
      <c r="A163" s="7">
        <v>159</v>
      </c>
      <c r="B163" s="8"/>
      <c r="C163" s="8"/>
      <c r="D163" s="9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5"/>
      <c r="HM163" s="19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1"/>
      <c r="HY163" s="25" t="str">
        <f t="shared" si="4"/>
        <v/>
      </c>
      <c r="HZ163" s="69" t="str">
        <f>IF($HY163&lt;&gt;"OK","",Hasil!$AU163)</f>
        <v/>
      </c>
      <c r="IA163" s="69" t="str">
        <f>IF($HY163&lt;&gt;"OK","",Hasil!$AV163)</f>
        <v/>
      </c>
    </row>
    <row r="164" spans="1:235" ht="13.4" customHeight="1">
      <c r="A164" s="7">
        <v>160</v>
      </c>
      <c r="B164" s="8"/>
      <c r="C164" s="8"/>
      <c r="D164" s="9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5"/>
      <c r="HM164" s="19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1"/>
      <c r="HY164" s="25" t="str">
        <f t="shared" si="4"/>
        <v/>
      </c>
      <c r="HZ164" s="69" t="str">
        <f>IF($HY164&lt;&gt;"OK","",Hasil!$AU164)</f>
        <v/>
      </c>
      <c r="IA164" s="69" t="str">
        <f>IF($HY164&lt;&gt;"OK","",Hasil!$AV164)</f>
        <v/>
      </c>
    </row>
    <row r="165" spans="1:235" ht="13.4" customHeight="1">
      <c r="A165" s="7">
        <v>161</v>
      </c>
      <c r="B165" s="8"/>
      <c r="C165" s="8"/>
      <c r="D165" s="9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5"/>
      <c r="HM165" s="19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1"/>
      <c r="HY165" s="25" t="str">
        <f t="shared" ref="HY165:HY196" si="5">IF(AND(B165="",C165=""),"",IF(OR(B165="",C165=""),"Lengkapi identitas",IF(COUNT(HM165:HX165)&lt;12,"Lengkapi 12 Self Estimate",IF(OR(MIN(HM165:HX165)&lt;1,MAX(HM165:HX165)&gt;7),"Self Estimate harus 1–7","OK"))))</f>
        <v/>
      </c>
      <c r="HZ165" s="69" t="str">
        <f>IF($HY165&lt;&gt;"OK","",Hasil!$AU165)</f>
        <v/>
      </c>
      <c r="IA165" s="69" t="str">
        <f>IF($HY165&lt;&gt;"OK","",Hasil!$AV165)</f>
        <v/>
      </c>
    </row>
    <row r="166" spans="1:235" ht="13.4" customHeight="1">
      <c r="A166" s="7">
        <v>162</v>
      </c>
      <c r="B166" s="8"/>
      <c r="C166" s="8"/>
      <c r="D166" s="9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5"/>
      <c r="HM166" s="19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1"/>
      <c r="HY166" s="25" t="str">
        <f t="shared" si="5"/>
        <v/>
      </c>
      <c r="HZ166" s="69" t="str">
        <f>IF($HY166&lt;&gt;"OK","",Hasil!$AU166)</f>
        <v/>
      </c>
      <c r="IA166" s="69" t="str">
        <f>IF($HY166&lt;&gt;"OK","",Hasil!$AV166)</f>
        <v/>
      </c>
    </row>
    <row r="167" spans="1:235" ht="13.4" customHeight="1">
      <c r="A167" s="7">
        <v>163</v>
      </c>
      <c r="B167" s="8"/>
      <c r="C167" s="8"/>
      <c r="D167" s="9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5"/>
      <c r="HM167" s="19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1"/>
      <c r="HY167" s="25" t="str">
        <f t="shared" si="5"/>
        <v/>
      </c>
      <c r="HZ167" s="69" t="str">
        <f>IF($HY167&lt;&gt;"OK","",Hasil!$AU167)</f>
        <v/>
      </c>
      <c r="IA167" s="69" t="str">
        <f>IF($HY167&lt;&gt;"OK","",Hasil!$AV167)</f>
        <v/>
      </c>
    </row>
    <row r="168" spans="1:235" ht="13.4" customHeight="1">
      <c r="A168" s="7">
        <v>164</v>
      </c>
      <c r="B168" s="8"/>
      <c r="C168" s="8"/>
      <c r="D168" s="9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5"/>
      <c r="HM168" s="19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1"/>
      <c r="HY168" s="25" t="str">
        <f t="shared" si="5"/>
        <v/>
      </c>
      <c r="HZ168" s="69" t="str">
        <f>IF($HY168&lt;&gt;"OK","",Hasil!$AU168)</f>
        <v/>
      </c>
      <c r="IA168" s="69" t="str">
        <f>IF($HY168&lt;&gt;"OK","",Hasil!$AV168)</f>
        <v/>
      </c>
    </row>
    <row r="169" spans="1:235" ht="13.4" customHeight="1">
      <c r="A169" s="7">
        <v>165</v>
      </c>
      <c r="B169" s="8"/>
      <c r="C169" s="8"/>
      <c r="D169" s="9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5"/>
      <c r="HM169" s="19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1"/>
      <c r="HY169" s="25" t="str">
        <f t="shared" si="5"/>
        <v/>
      </c>
      <c r="HZ169" s="69" t="str">
        <f>IF($HY169&lt;&gt;"OK","",Hasil!$AU169)</f>
        <v/>
      </c>
      <c r="IA169" s="69" t="str">
        <f>IF($HY169&lt;&gt;"OK","",Hasil!$AV169)</f>
        <v/>
      </c>
    </row>
    <row r="170" spans="1:235" ht="13.4" customHeight="1">
      <c r="A170" s="7">
        <v>166</v>
      </c>
      <c r="B170" s="8"/>
      <c r="C170" s="8"/>
      <c r="D170" s="9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5"/>
      <c r="HM170" s="19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1"/>
      <c r="HY170" s="25" t="str">
        <f t="shared" si="5"/>
        <v/>
      </c>
      <c r="HZ170" s="69" t="str">
        <f>IF($HY170&lt;&gt;"OK","",Hasil!$AU170)</f>
        <v/>
      </c>
      <c r="IA170" s="69" t="str">
        <f>IF($HY170&lt;&gt;"OK","",Hasil!$AV170)</f>
        <v/>
      </c>
    </row>
    <row r="171" spans="1:235" ht="13.4" customHeight="1">
      <c r="A171" s="7">
        <v>167</v>
      </c>
      <c r="B171" s="8"/>
      <c r="C171" s="8"/>
      <c r="D171" s="9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5"/>
      <c r="HM171" s="19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1"/>
      <c r="HY171" s="25" t="str">
        <f t="shared" si="5"/>
        <v/>
      </c>
      <c r="HZ171" s="69" t="str">
        <f>IF($HY171&lt;&gt;"OK","",Hasil!$AU171)</f>
        <v/>
      </c>
      <c r="IA171" s="69" t="str">
        <f>IF($HY171&lt;&gt;"OK","",Hasil!$AV171)</f>
        <v/>
      </c>
    </row>
    <row r="172" spans="1:235" ht="13.4" customHeight="1">
      <c r="A172" s="7">
        <v>168</v>
      </c>
      <c r="B172" s="8"/>
      <c r="C172" s="8"/>
      <c r="D172" s="9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5"/>
      <c r="HM172" s="19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1"/>
      <c r="HY172" s="25" t="str">
        <f t="shared" si="5"/>
        <v/>
      </c>
      <c r="HZ172" s="69" t="str">
        <f>IF($HY172&lt;&gt;"OK","",Hasil!$AU172)</f>
        <v/>
      </c>
      <c r="IA172" s="69" t="str">
        <f>IF($HY172&lt;&gt;"OK","",Hasil!$AV172)</f>
        <v/>
      </c>
    </row>
    <row r="173" spans="1:235" ht="13.4" customHeight="1">
      <c r="A173" s="7">
        <v>169</v>
      </c>
      <c r="B173" s="8"/>
      <c r="C173" s="8"/>
      <c r="D173" s="9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5"/>
      <c r="HM173" s="19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1"/>
      <c r="HY173" s="25" t="str">
        <f t="shared" si="5"/>
        <v/>
      </c>
      <c r="HZ173" s="69" t="str">
        <f>IF($HY173&lt;&gt;"OK","",Hasil!$AU173)</f>
        <v/>
      </c>
      <c r="IA173" s="69" t="str">
        <f>IF($HY173&lt;&gt;"OK","",Hasil!$AV173)</f>
        <v/>
      </c>
    </row>
    <row r="174" spans="1:235" ht="13.4" customHeight="1">
      <c r="A174" s="7">
        <v>170</v>
      </c>
      <c r="B174" s="8"/>
      <c r="C174" s="8"/>
      <c r="D174" s="9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5"/>
      <c r="HM174" s="19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1"/>
      <c r="HY174" s="25" t="str">
        <f t="shared" si="5"/>
        <v/>
      </c>
      <c r="HZ174" s="69" t="str">
        <f>IF($HY174&lt;&gt;"OK","",Hasil!$AU174)</f>
        <v/>
      </c>
      <c r="IA174" s="69" t="str">
        <f>IF($HY174&lt;&gt;"OK","",Hasil!$AV174)</f>
        <v/>
      </c>
    </row>
    <row r="175" spans="1:235" ht="13.4" customHeight="1">
      <c r="A175" s="7">
        <v>171</v>
      </c>
      <c r="B175" s="8"/>
      <c r="C175" s="8"/>
      <c r="D175" s="9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5"/>
      <c r="HM175" s="19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1"/>
      <c r="HY175" s="25" t="str">
        <f t="shared" si="5"/>
        <v/>
      </c>
      <c r="HZ175" s="69" t="str">
        <f>IF($HY175&lt;&gt;"OK","",Hasil!$AU175)</f>
        <v/>
      </c>
      <c r="IA175" s="69" t="str">
        <f>IF($HY175&lt;&gt;"OK","",Hasil!$AV175)</f>
        <v/>
      </c>
    </row>
    <row r="176" spans="1:235" ht="13.4" customHeight="1">
      <c r="A176" s="7">
        <v>172</v>
      </c>
      <c r="B176" s="8"/>
      <c r="C176" s="8"/>
      <c r="D176" s="9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5"/>
      <c r="HM176" s="19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1"/>
      <c r="HY176" s="25" t="str">
        <f t="shared" si="5"/>
        <v/>
      </c>
      <c r="HZ176" s="69" t="str">
        <f>IF($HY176&lt;&gt;"OK","",Hasil!$AU176)</f>
        <v/>
      </c>
      <c r="IA176" s="69" t="str">
        <f>IF($HY176&lt;&gt;"OK","",Hasil!$AV176)</f>
        <v/>
      </c>
    </row>
    <row r="177" spans="1:235" ht="13.4" customHeight="1">
      <c r="A177" s="7">
        <v>173</v>
      </c>
      <c r="B177" s="8"/>
      <c r="C177" s="8"/>
      <c r="D177" s="9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5"/>
      <c r="HM177" s="19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1"/>
      <c r="HY177" s="25" t="str">
        <f t="shared" si="5"/>
        <v/>
      </c>
      <c r="HZ177" s="69" t="str">
        <f>IF($HY177&lt;&gt;"OK","",Hasil!$AU177)</f>
        <v/>
      </c>
      <c r="IA177" s="69" t="str">
        <f>IF($HY177&lt;&gt;"OK","",Hasil!$AV177)</f>
        <v/>
      </c>
    </row>
    <row r="178" spans="1:235" ht="13.4" customHeight="1">
      <c r="A178" s="7">
        <v>174</v>
      </c>
      <c r="B178" s="8"/>
      <c r="C178" s="8"/>
      <c r="D178" s="9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5"/>
      <c r="HM178" s="19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1"/>
      <c r="HY178" s="25" t="str">
        <f t="shared" si="5"/>
        <v/>
      </c>
      <c r="HZ178" s="69" t="str">
        <f>IF($HY178&lt;&gt;"OK","",Hasil!$AU178)</f>
        <v/>
      </c>
      <c r="IA178" s="69" t="str">
        <f>IF($HY178&lt;&gt;"OK","",Hasil!$AV178)</f>
        <v/>
      </c>
    </row>
    <row r="179" spans="1:235" ht="13.4" customHeight="1">
      <c r="A179" s="7">
        <v>175</v>
      </c>
      <c r="B179" s="8"/>
      <c r="C179" s="8"/>
      <c r="D179" s="9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5"/>
      <c r="HM179" s="19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1"/>
      <c r="HY179" s="25" t="str">
        <f t="shared" si="5"/>
        <v/>
      </c>
      <c r="HZ179" s="69" t="str">
        <f>IF($HY179&lt;&gt;"OK","",Hasil!$AU179)</f>
        <v/>
      </c>
      <c r="IA179" s="69" t="str">
        <f>IF($HY179&lt;&gt;"OK","",Hasil!$AV179)</f>
        <v/>
      </c>
    </row>
    <row r="180" spans="1:235" ht="13.4" customHeight="1">
      <c r="A180" s="7">
        <v>176</v>
      </c>
      <c r="B180" s="8"/>
      <c r="C180" s="8"/>
      <c r="D180" s="9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5"/>
      <c r="HM180" s="19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1"/>
      <c r="HY180" s="25" t="str">
        <f t="shared" si="5"/>
        <v/>
      </c>
      <c r="HZ180" s="69" t="str">
        <f>IF($HY180&lt;&gt;"OK","",Hasil!$AU180)</f>
        <v/>
      </c>
      <c r="IA180" s="69" t="str">
        <f>IF($HY180&lt;&gt;"OK","",Hasil!$AV180)</f>
        <v/>
      </c>
    </row>
    <row r="181" spans="1:235" ht="13.4" customHeight="1">
      <c r="A181" s="7">
        <v>177</v>
      </c>
      <c r="B181" s="8"/>
      <c r="C181" s="8"/>
      <c r="D181" s="9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5"/>
      <c r="HM181" s="19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1"/>
      <c r="HY181" s="25" t="str">
        <f t="shared" si="5"/>
        <v/>
      </c>
      <c r="HZ181" s="69" t="str">
        <f>IF($HY181&lt;&gt;"OK","",Hasil!$AU181)</f>
        <v/>
      </c>
      <c r="IA181" s="69" t="str">
        <f>IF($HY181&lt;&gt;"OK","",Hasil!$AV181)</f>
        <v/>
      </c>
    </row>
    <row r="182" spans="1:235" ht="13.4" customHeight="1">
      <c r="A182" s="7">
        <v>178</v>
      </c>
      <c r="B182" s="8"/>
      <c r="C182" s="8"/>
      <c r="D182" s="9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5"/>
      <c r="HM182" s="19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1"/>
      <c r="HY182" s="25" t="str">
        <f t="shared" si="5"/>
        <v/>
      </c>
      <c r="HZ182" s="69" t="str">
        <f>IF($HY182&lt;&gt;"OK","",Hasil!$AU182)</f>
        <v/>
      </c>
      <c r="IA182" s="69" t="str">
        <f>IF($HY182&lt;&gt;"OK","",Hasil!$AV182)</f>
        <v/>
      </c>
    </row>
    <row r="183" spans="1:235" ht="13.4" customHeight="1">
      <c r="A183" s="7">
        <v>179</v>
      </c>
      <c r="B183" s="8"/>
      <c r="C183" s="8"/>
      <c r="D183" s="9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5"/>
      <c r="HM183" s="19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1"/>
      <c r="HY183" s="25" t="str">
        <f t="shared" si="5"/>
        <v/>
      </c>
      <c r="HZ183" s="69" t="str">
        <f>IF($HY183&lt;&gt;"OK","",Hasil!$AU183)</f>
        <v/>
      </c>
      <c r="IA183" s="69" t="str">
        <f>IF($HY183&lt;&gt;"OK","",Hasil!$AV183)</f>
        <v/>
      </c>
    </row>
    <row r="184" spans="1:235" ht="13.4" customHeight="1">
      <c r="A184" s="7">
        <v>180</v>
      </c>
      <c r="B184" s="8"/>
      <c r="C184" s="8"/>
      <c r="D184" s="9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5"/>
      <c r="HM184" s="19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1"/>
      <c r="HY184" s="25" t="str">
        <f t="shared" si="5"/>
        <v/>
      </c>
      <c r="HZ184" s="69" t="str">
        <f>IF($HY184&lt;&gt;"OK","",Hasil!$AU184)</f>
        <v/>
      </c>
      <c r="IA184" s="69" t="str">
        <f>IF($HY184&lt;&gt;"OK","",Hasil!$AV184)</f>
        <v/>
      </c>
    </row>
    <row r="185" spans="1:235" ht="13.4" customHeight="1">
      <c r="A185" s="7">
        <v>181</v>
      </c>
      <c r="B185" s="8"/>
      <c r="C185" s="8"/>
      <c r="D185" s="9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5"/>
      <c r="HM185" s="19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1"/>
      <c r="HY185" s="25" t="str">
        <f t="shared" si="5"/>
        <v/>
      </c>
      <c r="HZ185" s="69" t="str">
        <f>IF($HY185&lt;&gt;"OK","",Hasil!$AU185)</f>
        <v/>
      </c>
      <c r="IA185" s="69" t="str">
        <f>IF($HY185&lt;&gt;"OK","",Hasil!$AV185)</f>
        <v/>
      </c>
    </row>
    <row r="186" spans="1:235" ht="13.4" customHeight="1">
      <c r="A186" s="7">
        <v>182</v>
      </c>
      <c r="B186" s="8"/>
      <c r="C186" s="8"/>
      <c r="D186" s="9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5"/>
      <c r="HM186" s="19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1"/>
      <c r="HY186" s="25" t="str">
        <f t="shared" si="5"/>
        <v/>
      </c>
      <c r="HZ186" s="69" t="str">
        <f>IF($HY186&lt;&gt;"OK","",Hasil!$AU186)</f>
        <v/>
      </c>
      <c r="IA186" s="69" t="str">
        <f>IF($HY186&lt;&gt;"OK","",Hasil!$AV186)</f>
        <v/>
      </c>
    </row>
    <row r="187" spans="1:235" ht="13.4" customHeight="1">
      <c r="A187" s="7">
        <v>183</v>
      </c>
      <c r="B187" s="8"/>
      <c r="C187" s="8"/>
      <c r="D187" s="9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5"/>
      <c r="HM187" s="19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1"/>
      <c r="HY187" s="25" t="str">
        <f t="shared" si="5"/>
        <v/>
      </c>
      <c r="HZ187" s="69" t="str">
        <f>IF($HY187&lt;&gt;"OK","",Hasil!$AU187)</f>
        <v/>
      </c>
      <c r="IA187" s="69" t="str">
        <f>IF($HY187&lt;&gt;"OK","",Hasil!$AV187)</f>
        <v/>
      </c>
    </row>
    <row r="188" spans="1:235" ht="13.4" customHeight="1">
      <c r="A188" s="7">
        <v>184</v>
      </c>
      <c r="B188" s="8"/>
      <c r="C188" s="8"/>
      <c r="D188" s="9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5"/>
      <c r="HM188" s="19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1"/>
      <c r="HY188" s="25" t="str">
        <f t="shared" si="5"/>
        <v/>
      </c>
      <c r="HZ188" s="69" t="str">
        <f>IF($HY188&lt;&gt;"OK","",Hasil!$AU188)</f>
        <v/>
      </c>
      <c r="IA188" s="69" t="str">
        <f>IF($HY188&lt;&gt;"OK","",Hasil!$AV188)</f>
        <v/>
      </c>
    </row>
    <row r="189" spans="1:235" ht="13.4" customHeight="1">
      <c r="A189" s="7">
        <v>185</v>
      </c>
      <c r="B189" s="8"/>
      <c r="C189" s="8"/>
      <c r="D189" s="9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5"/>
      <c r="HM189" s="19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1"/>
      <c r="HY189" s="25" t="str">
        <f t="shared" si="5"/>
        <v/>
      </c>
      <c r="HZ189" s="69" t="str">
        <f>IF($HY189&lt;&gt;"OK","",Hasil!$AU189)</f>
        <v/>
      </c>
      <c r="IA189" s="69" t="str">
        <f>IF($HY189&lt;&gt;"OK","",Hasil!$AV189)</f>
        <v/>
      </c>
    </row>
    <row r="190" spans="1:235" ht="13.4" customHeight="1">
      <c r="A190" s="7">
        <v>186</v>
      </c>
      <c r="B190" s="8"/>
      <c r="C190" s="8"/>
      <c r="D190" s="9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5"/>
      <c r="HM190" s="19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1"/>
      <c r="HY190" s="25" t="str">
        <f t="shared" si="5"/>
        <v/>
      </c>
      <c r="HZ190" s="69" t="str">
        <f>IF($HY190&lt;&gt;"OK","",Hasil!$AU190)</f>
        <v/>
      </c>
      <c r="IA190" s="69" t="str">
        <f>IF($HY190&lt;&gt;"OK","",Hasil!$AV190)</f>
        <v/>
      </c>
    </row>
    <row r="191" spans="1:235" ht="13.4" customHeight="1">
      <c r="A191" s="7">
        <v>187</v>
      </c>
      <c r="B191" s="8"/>
      <c r="C191" s="8"/>
      <c r="D191" s="9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5"/>
      <c r="HM191" s="19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1"/>
      <c r="HY191" s="25" t="str">
        <f t="shared" si="5"/>
        <v/>
      </c>
      <c r="HZ191" s="69" t="str">
        <f>IF($HY191&lt;&gt;"OK","",Hasil!$AU191)</f>
        <v/>
      </c>
      <c r="IA191" s="69" t="str">
        <f>IF($HY191&lt;&gt;"OK","",Hasil!$AV191)</f>
        <v/>
      </c>
    </row>
    <row r="192" spans="1:235" ht="13.4" customHeight="1">
      <c r="A192" s="7">
        <v>188</v>
      </c>
      <c r="B192" s="8"/>
      <c r="C192" s="8"/>
      <c r="D192" s="9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5"/>
      <c r="HM192" s="19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1"/>
      <c r="HY192" s="25" t="str">
        <f t="shared" si="5"/>
        <v/>
      </c>
      <c r="HZ192" s="69" t="str">
        <f>IF($HY192&lt;&gt;"OK","",Hasil!$AU192)</f>
        <v/>
      </c>
      <c r="IA192" s="69" t="str">
        <f>IF($HY192&lt;&gt;"OK","",Hasil!$AV192)</f>
        <v/>
      </c>
    </row>
    <row r="193" spans="1:235" ht="13.4" customHeight="1">
      <c r="A193" s="7">
        <v>189</v>
      </c>
      <c r="B193" s="8"/>
      <c r="C193" s="8"/>
      <c r="D193" s="9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5"/>
      <c r="HM193" s="19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1"/>
      <c r="HY193" s="25" t="str">
        <f t="shared" si="5"/>
        <v/>
      </c>
      <c r="HZ193" s="69" t="str">
        <f>IF($HY193&lt;&gt;"OK","",Hasil!$AU193)</f>
        <v/>
      </c>
      <c r="IA193" s="69" t="str">
        <f>IF($HY193&lt;&gt;"OK","",Hasil!$AV193)</f>
        <v/>
      </c>
    </row>
    <row r="194" spans="1:235" ht="13.4" customHeight="1">
      <c r="A194" s="7">
        <v>190</v>
      </c>
      <c r="B194" s="8"/>
      <c r="C194" s="8"/>
      <c r="D194" s="9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5"/>
      <c r="HM194" s="19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1"/>
      <c r="HY194" s="25" t="str">
        <f t="shared" si="5"/>
        <v/>
      </c>
      <c r="HZ194" s="69" t="str">
        <f>IF($HY194&lt;&gt;"OK","",Hasil!$AU194)</f>
        <v/>
      </c>
      <c r="IA194" s="69" t="str">
        <f>IF($HY194&lt;&gt;"OK","",Hasil!$AV194)</f>
        <v/>
      </c>
    </row>
    <row r="195" spans="1:235" ht="13.4" customHeight="1">
      <c r="A195" s="7">
        <v>191</v>
      </c>
      <c r="B195" s="8"/>
      <c r="C195" s="8"/>
      <c r="D195" s="9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5"/>
      <c r="HM195" s="19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1"/>
      <c r="HY195" s="25" t="str">
        <f t="shared" si="5"/>
        <v/>
      </c>
      <c r="HZ195" s="69" t="str">
        <f>IF($HY195&lt;&gt;"OK","",Hasil!$AU195)</f>
        <v/>
      </c>
      <c r="IA195" s="69" t="str">
        <f>IF($HY195&lt;&gt;"OK","",Hasil!$AV195)</f>
        <v/>
      </c>
    </row>
    <row r="196" spans="1:235" ht="13.4" customHeight="1">
      <c r="A196" s="7">
        <v>192</v>
      </c>
      <c r="B196" s="8"/>
      <c r="C196" s="8"/>
      <c r="D196" s="9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5"/>
      <c r="HM196" s="19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1"/>
      <c r="HY196" s="25" t="str">
        <f t="shared" si="5"/>
        <v/>
      </c>
      <c r="HZ196" s="69" t="str">
        <f>IF($HY196&lt;&gt;"OK","",Hasil!$AU196)</f>
        <v/>
      </c>
      <c r="IA196" s="69" t="str">
        <f>IF($HY196&lt;&gt;"OK","",Hasil!$AV196)</f>
        <v/>
      </c>
    </row>
    <row r="197" spans="1:235" ht="13.4" customHeight="1">
      <c r="A197" s="7">
        <v>193</v>
      </c>
      <c r="B197" s="8"/>
      <c r="C197" s="8"/>
      <c r="D197" s="9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5"/>
      <c r="HM197" s="19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1"/>
      <c r="HY197" s="25" t="str">
        <f t="shared" ref="HY197:HY228" si="6">IF(AND(B197="",C197=""),"",IF(OR(B197="",C197=""),"Lengkapi identitas",IF(COUNT(HM197:HX197)&lt;12,"Lengkapi 12 Self Estimate",IF(OR(MIN(HM197:HX197)&lt;1,MAX(HM197:HX197)&gt;7),"Self Estimate harus 1–7","OK"))))</f>
        <v/>
      </c>
      <c r="HZ197" s="69" t="str">
        <f>IF($HY197&lt;&gt;"OK","",Hasil!$AU197)</f>
        <v/>
      </c>
      <c r="IA197" s="69" t="str">
        <f>IF($HY197&lt;&gt;"OK","",Hasil!$AV197)</f>
        <v/>
      </c>
    </row>
    <row r="198" spans="1:235" ht="13.4" customHeight="1">
      <c r="A198" s="7">
        <v>194</v>
      </c>
      <c r="B198" s="8"/>
      <c r="C198" s="8"/>
      <c r="D198" s="9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5"/>
      <c r="HM198" s="19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1"/>
      <c r="HY198" s="25" t="str">
        <f t="shared" si="6"/>
        <v/>
      </c>
      <c r="HZ198" s="69" t="str">
        <f>IF($HY198&lt;&gt;"OK","",Hasil!$AU198)</f>
        <v/>
      </c>
      <c r="IA198" s="69" t="str">
        <f>IF($HY198&lt;&gt;"OK","",Hasil!$AV198)</f>
        <v/>
      </c>
    </row>
    <row r="199" spans="1:235" ht="13.4" customHeight="1">
      <c r="A199" s="7">
        <v>195</v>
      </c>
      <c r="B199" s="8"/>
      <c r="C199" s="8"/>
      <c r="D199" s="9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5"/>
      <c r="HM199" s="19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1"/>
      <c r="HY199" s="25" t="str">
        <f t="shared" si="6"/>
        <v/>
      </c>
      <c r="HZ199" s="69" t="str">
        <f>IF($HY199&lt;&gt;"OK","",Hasil!$AU199)</f>
        <v/>
      </c>
      <c r="IA199" s="69" t="str">
        <f>IF($HY199&lt;&gt;"OK","",Hasil!$AV199)</f>
        <v/>
      </c>
    </row>
    <row r="200" spans="1:235" ht="13.4" customHeight="1">
      <c r="A200" s="7">
        <v>196</v>
      </c>
      <c r="B200" s="8"/>
      <c r="C200" s="8"/>
      <c r="D200" s="9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5"/>
      <c r="HM200" s="19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1"/>
      <c r="HY200" s="25" t="str">
        <f t="shared" si="6"/>
        <v/>
      </c>
      <c r="HZ200" s="69" t="str">
        <f>IF($HY200&lt;&gt;"OK","",Hasil!$AU200)</f>
        <v/>
      </c>
      <c r="IA200" s="69" t="str">
        <f>IF($HY200&lt;&gt;"OK","",Hasil!$AV200)</f>
        <v/>
      </c>
    </row>
    <row r="201" spans="1:235" ht="13.4" customHeight="1">
      <c r="A201" s="7">
        <v>197</v>
      </c>
      <c r="B201" s="8"/>
      <c r="C201" s="8"/>
      <c r="D201" s="9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5"/>
      <c r="HM201" s="19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1"/>
      <c r="HY201" s="25" t="str">
        <f t="shared" si="6"/>
        <v/>
      </c>
      <c r="HZ201" s="69" t="str">
        <f>IF($HY201&lt;&gt;"OK","",Hasil!$AU201)</f>
        <v/>
      </c>
      <c r="IA201" s="69" t="str">
        <f>IF($HY201&lt;&gt;"OK","",Hasil!$AV201)</f>
        <v/>
      </c>
    </row>
    <row r="202" spans="1:235" ht="13.4" customHeight="1">
      <c r="A202" s="7">
        <v>198</v>
      </c>
      <c r="B202" s="8"/>
      <c r="C202" s="8"/>
      <c r="D202" s="9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5"/>
      <c r="HM202" s="19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1"/>
      <c r="HY202" s="25" t="str">
        <f t="shared" si="6"/>
        <v/>
      </c>
      <c r="HZ202" s="69" t="str">
        <f>IF($HY202&lt;&gt;"OK","",Hasil!$AU202)</f>
        <v/>
      </c>
      <c r="IA202" s="69" t="str">
        <f>IF($HY202&lt;&gt;"OK","",Hasil!$AV202)</f>
        <v/>
      </c>
    </row>
    <row r="203" spans="1:235" ht="13.4" customHeight="1">
      <c r="A203" s="7">
        <v>199</v>
      </c>
      <c r="B203" s="8"/>
      <c r="C203" s="8"/>
      <c r="D203" s="9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5"/>
      <c r="HM203" s="19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1"/>
      <c r="HY203" s="25" t="str">
        <f t="shared" si="6"/>
        <v/>
      </c>
      <c r="HZ203" s="69" t="str">
        <f>IF($HY203&lt;&gt;"OK","",Hasil!$AU203)</f>
        <v/>
      </c>
      <c r="IA203" s="69" t="str">
        <f>IF($HY203&lt;&gt;"OK","",Hasil!$AV203)</f>
        <v/>
      </c>
    </row>
    <row r="204" spans="1:235" ht="13.4" customHeight="1">
      <c r="A204" s="10">
        <v>200</v>
      </c>
      <c r="B204" s="11"/>
      <c r="C204" s="11"/>
      <c r="D204" s="12"/>
      <c r="E204" s="16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  <c r="GZ204" s="17"/>
      <c r="HA204" s="17"/>
      <c r="HB204" s="17"/>
      <c r="HC204" s="17"/>
      <c r="HD204" s="17"/>
      <c r="HE204" s="17"/>
      <c r="HF204" s="17"/>
      <c r="HG204" s="17"/>
      <c r="HH204" s="17"/>
      <c r="HI204" s="17"/>
      <c r="HJ204" s="17"/>
      <c r="HK204" s="17"/>
      <c r="HL204" s="18"/>
      <c r="HM204" s="22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4"/>
      <c r="HY204" s="26" t="str">
        <f t="shared" si="6"/>
        <v/>
      </c>
      <c r="HZ204" s="69" t="str">
        <f>IF($HY204&lt;&gt;"OK","",Hasil!$AU204)</f>
        <v/>
      </c>
      <c r="IA204" s="69" t="str">
        <f>IF($HY204&lt;&gt;"OK","",Hasil!$AV204)</f>
        <v/>
      </c>
    </row>
  </sheetData>
  <mergeCells count="9">
    <mergeCell ref="HS3:HX3"/>
    <mergeCell ref="A1:IA1"/>
    <mergeCell ref="A2:IA2"/>
    <mergeCell ref="HY3:IA3"/>
    <mergeCell ref="A3:D3"/>
    <mergeCell ref="E3:BR3"/>
    <mergeCell ref="BS3:EF3"/>
    <mergeCell ref="EG3:HL3"/>
    <mergeCell ref="HM3:HR3"/>
  </mergeCells>
  <conditionalFormatting sqref="HM5:HX204">
    <cfRule type="expression" dxfId="27" priority="1">
      <formula>AND($B5&lt;&gt;"",HM5="")</formula>
    </cfRule>
  </conditionalFormatting>
  <conditionalFormatting sqref="HY5:HY204">
    <cfRule type="expression" dxfId="26" priority="2">
      <formula>HY5="OK"</formula>
    </cfRule>
    <cfRule type="expression" dxfId="25" priority="3">
      <formula>AND(HY5&lt;&gt;"",HY5&lt;&gt;"OK")</formula>
    </cfRule>
  </conditionalFormatting>
  <conditionalFormatting sqref="IA5:IA204">
    <cfRule type="expression" dxfId="24" priority="4">
      <formula>IA5="Tinggi"</formula>
    </cfRule>
    <cfRule type="expression" dxfId="23" priority="5">
      <formula>IA5="Sedang"</formula>
    </cfRule>
    <cfRule type="expression" dxfId="22" priority="6">
      <formula>IA5="Rendah"</formula>
    </cfRule>
  </conditionalFormatting>
  <dataValidations count="3">
    <dataValidation type="list" sqref="D5:D204" xr:uid="{00000000-0002-0000-0100-000000000000}">
      <formula1>"L,P"</formula1>
    </dataValidation>
    <dataValidation type="list" sqref="E5:HL204" xr:uid="{00000000-0002-0000-0100-000001000000}">
      <formula1>"0,1"</formula1>
    </dataValidation>
    <dataValidation type="list" sqref="HM5:HX204" xr:uid="{00000000-0002-0000-0100-000002000000}">
      <formula1>"1,2,3,4,5,6,7"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"/>
  <sheetViews>
    <sheetView tabSelected="1" zoomScale="98" workbookViewId="0">
      <selection activeCell="B3" sqref="B3"/>
    </sheetView>
  </sheetViews>
  <sheetFormatPr defaultRowHeight="14"/>
  <cols>
    <col min="1" max="1" width="23" customWidth="1"/>
    <col min="2" max="2" width="24" customWidth="1"/>
    <col min="3" max="3" width="14" customWidth="1"/>
    <col min="4" max="4" width="18" customWidth="1"/>
    <col min="5" max="5" width="14" customWidth="1"/>
    <col min="6" max="13" width="12" customWidth="1"/>
  </cols>
  <sheetData>
    <row r="1" spans="1:13" ht="20" customHeight="1">
      <c r="A1" s="110" t="s">
        <v>355</v>
      </c>
      <c r="B1" s="110"/>
      <c r="C1" s="110"/>
      <c r="D1" s="110"/>
      <c r="E1" s="110"/>
      <c r="F1" s="110"/>
      <c r="G1" s="110"/>
      <c r="H1" s="110"/>
      <c r="I1" s="3"/>
      <c r="J1" s="3"/>
      <c r="K1" s="3"/>
      <c r="L1" s="3"/>
      <c r="M1" s="3"/>
    </row>
    <row r="3" spans="1:13">
      <c r="A3" s="44" t="s">
        <v>356</v>
      </c>
      <c r="B3" s="45" t="s">
        <v>287</v>
      </c>
      <c r="D3" s="46" t="s">
        <v>277</v>
      </c>
      <c r="E3" s="47" t="str">
        <f>IFERROR(INDEX(Hasil!$V$5:$V$204,MATCH($B$3,Hasil!$B$5:$B$204,0)),"Pilih NIS/ID")</f>
        <v>OK</v>
      </c>
    </row>
    <row r="4" spans="1:13">
      <c r="A4" s="107" t="s">
        <v>278</v>
      </c>
      <c r="B4" s="108" t="str">
        <f>IFERROR(INDEX(Hasil!$AU$5:$AU$204,MATCH($B$3,Hasil!$B$5:$B$204,0)),"")</f>
        <v>RC</v>
      </c>
      <c r="D4" s="107" t="s">
        <v>279</v>
      </c>
      <c r="E4" s="108" t="str">
        <f>IFERROR(INDEX(Hasil!$AV$5:$AV$204,MATCH($B$3,Hasil!$B$5:$B$204,0)),"")</f>
        <v>Tinggi</v>
      </c>
    </row>
    <row r="5" spans="1:13">
      <c r="A5" s="48" t="s">
        <v>357</v>
      </c>
      <c r="B5" s="136" t="str">
        <f>IFERROR(INDEX(Hasil!$C$5:$C$204,MATCH($B$3,Hasil!$B$5:$B$204,0)),"")</f>
        <v>Widi Hartanto</v>
      </c>
      <c r="C5" s="136"/>
      <c r="D5" s="137"/>
      <c r="E5" s="138"/>
      <c r="F5" s="136"/>
      <c r="G5" s="136"/>
      <c r="H5" s="139"/>
    </row>
    <row r="6" spans="1:13">
      <c r="A6" s="31" t="s">
        <v>358</v>
      </c>
      <c r="B6" s="140" t="str">
        <f>IFERROR(INDEX(Hasil!$D$5:$D$204,MATCH($B$3,Hasil!$B$5:$B$204,0)),"")</f>
        <v>L</v>
      </c>
      <c r="C6" s="140"/>
      <c r="D6" s="141"/>
      <c r="E6" s="142"/>
      <c r="F6" s="140"/>
      <c r="G6" s="140"/>
      <c r="H6" s="143"/>
    </row>
    <row r="7" spans="1:13" ht="21.4" customHeight="1">
      <c r="A7" s="31" t="s">
        <v>359</v>
      </c>
      <c r="B7" s="49" t="str">
        <f>IFERROR(INDEX(Hasil!$T$5:$T$204,MATCH($B$3,Hasil!$B$5:$B$204,0)),"")</f>
        <v>RCS</v>
      </c>
      <c r="C7" s="1"/>
      <c r="D7" s="1"/>
      <c r="E7" s="1"/>
      <c r="F7" s="1"/>
      <c r="G7" s="1"/>
      <c r="H7" s="28"/>
    </row>
    <row r="8" spans="1:13" ht="48" customHeight="1">
      <c r="A8" s="106" t="s">
        <v>360</v>
      </c>
      <c r="B8" s="120" t="str">
        <f>IFERROR(INDEX(Hasil!$U$5:$U$204,MATCH($B$3,Hasil!$B$5:$B$204,0)),"")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C8" s="121"/>
      <c r="D8" s="121"/>
      <c r="E8" s="121"/>
      <c r="F8" s="121"/>
      <c r="G8" s="121"/>
      <c r="H8" s="122"/>
    </row>
    <row r="9" spans="1:13">
      <c r="B9" s="1"/>
      <c r="C9" s="1"/>
      <c r="D9" s="1"/>
      <c r="E9" s="1"/>
      <c r="F9" s="1"/>
      <c r="G9" s="1"/>
      <c r="H9" s="1"/>
    </row>
    <row r="10" spans="1:13">
      <c r="A10" s="36" t="s">
        <v>361</v>
      </c>
      <c r="B10" s="50" t="s">
        <v>362</v>
      </c>
      <c r="C10" s="50" t="s">
        <v>363</v>
      </c>
      <c r="D10" s="37" t="s">
        <v>364</v>
      </c>
      <c r="E10" s="1"/>
      <c r="F10" s="1"/>
      <c r="G10" s="1"/>
      <c r="H10" s="1"/>
    </row>
    <row r="11" spans="1:13">
      <c r="A11" s="52" t="s">
        <v>271</v>
      </c>
      <c r="B11" s="55">
        <f>IFERROR(INDEX(Hasil!$E$5:$J$204,MATCH($B$3,Hasil!$B$5:$B$204,0),1),"")</f>
        <v>27</v>
      </c>
      <c r="C11" s="55">
        <f>IFERROR(INDEX(Hasil!$K$5:$P$204,MATCH($B$3,Hasil!$B$5:$B$204,0),1),"")</f>
        <v>1</v>
      </c>
      <c r="D11" s="58" t="str">
        <f t="shared" ref="D11:D16" si="0">IF(C11="","",IF(C11=1,"Dominan 1",IF(C11=2,"Dominan 2",IF(C11=3,"Dominan 3",""))))</f>
        <v>Dominan 1</v>
      </c>
      <c r="E11" s="1"/>
      <c r="F11" s="1"/>
      <c r="G11" s="1"/>
      <c r="H11" s="1"/>
    </row>
    <row r="12" spans="1:13">
      <c r="A12" s="53" t="s">
        <v>272</v>
      </c>
      <c r="B12" s="56">
        <f>IFERROR(INDEX(Hasil!$E$5:$J$204,MATCH($B$3,Hasil!$B$5:$B$204,0),2),"")</f>
        <v>4</v>
      </c>
      <c r="C12" s="56">
        <f>IFERROR(INDEX(Hasil!$K$5:$P$204,MATCH($B$3,Hasil!$B$5:$B$204,0),2),"")</f>
        <v>6</v>
      </c>
      <c r="D12" s="59" t="str">
        <f t="shared" si="0"/>
        <v/>
      </c>
      <c r="E12" s="1"/>
      <c r="F12" s="1"/>
      <c r="G12" s="1"/>
      <c r="H12" s="1"/>
    </row>
    <row r="13" spans="1:13">
      <c r="A13" s="53" t="s">
        <v>273</v>
      </c>
      <c r="B13" s="56">
        <f>IFERROR(INDEX(Hasil!$E$5:$J$204,MATCH($B$3,Hasil!$B$5:$B$204,0),3),"")</f>
        <v>8</v>
      </c>
      <c r="C13" s="56">
        <f>IFERROR(INDEX(Hasil!$K$5:$P$204,MATCH($B$3,Hasil!$B$5:$B$204,0),3),"")</f>
        <v>4</v>
      </c>
      <c r="D13" s="59" t="str">
        <f t="shared" si="0"/>
        <v/>
      </c>
      <c r="E13" s="1"/>
      <c r="F13" s="1"/>
      <c r="G13" s="1"/>
      <c r="H13" s="1"/>
    </row>
    <row r="14" spans="1:13">
      <c r="A14" s="53" t="s">
        <v>274</v>
      </c>
      <c r="B14" s="56">
        <f>IFERROR(INDEX(Hasil!$E$5:$J$204,MATCH($B$3,Hasil!$B$5:$B$204,0),4),"")</f>
        <v>10</v>
      </c>
      <c r="C14" s="56">
        <f>IFERROR(INDEX(Hasil!$K$5:$P$204,MATCH($B$3,Hasil!$B$5:$B$204,0),4),"")</f>
        <v>3</v>
      </c>
      <c r="D14" s="59" t="str">
        <f t="shared" si="0"/>
        <v>Dominan 3</v>
      </c>
      <c r="E14" s="1"/>
      <c r="F14" s="1"/>
      <c r="G14" s="1"/>
      <c r="H14" s="1"/>
    </row>
    <row r="15" spans="1:13">
      <c r="A15" s="53" t="s">
        <v>275</v>
      </c>
      <c r="B15" s="56">
        <f>IFERROR(INDEX(Hasil!$E$5:$J$204,MATCH($B$3,Hasil!$B$5:$B$204,0),5),"")</f>
        <v>6</v>
      </c>
      <c r="C15" s="56">
        <f>IFERROR(INDEX(Hasil!$K$5:$P$204,MATCH($B$3,Hasil!$B$5:$B$204,0),5),"")</f>
        <v>5</v>
      </c>
      <c r="D15" s="59" t="str">
        <f t="shared" si="0"/>
        <v/>
      </c>
      <c r="E15" s="1"/>
      <c r="F15" s="1"/>
      <c r="G15" s="1"/>
      <c r="H15" s="1"/>
    </row>
    <row r="16" spans="1:13">
      <c r="A16" s="54" t="s">
        <v>276</v>
      </c>
      <c r="B16" s="57">
        <f>IFERROR(INDEX(Hasil!$E$5:$J$204,MATCH($B$3,Hasil!$B$5:$B$204,0),6),"")</f>
        <v>12</v>
      </c>
      <c r="C16" s="57">
        <f>IFERROR(INDEX(Hasil!$K$5:$P$204,MATCH($B$3,Hasil!$B$5:$B$204,0),6),"")</f>
        <v>2</v>
      </c>
      <c r="D16" s="60" t="str">
        <f t="shared" si="0"/>
        <v>Dominan 2</v>
      </c>
      <c r="E16" s="1"/>
      <c r="F16" s="1"/>
      <c r="G16" s="1"/>
      <c r="H16" s="1"/>
    </row>
    <row r="17" spans="1:8">
      <c r="B17" s="1"/>
      <c r="C17" s="1"/>
      <c r="D17" s="1"/>
      <c r="E17" s="1"/>
      <c r="F17" s="1"/>
      <c r="G17" s="1"/>
      <c r="H17" s="1"/>
    </row>
    <row r="18" spans="1:8">
      <c r="A18" s="123" t="s">
        <v>365</v>
      </c>
      <c r="B18" s="123"/>
      <c r="C18" s="123"/>
      <c r="D18" s="123"/>
      <c r="E18" s="123"/>
      <c r="F18" s="123"/>
      <c r="G18" s="123"/>
      <c r="H18" s="123"/>
    </row>
    <row r="19" spans="1:8">
      <c r="B19" s="1"/>
      <c r="C19" s="1"/>
      <c r="D19" s="1"/>
      <c r="E19" s="1"/>
      <c r="F19" s="1"/>
      <c r="G19" s="1"/>
      <c r="H19" s="1"/>
    </row>
    <row r="20" spans="1:8">
      <c r="A20" s="61" t="s">
        <v>366</v>
      </c>
      <c r="B20" s="144" t="str">
        <f>IF($B$7="","",MID($B$7,1,1))</f>
        <v>R</v>
      </c>
      <c r="C20" s="144"/>
      <c r="D20" s="144"/>
      <c r="E20" s="144"/>
      <c r="F20" s="144"/>
      <c r="G20" s="144"/>
      <c r="H20" s="145"/>
    </row>
    <row r="21" spans="1:8" ht="30.65" customHeight="1">
      <c r="A21" s="62" t="s">
        <v>367</v>
      </c>
      <c r="B21" s="124" t="str">
        <f>IFERROR(VLOOKUP($B$20,'Kunci dari RIASEC'!$E$4:$H$9,3,FALSE),"")</f>
        <v>Menyukai aktivitas praktis dan langsung, bekerja dengan alat, mesin, teknologi, material, hewan, atau lingkungan fisik. Cenderung nyaman dengan pemecahan masalah konkret, aktivitas lapangan, dan hasil kerja yang dapat diamati.</v>
      </c>
      <c r="C21" s="124"/>
      <c r="D21" s="124"/>
      <c r="E21" s="124"/>
      <c r="F21" s="124"/>
      <c r="G21" s="124"/>
      <c r="H21" s="125"/>
    </row>
    <row r="22" spans="1:8" ht="38.65" customHeight="1">
      <c r="A22" s="62" t="s">
        <v>368</v>
      </c>
      <c r="B22" s="124" t="str">
        <f>IFERROR(VLOOKUP($B$20,'Kunci dari RIASEC'!$E$4:$H$9,4,FALSE),"")</f>
        <v>Teknik Mesin, Teknik Elektro, Teknik Sipil, Mekatronika, Teknik Otomotif, Teknik Energi/Energi Terbarukan, Geomatika, Pertanian, Perikanan, Kehutanan, Teknik Industri.</v>
      </c>
      <c r="C22" s="124"/>
      <c r="D22" s="124"/>
      <c r="E22" s="124"/>
      <c r="F22" s="124"/>
      <c r="G22" s="124"/>
      <c r="H22" s="125"/>
    </row>
    <row r="23" spans="1:8">
      <c r="B23" s="1"/>
      <c r="C23" s="1"/>
      <c r="D23" s="1"/>
      <c r="E23" s="1"/>
      <c r="F23" s="1"/>
      <c r="G23" s="1"/>
      <c r="H23" s="1"/>
    </row>
    <row r="24" spans="1:8">
      <c r="A24" s="61" t="s">
        <v>369</v>
      </c>
      <c r="B24" s="144" t="str">
        <f>IF($B$7="","",MID($B$7,2,1))</f>
        <v>C</v>
      </c>
      <c r="C24" s="144"/>
      <c r="D24" s="144"/>
      <c r="E24" s="144"/>
      <c r="F24" s="144"/>
      <c r="G24" s="144"/>
      <c r="H24" s="145"/>
    </row>
    <row r="25" spans="1:8" ht="30.65" customHeight="1">
      <c r="A25" s="62" t="s">
        <v>367</v>
      </c>
      <c r="B25" s="124" t="str">
        <f>IFERROR(VLOOKUP($B$24,'Kunci dari RIASEC'!$E$4:$H$9,3,FALSE),"")</f>
        <v>Menyukai aktivitas yang terstruktur, teratur, teliti, sistematis, dan berbasis prosedur, data, angka, dokumen, serta pengelolaan informasi. Cenderung nyaman dengan aturan yang jelas, ketepatan, pencatatan, dan standar kerja yang konsisten.</v>
      </c>
      <c r="C25" s="124"/>
      <c r="D25" s="124"/>
      <c r="E25" s="124"/>
      <c r="F25" s="124"/>
      <c r="G25" s="124"/>
      <c r="H25" s="125"/>
    </row>
    <row r="26" spans="1:8" ht="38.65" customHeight="1">
      <c r="A26" s="62" t="s">
        <v>368</v>
      </c>
      <c r="B26" s="124" t="str">
        <f>IFERROR(VLOOKUP($B$24,'Kunci dari RIASEC'!$E$4:$H$9,4,FALSE),"")</f>
        <v>Akuntansi, Perpajakan, Keuangan, Administrasi Bisnis, Administrasi Perkantoran, Sistem Informasi, Manajemen Data, Audit, Perbankan, Manajemen Rantai Pasok, Manajemen Operasi, Kearsipan dan Manajemen Dokumen.</v>
      </c>
      <c r="C26" s="124"/>
      <c r="D26" s="124"/>
      <c r="E26" s="124"/>
      <c r="F26" s="124"/>
      <c r="G26" s="124"/>
      <c r="H26" s="125"/>
    </row>
    <row r="27" spans="1:8">
      <c r="B27" s="1"/>
      <c r="C27" s="1"/>
      <c r="D27" s="1"/>
      <c r="E27" s="1"/>
      <c r="F27" s="1"/>
      <c r="G27" s="1"/>
      <c r="H27" s="1"/>
    </row>
    <row r="28" spans="1:8">
      <c r="A28" s="61" t="s">
        <v>370</v>
      </c>
      <c r="B28" s="144" t="str">
        <f>IF($B$7="","",MID($B$7,3,1))</f>
        <v>S</v>
      </c>
      <c r="C28" s="144"/>
      <c r="D28" s="144"/>
      <c r="E28" s="144"/>
      <c r="F28" s="144"/>
      <c r="G28" s="144"/>
      <c r="H28" s="145"/>
    </row>
    <row r="29" spans="1:8" ht="30.65" customHeight="1">
      <c r="A29" s="62" t="s">
        <v>367</v>
      </c>
      <c r="B29" s="124" t="str">
        <f>IFERROR(VLOOKUP($B$28,'Kunci dari RIASEC'!$E$4:$H$9,3,FALSE),"")</f>
        <v>Menyukai aktivitas membantu, mengajar, membimbing, merawat, mendampingi, berkomunikasi, dan bekerja bersama orang lain. Cenderung memperoleh kepuasan dari perkembangan, pembelajaran, kesehatan, dan kesejahteraan individu atau komunitas.</v>
      </c>
      <c r="C29" s="124"/>
      <c r="D29" s="124"/>
      <c r="E29" s="124"/>
      <c r="F29" s="124"/>
      <c r="G29" s="124"/>
      <c r="H29" s="125"/>
    </row>
    <row r="30" spans="1:8" ht="38.65" customHeight="1">
      <c r="A30" s="62" t="s">
        <v>368</v>
      </c>
      <c r="B30" s="124" t="str">
        <f>IFERROR(VLOOKUP($B$28,'Kunci dari RIASEC'!$E$4:$H$9,4,FALSE),"")</f>
        <v>Pendidikan, Bimbingan dan Konseling, Psikologi, Keperawatan, Kesehatan Masyarakat, Pekerjaan Sosial, Pendidikan Khusus, Terapi/Rehabilitasi, Pengembangan Masyarakat, Pengembangan SDM, Sosiologi.</v>
      </c>
      <c r="C30" s="124"/>
      <c r="D30" s="124"/>
      <c r="E30" s="124"/>
      <c r="F30" s="124"/>
      <c r="G30" s="124"/>
      <c r="H30" s="125"/>
    </row>
    <row r="31" spans="1:8">
      <c r="B31" s="1"/>
      <c r="C31" s="1"/>
      <c r="D31" s="1"/>
      <c r="E31" s="1"/>
      <c r="F31" s="1"/>
      <c r="G31" s="1"/>
      <c r="H31" s="1"/>
    </row>
    <row r="32" spans="1:8">
      <c r="B32" s="1"/>
      <c r="C32" s="1"/>
      <c r="D32" s="1"/>
      <c r="E32" s="1"/>
      <c r="F32" s="1"/>
      <c r="G32" s="1"/>
      <c r="H32" s="1"/>
    </row>
    <row r="33" spans="1:8">
      <c r="A33" s="126" t="s">
        <v>371</v>
      </c>
      <c r="B33" s="126"/>
      <c r="C33" s="126"/>
      <c r="D33" s="126"/>
      <c r="E33" s="126"/>
      <c r="F33" s="126"/>
      <c r="G33" s="126"/>
    </row>
    <row r="34" spans="1:8">
      <c r="A34" s="63" t="s">
        <v>372</v>
      </c>
      <c r="B34" s="64" t="s">
        <v>271</v>
      </c>
      <c r="C34" s="64" t="s">
        <v>272</v>
      </c>
      <c r="D34" s="64" t="s">
        <v>273</v>
      </c>
      <c r="E34" s="64" t="s">
        <v>274</v>
      </c>
      <c r="F34" s="64" t="s">
        <v>275</v>
      </c>
      <c r="G34" s="65" t="s">
        <v>276</v>
      </c>
    </row>
    <row r="35" spans="1:8">
      <c r="A35" s="67" t="s">
        <v>373</v>
      </c>
      <c r="B35" s="69">
        <f>IFERROR(INDEX(Hasil!$W$5:$W$204,MATCH($B$3,Hasil!$B$5:$B$204,0)),"")</f>
        <v>7</v>
      </c>
      <c r="C35" s="69">
        <f>IFERROR(INDEX(Hasil!$X$5:$X$204,MATCH($B$3,Hasil!$B$5:$B$204,0)),"")</f>
        <v>0</v>
      </c>
      <c r="D35" s="69">
        <f>IFERROR(INDEX(Hasil!$Y$5:$Y$204,MATCH($B$3,Hasil!$B$5:$B$204,0)),"")</f>
        <v>0</v>
      </c>
      <c r="E35" s="69">
        <f>IFERROR(INDEX(Hasil!$Z$5:$Z$204,MATCH($B$3,Hasil!$B$5:$B$204,0)),"")</f>
        <v>0</v>
      </c>
      <c r="F35" s="69">
        <f>IFERROR(INDEX(Hasil!$AA$5:$AA$204,MATCH($B$3,Hasil!$B$5:$B$204,0)),"")</f>
        <v>0</v>
      </c>
      <c r="G35" s="70">
        <f>IFERROR(INDEX(Hasil!$AB$5:$AB$204,MATCH($B$3,Hasil!$B$5:$B$204,0)),"")</f>
        <v>0</v>
      </c>
    </row>
    <row r="36" spans="1:8">
      <c r="A36" s="67" t="s">
        <v>374</v>
      </c>
      <c r="B36" s="69">
        <f>IFERROR(INDEX(Hasil!$AC$5:$AC$204,MATCH($B$3,Hasil!$B$5:$B$204,0)),"")</f>
        <v>7</v>
      </c>
      <c r="C36" s="69">
        <f>IFERROR(INDEX(Hasil!$AD$5:$AD$204,MATCH($B$3,Hasil!$B$5:$B$204,0)),"")</f>
        <v>0</v>
      </c>
      <c r="D36" s="69">
        <f>IFERROR(INDEX(Hasil!$AE$5:$AE$204,MATCH($B$3,Hasil!$B$5:$B$204,0)),"")</f>
        <v>0</v>
      </c>
      <c r="E36" s="69">
        <f>IFERROR(INDEX(Hasil!$AF$5:$AF$204,MATCH($B$3,Hasil!$B$5:$B$204,0)),"")</f>
        <v>0</v>
      </c>
      <c r="F36" s="69">
        <f>IFERROR(INDEX(Hasil!$AG$5:$AG$204,MATCH($B$3,Hasil!$B$5:$B$204,0)),"")</f>
        <v>0</v>
      </c>
      <c r="G36" s="70">
        <f>IFERROR(INDEX(Hasil!$AH$5:$AH$204,MATCH($B$3,Hasil!$B$5:$B$204,0)),"")</f>
        <v>0</v>
      </c>
    </row>
    <row r="37" spans="1:8">
      <c r="A37" s="67" t="s">
        <v>375</v>
      </c>
      <c r="B37" s="69">
        <f>IFERROR(INDEX(Hasil!$AI$5:$AI$204,MATCH($B$3,Hasil!$B$5:$B$204,0)),"")</f>
        <v>7</v>
      </c>
      <c r="C37" s="69">
        <f>IFERROR(INDEX(Hasil!$AJ$5:$AJ$204,MATCH($B$3,Hasil!$B$5:$B$204,0)),"")</f>
        <v>0</v>
      </c>
      <c r="D37" s="69">
        <f>IFERROR(INDEX(Hasil!$AK$5:$AK$204,MATCH($B$3,Hasil!$B$5:$B$204,0)),"")</f>
        <v>0</v>
      </c>
      <c r="E37" s="69">
        <f>IFERROR(INDEX(Hasil!$AL$5:$AL$204,MATCH($B$3,Hasil!$B$5:$B$204,0)),"")</f>
        <v>0</v>
      </c>
      <c r="F37" s="69">
        <f>IFERROR(INDEX(Hasil!$AM$5:$AM$204,MATCH($B$3,Hasil!$B$5:$B$204,0)),"")</f>
        <v>0</v>
      </c>
      <c r="G37" s="70">
        <f>IFERROR(INDEX(Hasil!$AN$5:$AN$204,MATCH($B$3,Hasil!$B$5:$B$204,0)),"")</f>
        <v>0</v>
      </c>
    </row>
    <row r="38" spans="1:8">
      <c r="A38" s="67" t="s">
        <v>376</v>
      </c>
      <c r="B38" s="69">
        <f>IFERROR(INDEX(Hasil!$AO$5:$AO$204,MATCH($B$3,Hasil!$B$5:$B$204,0)),"")</f>
        <v>6</v>
      </c>
      <c r="C38" s="69">
        <f>IFERROR(INDEX(Hasil!$AP$5:$AP$204,MATCH($B$3,Hasil!$B$5:$B$204,0)),"")</f>
        <v>4</v>
      </c>
      <c r="D38" s="69">
        <f>IFERROR(INDEX(Hasil!$AQ$5:$AQ$204,MATCH($B$3,Hasil!$B$5:$B$204,0)),"")</f>
        <v>8</v>
      </c>
      <c r="E38" s="69">
        <f>IFERROR(INDEX(Hasil!$AR$5:$AR$204,MATCH($B$3,Hasil!$B$5:$B$204,0)),"")</f>
        <v>10</v>
      </c>
      <c r="F38" s="69">
        <f>IFERROR(INDEX(Hasil!$AS$5:$AS$204,MATCH($B$3,Hasil!$B$5:$B$204,0)),"")</f>
        <v>6</v>
      </c>
      <c r="G38" s="70">
        <f>IFERROR(INDEX(Hasil!$AT$5:$AT$204,MATCH($B$3,Hasil!$B$5:$B$204,0)),"")</f>
        <v>12</v>
      </c>
    </row>
    <row r="39" spans="1:8">
      <c r="A39" s="72" t="s">
        <v>377</v>
      </c>
      <c r="B39" s="73">
        <f>IFERROR(INDEX(Hasil!$E$5:$E$204,MATCH($B$3,Hasil!$B$5:$B$204,0)),"")</f>
        <v>27</v>
      </c>
      <c r="C39" s="73">
        <f>IFERROR(INDEX(Hasil!$F$5:$F$204,MATCH($B$3,Hasil!$B$5:$B$204,0)),"")</f>
        <v>4</v>
      </c>
      <c r="D39" s="73">
        <f>IFERROR(INDEX(Hasil!$G$5:$G$204,MATCH($B$3,Hasil!$B$5:$B$204,0)),"")</f>
        <v>8</v>
      </c>
      <c r="E39" s="73">
        <f>IFERROR(INDEX(Hasil!$H$5:$H$204,MATCH($B$3,Hasil!$B$5:$B$204,0)),"")</f>
        <v>10</v>
      </c>
      <c r="F39" s="73">
        <f>IFERROR(INDEX(Hasil!$I$5:$I$204,MATCH($B$3,Hasil!$B$5:$B$204,0)),"")</f>
        <v>6</v>
      </c>
      <c r="G39" s="74">
        <f>IFERROR(INDEX(Hasil!$J$5:$J$204,MATCH($B$3,Hasil!$B$5:$B$204,0)),"")</f>
        <v>12</v>
      </c>
    </row>
    <row r="41" spans="1:8" ht="17.399999999999999" customHeight="1">
      <c r="A41" s="127" t="s">
        <v>378</v>
      </c>
      <c r="B41" s="128"/>
      <c r="C41" s="128"/>
      <c r="D41" s="128"/>
      <c r="E41" s="128"/>
      <c r="F41" s="128"/>
      <c r="G41" s="128"/>
      <c r="H41" s="129"/>
    </row>
    <row r="42" spans="1:8" ht="17.399999999999999" customHeight="1">
      <c r="A42" s="130"/>
      <c r="B42" s="131"/>
      <c r="C42" s="131"/>
      <c r="D42" s="131"/>
      <c r="E42" s="131"/>
      <c r="F42" s="131"/>
      <c r="G42" s="131"/>
      <c r="H42" s="132"/>
    </row>
    <row r="43" spans="1:8" ht="17.399999999999999" customHeight="1">
      <c r="A43" s="133"/>
      <c r="B43" s="134"/>
      <c r="C43" s="134"/>
      <c r="D43" s="134"/>
      <c r="E43" s="134"/>
      <c r="F43" s="134"/>
      <c r="G43" s="134"/>
      <c r="H43" s="135"/>
    </row>
  </sheetData>
  <mergeCells count="16">
    <mergeCell ref="A41:H43"/>
    <mergeCell ref="B5:H5"/>
    <mergeCell ref="B6:H6"/>
    <mergeCell ref="B20:H20"/>
    <mergeCell ref="B24:H24"/>
    <mergeCell ref="B28:H28"/>
    <mergeCell ref="B25:H25"/>
    <mergeCell ref="B26:H26"/>
    <mergeCell ref="B29:H29"/>
    <mergeCell ref="B30:H30"/>
    <mergeCell ref="A33:G33"/>
    <mergeCell ref="A1:H1"/>
    <mergeCell ref="B8:H8"/>
    <mergeCell ref="A18:H18"/>
    <mergeCell ref="B21:H21"/>
    <mergeCell ref="B22:H22"/>
  </mergeCells>
  <conditionalFormatting sqref="B11:B16">
    <cfRule type="dataBar" priority="3">
      <dataBar>
        <cfvo type="min"/>
        <cfvo type="max"/>
        <color rgb="FFA02B93"/>
      </dataBar>
    </cfRule>
    <cfRule type="dataBar" priority="10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{BC288E8E-053E-6C8E-76BE-D2793CA0950D}</x14:id>
        </ext>
      </extLst>
    </cfRule>
  </conditionalFormatting>
  <conditionalFormatting sqref="E3">
    <cfRule type="expression" dxfId="21" priority="1">
      <formula>E3="OK"</formula>
    </cfRule>
    <cfRule type="expression" dxfId="20" priority="2">
      <formula>AND(E3&lt;&gt;"",E3&lt;&gt;"OK")</formula>
    </cfRule>
  </conditionalFormatting>
  <conditionalFormatting sqref="E4">
    <cfRule type="expression" dxfId="19" priority="7">
      <formula>E4="Tinggi"</formula>
    </cfRule>
    <cfRule type="expression" dxfId="18" priority="8">
      <formula>E4="Sedang"</formula>
    </cfRule>
    <cfRule type="expression" dxfId="17" priority="9">
      <formula>E4="Rendah"</formula>
    </cfRule>
  </conditionalFormatting>
  <conditionalFormatting sqref="E6">
    <cfRule type="expression" dxfId="16" priority="4">
      <formula>E6="Tinggi"</formula>
    </cfRule>
    <cfRule type="expression" dxfId="15" priority="5">
      <formula>E6="Sedang"</formula>
    </cfRule>
    <cfRule type="expression" dxfId="14" priority="6">
      <formula>E6="Rendah"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88E8E-053E-6C8E-76BE-D2793CA0950D}">
            <x14:dataBar>
              <x14:cfvo type="min"/>
              <x14:cfvo type="max"/>
              <x14:negativeFillColor auto="1"/>
              <x14:axisColor auto="1"/>
            </x14:dataBar>
          </x14:cfRule>
          <xm:sqref>B11:B16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'entri hasil dari isian siswa'!$B$5:$B$204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4"/>
  <sheetViews>
    <sheetView workbookViewId="0">
      <selection sqref="A1:K1"/>
    </sheetView>
  </sheetViews>
  <sheetFormatPr defaultRowHeight="14"/>
  <cols>
    <col min="1" max="1" width="7" customWidth="1"/>
    <col min="2" max="2" width="14" customWidth="1"/>
    <col min="3" max="3" width="25" customWidth="1"/>
    <col min="4" max="4" width="7" customWidth="1"/>
    <col min="5" max="7" width="9" customWidth="1"/>
    <col min="8" max="8" width="15" customWidth="1"/>
    <col min="9" max="9" width="8" customWidth="1"/>
    <col min="10" max="10" width="16" customWidth="1"/>
    <col min="11" max="11" width="8" customWidth="1"/>
    <col min="12" max="12" width="15" customWidth="1"/>
    <col min="13" max="13" width="9.83203125" customWidth="1"/>
    <col min="14" max="14" width="17" customWidth="1"/>
  </cols>
  <sheetData>
    <row r="1" spans="1:14" ht="20" customHeight="1">
      <c r="A1" s="110" t="s">
        <v>379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3"/>
    </row>
    <row r="3" spans="1:14" ht="28">
      <c r="A3" s="61" t="s">
        <v>3</v>
      </c>
      <c r="B3" s="75" t="s">
        <v>4</v>
      </c>
      <c r="C3" s="75" t="s">
        <v>5</v>
      </c>
      <c r="D3" s="75" t="s">
        <v>6</v>
      </c>
      <c r="E3" s="75" t="s">
        <v>380</v>
      </c>
      <c r="F3" s="76" t="s">
        <v>8</v>
      </c>
      <c r="H3" s="77" t="s">
        <v>381</v>
      </c>
      <c r="I3" s="73">
        <f>COUNTIF('entri hasil dari isian siswa'!$HY$5:$HY$204,"OK")</f>
        <v>7</v>
      </c>
      <c r="J3" s="73" t="s">
        <v>382</v>
      </c>
      <c r="K3" s="74">
        <f>COUNTIF('entri hasil dari isian siswa'!$B$5:$B$204,"&lt;&gt;")-COUNTIF('entri hasil dari isian siswa'!$HY$5:$HY$204,"OK")</f>
        <v>30</v>
      </c>
    </row>
    <row r="4" spans="1:14">
      <c r="H4" s="105" t="s">
        <v>383</v>
      </c>
      <c r="I4" s="105">
        <f>COUNTIF($N$15:$N$204,"Tinggi")</f>
        <v>7</v>
      </c>
      <c r="J4" s="105" t="s">
        <v>384</v>
      </c>
      <c r="K4" s="105">
        <f>COUNTIF($N$15:$N$204,"Sedang")</f>
        <v>0</v>
      </c>
      <c r="L4" s="105" t="s">
        <v>385</v>
      </c>
      <c r="M4" s="105">
        <f>COUNTIF($N$15:$N$204,"Rendah")</f>
        <v>0</v>
      </c>
    </row>
    <row r="5" spans="1:14" ht="26">
      <c r="A5" s="36" t="s">
        <v>361</v>
      </c>
      <c r="B5" s="50" t="s">
        <v>386</v>
      </c>
      <c r="C5" s="37" t="s">
        <v>387</v>
      </c>
    </row>
    <row r="6" spans="1:14">
      <c r="A6" s="67" t="s">
        <v>271</v>
      </c>
      <c r="B6" s="69">
        <f>COUNTIFS(Hasil!$Q$5:$Q$204,A6,Hasil!$V$5:$V$204,"OK")</f>
        <v>7</v>
      </c>
      <c r="C6" s="78">
        <f>IFERROR(SUMIFS(Hasil!$E$5:$E$204,Hasil!$V$5:$V$204,"OK")/COUNTIF(Hasil!$V$5:$V$204,"OK"),0)</f>
        <v>27</v>
      </c>
    </row>
    <row r="7" spans="1:14">
      <c r="A7" s="67" t="s">
        <v>272</v>
      </c>
      <c r="B7" s="69">
        <f>COUNTIFS(Hasil!$Q$5:$Q$204,A7,Hasil!$V$5:$V$204,"OK")</f>
        <v>0</v>
      </c>
      <c r="C7" s="78">
        <f>IFERROR(SUMIFS(Hasil!$F$5:$F$204,Hasil!$V$5:$V$204,"OK")/COUNTIF(Hasil!$V$5:$V$204,"OK"),0)</f>
        <v>4</v>
      </c>
    </row>
    <row r="8" spans="1:14">
      <c r="A8" s="67" t="s">
        <v>273</v>
      </c>
      <c r="B8" s="69">
        <f>COUNTIFS(Hasil!$Q$5:$Q$204,A8,Hasil!$V$5:$V$204,"OK")</f>
        <v>0</v>
      </c>
      <c r="C8" s="78">
        <f>IFERROR(SUMIFS(Hasil!$G$5:$G$204,Hasil!$V$5:$V$204,"OK")/COUNTIF(Hasil!$V$5:$V$204,"OK"),0)</f>
        <v>8</v>
      </c>
    </row>
    <row r="9" spans="1:14">
      <c r="A9" s="67" t="s">
        <v>274</v>
      </c>
      <c r="B9" s="69">
        <f>COUNTIFS(Hasil!$Q$5:$Q$204,A9,Hasil!$V$5:$V$204,"OK")</f>
        <v>0</v>
      </c>
      <c r="C9" s="78">
        <f>IFERROR(SUMIFS(Hasil!$H$5:$H$204,Hasil!$V$5:$V$204,"OK")/COUNTIF(Hasil!$V$5:$V$204,"OK"),0)</f>
        <v>10</v>
      </c>
    </row>
    <row r="10" spans="1:14">
      <c r="A10" s="67" t="s">
        <v>275</v>
      </c>
      <c r="B10" s="69">
        <f>COUNTIFS(Hasil!$Q$5:$Q$204,A10,Hasil!$V$5:$V$204,"OK")</f>
        <v>0</v>
      </c>
      <c r="C10" s="78">
        <f>IFERROR(SUMIFS(Hasil!$I$5:$I$204,Hasil!$V$5:$V$204,"OK")/COUNTIF(Hasil!$V$5:$V$204,"OK"),0)</f>
        <v>6</v>
      </c>
    </row>
    <row r="11" spans="1:14">
      <c r="A11" s="68" t="s">
        <v>276</v>
      </c>
      <c r="B11" s="71">
        <f>COUNTIFS(Hasil!$Q$5:$Q$204,A11,Hasil!$V$5:$V$204,"OK")</f>
        <v>0</v>
      </c>
      <c r="C11" s="79">
        <f>IFERROR(SUMIFS(Hasil!$J$5:$J$204,Hasil!$V$5:$V$204,"OK")/COUNTIF(Hasil!$V$5:$V$204,"OK"),0)</f>
        <v>12</v>
      </c>
    </row>
    <row r="14" spans="1:14" ht="56">
      <c r="A14" s="36" t="s">
        <v>51</v>
      </c>
      <c r="B14" s="50" t="s">
        <v>52</v>
      </c>
      <c r="C14" s="50" t="s">
        <v>53</v>
      </c>
      <c r="D14" s="50" t="s">
        <v>54</v>
      </c>
      <c r="E14" s="50" t="s">
        <v>271</v>
      </c>
      <c r="F14" s="50" t="s">
        <v>272</v>
      </c>
      <c r="G14" s="50" t="s">
        <v>273</v>
      </c>
      <c r="H14" s="50" t="s">
        <v>274</v>
      </c>
      <c r="I14" s="50" t="s">
        <v>275</v>
      </c>
      <c r="J14" s="50" t="s">
        <v>276</v>
      </c>
      <c r="K14" s="50" t="s">
        <v>359</v>
      </c>
      <c r="L14" s="80" t="s">
        <v>277</v>
      </c>
      <c r="M14" s="86" t="s">
        <v>278</v>
      </c>
      <c r="N14" s="86" t="s">
        <v>388</v>
      </c>
    </row>
    <row r="15" spans="1:14">
      <c r="A15" s="38">
        <f>IF(Hasil!$B5="","",Hasil!A5)</f>
        <v>1</v>
      </c>
      <c r="B15" t="str">
        <f>IF(Hasil!$B5="","",Hasil!B5)</f>
        <v>22001</v>
      </c>
      <c r="C15" t="str">
        <f>IF(Hasil!$B5="","",Hasil!C5)</f>
        <v>Selly Aljannah</v>
      </c>
      <c r="D15" t="str">
        <f>IF(Hasil!$B5="","",Hasil!D5)</f>
        <v>L</v>
      </c>
      <c r="E15" s="69">
        <f>IF(Hasil!$B5="","",Hasil!E5)</f>
        <v>27</v>
      </c>
      <c r="F15" s="69">
        <f>IF(Hasil!$B5="","",Hasil!F5)</f>
        <v>4</v>
      </c>
      <c r="G15" s="69">
        <f>IF(Hasil!$B5="","",Hasil!G5)</f>
        <v>8</v>
      </c>
      <c r="H15" s="69">
        <f>IF(Hasil!$B5="","",Hasil!H5)</f>
        <v>10</v>
      </c>
      <c r="I15" s="69">
        <f>IF(Hasil!$B5="","",Hasil!I5)</f>
        <v>6</v>
      </c>
      <c r="J15" s="69">
        <f>IF(Hasil!$B5="","",Hasil!J5)</f>
        <v>12</v>
      </c>
      <c r="K15" s="81" t="str">
        <f>IF(Hasil!$B5="","",Hasil!T5)</f>
        <v>RCS</v>
      </c>
      <c r="L15" s="39" t="str">
        <f>IF(Hasil!$B5="","",Hasil!$V5)</f>
        <v>OK</v>
      </c>
      <c r="M15" s="69" t="str">
        <f>IF(Hasil!$B5="","",Hasil!$AU5)</f>
        <v>RC</v>
      </c>
      <c r="N15" s="69" t="str">
        <f>IF(Hasil!$B5="","",Hasil!$AV5)</f>
        <v>Tinggi</v>
      </c>
    </row>
    <row r="16" spans="1:14">
      <c r="A16" s="38">
        <f>IF(Hasil!$B6="","",Hasil!A6)</f>
        <v>2</v>
      </c>
      <c r="B16" t="str">
        <f>IF(Hasil!$B6="","",Hasil!B6)</f>
        <v>22002</v>
      </c>
      <c r="C16" t="str">
        <f>IF(Hasil!$B6="","",Hasil!C6)</f>
        <v>Siti Solekha</v>
      </c>
      <c r="D16" t="str">
        <f>IF(Hasil!$B6="","",Hasil!D6)</f>
        <v>L</v>
      </c>
      <c r="E16" s="69">
        <f>IF(Hasil!$B6="","",Hasil!E6)</f>
        <v>27</v>
      </c>
      <c r="F16" s="69">
        <f>IF(Hasil!$B6="","",Hasil!F6)</f>
        <v>4</v>
      </c>
      <c r="G16" s="69">
        <f>IF(Hasil!$B6="","",Hasil!G6)</f>
        <v>8</v>
      </c>
      <c r="H16" s="69">
        <f>IF(Hasil!$B6="","",Hasil!H6)</f>
        <v>10</v>
      </c>
      <c r="I16" s="69">
        <f>IF(Hasil!$B6="","",Hasil!I6)</f>
        <v>6</v>
      </c>
      <c r="J16" s="69">
        <f>IF(Hasil!$B6="","",Hasil!J6)</f>
        <v>12</v>
      </c>
      <c r="K16" s="81" t="str">
        <f>IF(Hasil!$B6="","",Hasil!T6)</f>
        <v>RCS</v>
      </c>
      <c r="L16" s="39" t="str">
        <f>IF(Hasil!$B6="","",Hasil!$V6)</f>
        <v>OK</v>
      </c>
      <c r="M16" s="69" t="str">
        <f>IF(Hasil!$B6="","",Hasil!$AU6)</f>
        <v>RC</v>
      </c>
      <c r="N16" s="69" t="str">
        <f>IF(Hasil!$B6="","",Hasil!$AV6)</f>
        <v>Tinggi</v>
      </c>
    </row>
    <row r="17" spans="1:14">
      <c r="A17" s="38">
        <f>IF(Hasil!$B7="","",Hasil!A7)</f>
        <v>3</v>
      </c>
      <c r="B17" t="str">
        <f>IF(Hasil!$B7="","",Hasil!B7)</f>
        <v>22003</v>
      </c>
      <c r="C17" t="str">
        <f>IF(Hasil!$B7="","",Hasil!C7)</f>
        <v>Sri Panca Lestari</v>
      </c>
      <c r="D17" t="str">
        <f>IF(Hasil!$B7="","",Hasil!D7)</f>
        <v>L</v>
      </c>
      <c r="E17" s="69">
        <f>IF(Hasil!$B7="","",Hasil!E7)</f>
        <v>27</v>
      </c>
      <c r="F17" s="69">
        <f>IF(Hasil!$B7="","",Hasil!F7)</f>
        <v>4</v>
      </c>
      <c r="G17" s="69">
        <f>IF(Hasil!$B7="","",Hasil!G7)</f>
        <v>8</v>
      </c>
      <c r="H17" s="69">
        <f>IF(Hasil!$B7="","",Hasil!H7)</f>
        <v>10</v>
      </c>
      <c r="I17" s="69">
        <f>IF(Hasil!$B7="","",Hasil!I7)</f>
        <v>6</v>
      </c>
      <c r="J17" s="69">
        <f>IF(Hasil!$B7="","",Hasil!J7)</f>
        <v>12</v>
      </c>
      <c r="K17" s="81" t="str">
        <f>IF(Hasil!$B7="","",Hasil!T7)</f>
        <v>RCS</v>
      </c>
      <c r="L17" s="39" t="str">
        <f>IF(Hasil!$B7="","",Hasil!$V7)</f>
        <v>OK</v>
      </c>
      <c r="M17" s="69" t="str">
        <f>IF(Hasil!$B7="","",Hasil!$AU7)</f>
        <v>RC</v>
      </c>
      <c r="N17" s="69" t="str">
        <f>IF(Hasil!$B7="","",Hasil!$AV7)</f>
        <v>Tinggi</v>
      </c>
    </row>
    <row r="18" spans="1:14">
      <c r="A18" s="38">
        <f>IF(Hasil!$B8="","",Hasil!A8)</f>
        <v>4</v>
      </c>
      <c r="B18" t="str">
        <f>IF(Hasil!$B8="","",Hasil!B8)</f>
        <v>22004</v>
      </c>
      <c r="C18" t="str">
        <f>IF(Hasil!$B8="","",Hasil!C8)</f>
        <v>Widi Hartanto</v>
      </c>
      <c r="D18" t="str">
        <f>IF(Hasil!$B8="","",Hasil!D8)</f>
        <v>L</v>
      </c>
      <c r="E18" s="69">
        <f>IF(Hasil!$B8="","",Hasil!E8)</f>
        <v>27</v>
      </c>
      <c r="F18" s="69">
        <f>IF(Hasil!$B8="","",Hasil!F8)</f>
        <v>4</v>
      </c>
      <c r="G18" s="69">
        <f>IF(Hasil!$B8="","",Hasil!G8)</f>
        <v>8</v>
      </c>
      <c r="H18" s="69">
        <f>IF(Hasil!$B8="","",Hasil!H8)</f>
        <v>10</v>
      </c>
      <c r="I18" s="69">
        <f>IF(Hasil!$B8="","",Hasil!I8)</f>
        <v>6</v>
      </c>
      <c r="J18" s="69">
        <f>IF(Hasil!$B8="","",Hasil!J8)</f>
        <v>12</v>
      </c>
      <c r="K18" s="81" t="str">
        <f>IF(Hasil!$B8="","",Hasil!T8)</f>
        <v>RCS</v>
      </c>
      <c r="L18" s="39" t="str">
        <f>IF(Hasil!$B8="","",Hasil!$V8)</f>
        <v>OK</v>
      </c>
      <c r="M18" s="69" t="str">
        <f>IF(Hasil!$B8="","",Hasil!$AU8)</f>
        <v>RC</v>
      </c>
      <c r="N18" s="69" t="str">
        <f>IF(Hasil!$B8="","",Hasil!$AV8)</f>
        <v>Tinggi</v>
      </c>
    </row>
    <row r="19" spans="1:14">
      <c r="A19" s="38">
        <f>IF(Hasil!$B9="","",Hasil!A9)</f>
        <v>5</v>
      </c>
      <c r="B19" t="str">
        <f>IF(Hasil!$B9="","",Hasil!B9)</f>
        <v>22005</v>
      </c>
      <c r="C19" t="str">
        <f>IF(Hasil!$B9="","",Hasil!C9)</f>
        <v>Puji Lestari</v>
      </c>
      <c r="D19" t="str">
        <f>IF(Hasil!$B9="","",Hasil!D9)</f>
        <v>L</v>
      </c>
      <c r="E19" s="69">
        <f>IF(Hasil!$B9="","",Hasil!E9)</f>
        <v>27</v>
      </c>
      <c r="F19" s="69">
        <f>IF(Hasil!$B9="","",Hasil!F9)</f>
        <v>4</v>
      </c>
      <c r="G19" s="69">
        <f>IF(Hasil!$B9="","",Hasil!G9)</f>
        <v>8</v>
      </c>
      <c r="H19" s="69">
        <f>IF(Hasil!$B9="","",Hasil!H9)</f>
        <v>10</v>
      </c>
      <c r="I19" s="69">
        <f>IF(Hasil!$B9="","",Hasil!I9)</f>
        <v>6</v>
      </c>
      <c r="J19" s="69">
        <f>IF(Hasil!$B9="","",Hasil!J9)</f>
        <v>12</v>
      </c>
      <c r="K19" s="81" t="str">
        <f>IF(Hasil!$B9="","",Hasil!T9)</f>
        <v>RCS</v>
      </c>
      <c r="L19" s="39" t="str">
        <f>IF(Hasil!$B9="","",Hasil!$V9)</f>
        <v>OK</v>
      </c>
      <c r="M19" s="69" t="str">
        <f>IF(Hasil!$B9="","",Hasil!$AU9)</f>
        <v>RC</v>
      </c>
      <c r="N19" s="69" t="str">
        <f>IF(Hasil!$B9="","",Hasil!$AV9)</f>
        <v>Tinggi</v>
      </c>
    </row>
    <row r="20" spans="1:14">
      <c r="A20" s="38">
        <f>IF(Hasil!$B10="","",Hasil!A10)</f>
        <v>6</v>
      </c>
      <c r="B20" t="str">
        <f>IF(Hasil!$B10="","",Hasil!B10)</f>
        <v>22006</v>
      </c>
      <c r="C20" t="str">
        <f>IF(Hasil!$B10="","",Hasil!C10)</f>
        <v>Silvia Noviana N</v>
      </c>
      <c r="D20" t="str">
        <f>IF(Hasil!$B10="","",Hasil!D10)</f>
        <v>L</v>
      </c>
      <c r="E20" s="69">
        <f>IF(Hasil!$B10="","",Hasil!E10)</f>
        <v>27</v>
      </c>
      <c r="F20" s="69">
        <f>IF(Hasil!$B10="","",Hasil!F10)</f>
        <v>4</v>
      </c>
      <c r="G20" s="69">
        <f>IF(Hasil!$B10="","",Hasil!G10)</f>
        <v>8</v>
      </c>
      <c r="H20" s="69">
        <f>IF(Hasil!$B10="","",Hasil!H10)</f>
        <v>10</v>
      </c>
      <c r="I20" s="69">
        <f>IF(Hasil!$B10="","",Hasil!I10)</f>
        <v>6</v>
      </c>
      <c r="J20" s="69">
        <f>IF(Hasil!$B10="","",Hasil!J10)</f>
        <v>12</v>
      </c>
      <c r="K20" s="81" t="str">
        <f>IF(Hasil!$B10="","",Hasil!T10)</f>
        <v>RCS</v>
      </c>
      <c r="L20" s="39" t="str">
        <f>IF(Hasil!$B10="","",Hasil!$V10)</f>
        <v>OK</v>
      </c>
      <c r="M20" s="69" t="str">
        <f>IF(Hasil!$B10="","",Hasil!$AU10)</f>
        <v>RC</v>
      </c>
      <c r="N20" s="69" t="str">
        <f>IF(Hasil!$B10="","",Hasil!$AV10)</f>
        <v>Tinggi</v>
      </c>
    </row>
    <row r="21" spans="1:14">
      <c r="A21" s="38">
        <f>IF(Hasil!$B11="","",Hasil!A11)</f>
        <v>7</v>
      </c>
      <c r="B21" t="str">
        <f>IF(Hasil!$B11="","",Hasil!B11)</f>
        <v>22007</v>
      </c>
      <c r="C21" t="str">
        <f>IF(Hasil!$B11="","",Hasil!C11)</f>
        <v>Sinta Intani Fitriana</v>
      </c>
      <c r="D21" t="str">
        <f>IF(Hasil!$B11="","",Hasil!D11)</f>
        <v>L</v>
      </c>
      <c r="E21" s="69">
        <f>IF(Hasil!$B11="","",Hasil!E11)</f>
        <v>27</v>
      </c>
      <c r="F21" s="69">
        <f>IF(Hasil!$B11="","",Hasil!F11)</f>
        <v>4</v>
      </c>
      <c r="G21" s="69">
        <f>IF(Hasil!$B11="","",Hasil!G11)</f>
        <v>8</v>
      </c>
      <c r="H21" s="69">
        <f>IF(Hasil!$B11="","",Hasil!H11)</f>
        <v>10</v>
      </c>
      <c r="I21" s="69">
        <f>IF(Hasil!$B11="","",Hasil!I11)</f>
        <v>6</v>
      </c>
      <c r="J21" s="69">
        <f>IF(Hasil!$B11="","",Hasil!J11)</f>
        <v>12</v>
      </c>
      <c r="K21" s="81" t="str">
        <f>IF(Hasil!$B11="","",Hasil!T11)</f>
        <v>RCS</v>
      </c>
      <c r="L21" s="39" t="str">
        <f>IF(Hasil!$B11="","",Hasil!$V11)</f>
        <v>OK</v>
      </c>
      <c r="M21" s="69" t="str">
        <f>IF(Hasil!$B11="","",Hasil!$AU11)</f>
        <v>RC</v>
      </c>
      <c r="N21" s="69" t="str">
        <f>IF(Hasil!$B11="","",Hasil!$AV11)</f>
        <v>Tinggi</v>
      </c>
    </row>
    <row r="22" spans="1:14">
      <c r="A22" s="38">
        <f>IF(Hasil!$B12="","",Hasil!A12)</f>
        <v>8</v>
      </c>
      <c r="B22" t="str">
        <f>IF(Hasil!$B12="","",Hasil!B12)</f>
        <v>22008</v>
      </c>
      <c r="C22" t="str">
        <f>IF(Hasil!$B12="","",Hasil!C12)</f>
        <v>Siti Nur Fadhilah</v>
      </c>
      <c r="D22" t="str">
        <f>IF(Hasil!$B12="","",Hasil!D12)</f>
        <v>L</v>
      </c>
      <c r="E22" s="69">
        <f>IF(Hasil!$B12="","",Hasil!E12)</f>
        <v>4</v>
      </c>
      <c r="F22" s="69">
        <f>IF(Hasil!$B12="","",Hasil!F12)</f>
        <v>0</v>
      </c>
      <c r="G22" s="69">
        <f>IF(Hasil!$B12="","",Hasil!G12)</f>
        <v>0</v>
      </c>
      <c r="H22" s="69">
        <f>IF(Hasil!$B12="","",Hasil!H12)</f>
        <v>0</v>
      </c>
      <c r="I22" s="69">
        <f>IF(Hasil!$B12="","",Hasil!I12)</f>
        <v>0</v>
      </c>
      <c r="J22" s="69">
        <f>IF(Hasil!$B12="","",Hasil!J12)</f>
        <v>0</v>
      </c>
      <c r="K22" s="81" t="str">
        <f>IF(Hasil!$B12="","",Hasil!T12)</f>
        <v/>
      </c>
      <c r="L22" s="39" t="str">
        <f>IF(Hasil!$B12="","",Hasil!$V12)</f>
        <v>Lengkapi 12 Self Estimate</v>
      </c>
      <c r="M22" s="69" t="str">
        <f>IF(Hasil!$B12="","",Hasil!$AU12)</f>
        <v/>
      </c>
      <c r="N22" s="69" t="str">
        <f>IF(Hasil!$B12="","",Hasil!$AV12)</f>
        <v/>
      </c>
    </row>
    <row r="23" spans="1:14">
      <c r="A23" s="38">
        <f>IF(Hasil!$B13="","",Hasil!A13)</f>
        <v>9</v>
      </c>
      <c r="B23" t="str">
        <f>IF(Hasil!$B13="","",Hasil!B13)</f>
        <v>22009</v>
      </c>
      <c r="C23" t="str">
        <f>IF(Hasil!$B13="","",Hasil!C13)</f>
        <v>Khotimatuz Zuhriyah</v>
      </c>
      <c r="D23" t="str">
        <f>IF(Hasil!$B13="","",Hasil!D13)</f>
        <v>L</v>
      </c>
      <c r="E23" s="69">
        <f>IF(Hasil!$B13="","",Hasil!E13)</f>
        <v>4</v>
      </c>
      <c r="F23" s="69">
        <f>IF(Hasil!$B13="","",Hasil!F13)</f>
        <v>0</v>
      </c>
      <c r="G23" s="69">
        <f>IF(Hasil!$B13="","",Hasil!G13)</f>
        <v>0</v>
      </c>
      <c r="H23" s="69">
        <f>IF(Hasil!$B13="","",Hasil!H13)</f>
        <v>0</v>
      </c>
      <c r="I23" s="69">
        <f>IF(Hasil!$B13="","",Hasil!I13)</f>
        <v>0</v>
      </c>
      <c r="J23" s="69">
        <f>IF(Hasil!$B13="","",Hasil!J13)</f>
        <v>0</v>
      </c>
      <c r="K23" s="81" t="str">
        <f>IF(Hasil!$B13="","",Hasil!T13)</f>
        <v/>
      </c>
      <c r="L23" s="39" t="str">
        <f>IF(Hasil!$B13="","",Hasil!$V13)</f>
        <v>Lengkapi 12 Self Estimate</v>
      </c>
      <c r="M23" s="69" t="str">
        <f>IF(Hasil!$B13="","",Hasil!$AU13)</f>
        <v/>
      </c>
      <c r="N23" s="69" t="str">
        <f>IF(Hasil!$B13="","",Hasil!$AV13)</f>
        <v/>
      </c>
    </row>
    <row r="24" spans="1:14">
      <c r="A24" s="38">
        <f>IF(Hasil!$B14="","",Hasil!A14)</f>
        <v>10</v>
      </c>
      <c r="B24" t="str">
        <f>IF(Hasil!$B14="","",Hasil!B14)</f>
        <v>22010</v>
      </c>
      <c r="C24" t="str">
        <f>IF(Hasil!$B14="","",Hasil!C14)</f>
        <v>Kukuh Priyatin</v>
      </c>
      <c r="D24" t="str">
        <f>IF(Hasil!$B14="","",Hasil!D14)</f>
        <v>L</v>
      </c>
      <c r="E24" s="69">
        <f>IF(Hasil!$B14="","",Hasil!E14)</f>
        <v>4</v>
      </c>
      <c r="F24" s="69">
        <f>IF(Hasil!$B14="","",Hasil!F14)</f>
        <v>0</v>
      </c>
      <c r="G24" s="69">
        <f>IF(Hasil!$B14="","",Hasil!G14)</f>
        <v>0</v>
      </c>
      <c r="H24" s="69">
        <f>IF(Hasil!$B14="","",Hasil!H14)</f>
        <v>0</v>
      </c>
      <c r="I24" s="69">
        <f>IF(Hasil!$B14="","",Hasil!I14)</f>
        <v>0</v>
      </c>
      <c r="J24" s="69">
        <f>IF(Hasil!$B14="","",Hasil!J14)</f>
        <v>0</v>
      </c>
      <c r="K24" s="81" t="str">
        <f>IF(Hasil!$B14="","",Hasil!T14)</f>
        <v/>
      </c>
      <c r="L24" s="39" t="str">
        <f>IF(Hasil!$B14="","",Hasil!$V14)</f>
        <v>Lengkapi 12 Self Estimate</v>
      </c>
      <c r="M24" s="69" t="str">
        <f>IF(Hasil!$B14="","",Hasil!$AU14)</f>
        <v/>
      </c>
      <c r="N24" s="69" t="str">
        <f>IF(Hasil!$B14="","",Hasil!$AV14)</f>
        <v/>
      </c>
    </row>
    <row r="25" spans="1:14">
      <c r="A25" s="38">
        <f>IF(Hasil!$B15="","",Hasil!A15)</f>
        <v>11</v>
      </c>
      <c r="B25" t="str">
        <f>IF(Hasil!$B15="","",Hasil!B15)</f>
        <v>22011</v>
      </c>
      <c r="C25" t="str">
        <f>IF(Hasil!$B15="","",Hasil!C15)</f>
        <v>Mas Karebet Setiawan</v>
      </c>
      <c r="D25" t="str">
        <f>IF(Hasil!$B15="","",Hasil!D15)</f>
        <v>L</v>
      </c>
      <c r="E25" s="69">
        <f>IF(Hasil!$B15="","",Hasil!E15)</f>
        <v>4</v>
      </c>
      <c r="F25" s="69">
        <f>IF(Hasil!$B15="","",Hasil!F15)</f>
        <v>0</v>
      </c>
      <c r="G25" s="69">
        <f>IF(Hasil!$B15="","",Hasil!G15)</f>
        <v>0</v>
      </c>
      <c r="H25" s="69">
        <f>IF(Hasil!$B15="","",Hasil!H15)</f>
        <v>0</v>
      </c>
      <c r="I25" s="69">
        <f>IF(Hasil!$B15="","",Hasil!I15)</f>
        <v>0</v>
      </c>
      <c r="J25" s="69">
        <f>IF(Hasil!$B15="","",Hasil!J15)</f>
        <v>0</v>
      </c>
      <c r="K25" s="81" t="str">
        <f>IF(Hasil!$B15="","",Hasil!T15)</f>
        <v/>
      </c>
      <c r="L25" s="39" t="str">
        <f>IF(Hasil!$B15="","",Hasil!$V15)</f>
        <v>Lengkapi 12 Self Estimate</v>
      </c>
      <c r="M25" s="69" t="str">
        <f>IF(Hasil!$B15="","",Hasil!$AU15)</f>
        <v/>
      </c>
      <c r="N25" s="69" t="str">
        <f>IF(Hasil!$B15="","",Hasil!$AV15)</f>
        <v/>
      </c>
    </row>
    <row r="26" spans="1:14">
      <c r="A26" s="38">
        <f>IF(Hasil!$B16="","",Hasil!A16)</f>
        <v>12</v>
      </c>
      <c r="B26" t="str">
        <f>IF(Hasil!$B16="","",Hasil!B16)</f>
        <v>22012</v>
      </c>
      <c r="C26" t="str">
        <f>IF(Hasil!$B16="","",Hasil!C16)</f>
        <v>Mauidhotul Hasanah Ismail</v>
      </c>
      <c r="D26" t="str">
        <f>IF(Hasil!$B16="","",Hasil!D16)</f>
        <v>L</v>
      </c>
      <c r="E26" s="69">
        <f>IF(Hasil!$B16="","",Hasil!E16)</f>
        <v>4</v>
      </c>
      <c r="F26" s="69">
        <f>IF(Hasil!$B16="","",Hasil!F16)</f>
        <v>0</v>
      </c>
      <c r="G26" s="69">
        <f>IF(Hasil!$B16="","",Hasil!G16)</f>
        <v>0</v>
      </c>
      <c r="H26" s="69">
        <f>IF(Hasil!$B16="","",Hasil!H16)</f>
        <v>0</v>
      </c>
      <c r="I26" s="69">
        <f>IF(Hasil!$B16="","",Hasil!I16)</f>
        <v>0</v>
      </c>
      <c r="J26" s="69">
        <f>IF(Hasil!$B16="","",Hasil!J16)</f>
        <v>0</v>
      </c>
      <c r="K26" s="81" t="str">
        <f>IF(Hasil!$B16="","",Hasil!T16)</f>
        <v/>
      </c>
      <c r="L26" s="39" t="str">
        <f>IF(Hasil!$B16="","",Hasil!$V16)</f>
        <v>Lengkapi 12 Self Estimate</v>
      </c>
      <c r="M26" s="69" t="str">
        <f>IF(Hasil!$B16="","",Hasil!$AU16)</f>
        <v/>
      </c>
      <c r="N26" s="69" t="str">
        <f>IF(Hasil!$B16="","",Hasil!$AV16)</f>
        <v/>
      </c>
    </row>
    <row r="27" spans="1:14">
      <c r="A27" s="38">
        <f>IF(Hasil!$B17="","",Hasil!A17)</f>
        <v>13</v>
      </c>
      <c r="B27" t="str">
        <f>IF(Hasil!$B17="","",Hasil!B17)</f>
        <v>22013</v>
      </c>
      <c r="C27" t="str">
        <f>IF(Hasil!$B17="","",Hasil!C17)</f>
        <v>Ririn Fauziyah</v>
      </c>
      <c r="D27" t="str">
        <f>IF(Hasil!$B17="","",Hasil!D17)</f>
        <v>L</v>
      </c>
      <c r="E27" s="69">
        <f>IF(Hasil!$B17="","",Hasil!E17)</f>
        <v>4</v>
      </c>
      <c r="F27" s="69">
        <f>IF(Hasil!$B17="","",Hasil!F17)</f>
        <v>0</v>
      </c>
      <c r="G27" s="69">
        <f>IF(Hasil!$B17="","",Hasil!G17)</f>
        <v>0</v>
      </c>
      <c r="H27" s="69">
        <f>IF(Hasil!$B17="","",Hasil!H17)</f>
        <v>0</v>
      </c>
      <c r="I27" s="69">
        <f>IF(Hasil!$B17="","",Hasil!I17)</f>
        <v>0</v>
      </c>
      <c r="J27" s="69">
        <f>IF(Hasil!$B17="","",Hasil!J17)</f>
        <v>0</v>
      </c>
      <c r="K27" s="81" t="str">
        <f>IF(Hasil!$B17="","",Hasil!T17)</f>
        <v/>
      </c>
      <c r="L27" s="39" t="str">
        <f>IF(Hasil!$B17="","",Hasil!$V17)</f>
        <v>Lengkapi 12 Self Estimate</v>
      </c>
      <c r="M27" s="69" t="str">
        <f>IF(Hasil!$B17="","",Hasil!$AU17)</f>
        <v/>
      </c>
      <c r="N27" s="69" t="str">
        <f>IF(Hasil!$B17="","",Hasil!$AV17)</f>
        <v/>
      </c>
    </row>
    <row r="28" spans="1:14">
      <c r="A28" s="38">
        <f>IF(Hasil!$B18="","",Hasil!A18)</f>
        <v>14</v>
      </c>
      <c r="B28" t="str">
        <f>IF(Hasil!$B18="","",Hasil!B18)</f>
        <v>22014</v>
      </c>
      <c r="C28" t="str">
        <f>IF(Hasil!$B18="","",Hasil!C18)</f>
        <v>Ulfatul Maula</v>
      </c>
      <c r="D28" t="str">
        <f>IF(Hasil!$B18="","",Hasil!D18)</f>
        <v>L</v>
      </c>
      <c r="E28" s="69">
        <f>IF(Hasil!$B18="","",Hasil!E18)</f>
        <v>0</v>
      </c>
      <c r="F28" s="69">
        <f>IF(Hasil!$B18="","",Hasil!F18)</f>
        <v>0</v>
      </c>
      <c r="G28" s="69">
        <f>IF(Hasil!$B18="","",Hasil!G18)</f>
        <v>0</v>
      </c>
      <c r="H28" s="69">
        <f>IF(Hasil!$B18="","",Hasil!H18)</f>
        <v>0</v>
      </c>
      <c r="I28" s="69">
        <f>IF(Hasil!$B18="","",Hasil!I18)</f>
        <v>0</v>
      </c>
      <c r="J28" s="69">
        <f>IF(Hasil!$B18="","",Hasil!J18)</f>
        <v>0</v>
      </c>
      <c r="K28" s="81" t="str">
        <f>IF(Hasil!$B18="","",Hasil!T18)</f>
        <v/>
      </c>
      <c r="L28" s="39" t="str">
        <f>IF(Hasil!$B18="","",Hasil!$V18)</f>
        <v>Lengkapi 12 Self Estimate</v>
      </c>
      <c r="M28" s="69" t="str">
        <f>IF(Hasil!$B18="","",Hasil!$AU18)</f>
        <v/>
      </c>
      <c r="N28" s="69" t="str">
        <f>IF(Hasil!$B18="","",Hasil!$AV18)</f>
        <v/>
      </c>
    </row>
    <row r="29" spans="1:14">
      <c r="A29" s="38">
        <f>IF(Hasil!$B19="","",Hasil!A19)</f>
        <v>15</v>
      </c>
      <c r="B29" t="str">
        <f>IF(Hasil!$B19="","",Hasil!B19)</f>
        <v>22015</v>
      </c>
      <c r="C29" t="str">
        <f>IF(Hasil!$B19="","",Hasil!C19)</f>
        <v>Rizki Imam Fauzi</v>
      </c>
      <c r="D29" t="str">
        <f>IF(Hasil!$B19="","",Hasil!D19)</f>
        <v>L</v>
      </c>
      <c r="E29" s="69">
        <f>IF(Hasil!$B19="","",Hasil!E19)</f>
        <v>0</v>
      </c>
      <c r="F29" s="69">
        <f>IF(Hasil!$B19="","",Hasil!F19)</f>
        <v>0</v>
      </c>
      <c r="G29" s="69">
        <f>IF(Hasil!$B19="","",Hasil!G19)</f>
        <v>0</v>
      </c>
      <c r="H29" s="69">
        <f>IF(Hasil!$B19="","",Hasil!H19)</f>
        <v>0</v>
      </c>
      <c r="I29" s="69">
        <f>IF(Hasil!$B19="","",Hasil!I19)</f>
        <v>0</v>
      </c>
      <c r="J29" s="69">
        <f>IF(Hasil!$B19="","",Hasil!J19)</f>
        <v>0</v>
      </c>
      <c r="K29" s="81" t="str">
        <f>IF(Hasil!$B19="","",Hasil!T19)</f>
        <v/>
      </c>
      <c r="L29" s="39" t="str">
        <f>IF(Hasil!$B19="","",Hasil!$V19)</f>
        <v>Lengkapi 12 Self Estimate</v>
      </c>
      <c r="M29" s="69" t="str">
        <f>IF(Hasil!$B19="","",Hasil!$AU19)</f>
        <v/>
      </c>
      <c r="N29" s="69" t="str">
        <f>IF(Hasil!$B19="","",Hasil!$AV19)</f>
        <v/>
      </c>
    </row>
    <row r="30" spans="1:14">
      <c r="A30" s="38">
        <f>IF(Hasil!$B20="","",Hasil!A20)</f>
        <v>16</v>
      </c>
      <c r="B30" t="str">
        <f>IF(Hasil!$B20="","",Hasil!B20)</f>
        <v>22016</v>
      </c>
      <c r="C30" t="str">
        <f>IF(Hasil!$B20="","",Hasil!C20)</f>
        <v>Siti Arisah</v>
      </c>
      <c r="D30" t="str">
        <f>IF(Hasil!$B20="","",Hasil!D20)</f>
        <v>L</v>
      </c>
      <c r="E30" s="69">
        <f>IF(Hasil!$B20="","",Hasil!E20)</f>
        <v>0</v>
      </c>
      <c r="F30" s="69">
        <f>IF(Hasil!$B20="","",Hasil!F20)</f>
        <v>0</v>
      </c>
      <c r="G30" s="69">
        <f>IF(Hasil!$B20="","",Hasil!G20)</f>
        <v>0</v>
      </c>
      <c r="H30" s="69">
        <f>IF(Hasil!$B20="","",Hasil!H20)</f>
        <v>0</v>
      </c>
      <c r="I30" s="69">
        <f>IF(Hasil!$B20="","",Hasil!I20)</f>
        <v>0</v>
      </c>
      <c r="J30" s="69">
        <f>IF(Hasil!$B20="","",Hasil!J20)</f>
        <v>0</v>
      </c>
      <c r="K30" s="81" t="str">
        <f>IF(Hasil!$B20="","",Hasil!T20)</f>
        <v/>
      </c>
      <c r="L30" s="39" t="str">
        <f>IF(Hasil!$B20="","",Hasil!$V20)</f>
        <v>Lengkapi 12 Self Estimate</v>
      </c>
      <c r="M30" s="69" t="str">
        <f>IF(Hasil!$B20="","",Hasil!$AU20)</f>
        <v/>
      </c>
      <c r="N30" s="69" t="str">
        <f>IF(Hasil!$B20="","",Hasil!$AV20)</f>
        <v/>
      </c>
    </row>
    <row r="31" spans="1:14">
      <c r="A31" s="38">
        <f>IF(Hasil!$B21="","",Hasil!A21)</f>
        <v>17</v>
      </c>
      <c r="B31" t="str">
        <f>IF(Hasil!$B21="","",Hasil!B21)</f>
        <v>22017</v>
      </c>
      <c r="C31" t="str">
        <f>IF(Hasil!$B21="","",Hasil!C21)</f>
        <v>Slamet Riyadi</v>
      </c>
      <c r="D31" t="str">
        <f>IF(Hasil!$B21="","",Hasil!D21)</f>
        <v>L</v>
      </c>
      <c r="E31" s="69">
        <f>IF(Hasil!$B21="","",Hasil!E21)</f>
        <v>0</v>
      </c>
      <c r="F31" s="69">
        <f>IF(Hasil!$B21="","",Hasil!F21)</f>
        <v>0</v>
      </c>
      <c r="G31" s="69">
        <f>IF(Hasil!$B21="","",Hasil!G21)</f>
        <v>0</v>
      </c>
      <c r="H31" s="69">
        <f>IF(Hasil!$B21="","",Hasil!H21)</f>
        <v>0</v>
      </c>
      <c r="I31" s="69">
        <f>IF(Hasil!$B21="","",Hasil!I21)</f>
        <v>0</v>
      </c>
      <c r="J31" s="69">
        <f>IF(Hasil!$B21="","",Hasil!J21)</f>
        <v>0</v>
      </c>
      <c r="K31" s="81" t="str">
        <f>IF(Hasil!$B21="","",Hasil!T21)</f>
        <v/>
      </c>
      <c r="L31" s="39" t="str">
        <f>IF(Hasil!$B21="","",Hasil!$V21)</f>
        <v>Lengkapi 12 Self Estimate</v>
      </c>
      <c r="M31" s="69" t="str">
        <f>IF(Hasil!$B21="","",Hasil!$AU21)</f>
        <v/>
      </c>
      <c r="N31" s="69" t="str">
        <f>IF(Hasil!$B21="","",Hasil!$AV21)</f>
        <v/>
      </c>
    </row>
    <row r="32" spans="1:14">
      <c r="A32" s="38">
        <f>IF(Hasil!$B22="","",Hasil!A22)</f>
        <v>18</v>
      </c>
      <c r="B32" t="str">
        <f>IF(Hasil!$B22="","",Hasil!B22)</f>
        <v>22018</v>
      </c>
      <c r="C32" t="str">
        <f>IF(Hasil!$B22="","",Hasil!C22)</f>
        <v>Sri Harnita</v>
      </c>
      <c r="D32" t="str">
        <f>IF(Hasil!$B22="","",Hasil!D22)</f>
        <v>L</v>
      </c>
      <c r="E32" s="69">
        <f>IF(Hasil!$B22="","",Hasil!E22)</f>
        <v>0</v>
      </c>
      <c r="F32" s="69">
        <f>IF(Hasil!$B22="","",Hasil!F22)</f>
        <v>0</v>
      </c>
      <c r="G32" s="69">
        <f>IF(Hasil!$B22="","",Hasil!G22)</f>
        <v>0</v>
      </c>
      <c r="H32" s="69">
        <f>IF(Hasil!$B22="","",Hasil!H22)</f>
        <v>0</v>
      </c>
      <c r="I32" s="69">
        <f>IF(Hasil!$B22="","",Hasil!I22)</f>
        <v>0</v>
      </c>
      <c r="J32" s="69">
        <f>IF(Hasil!$B22="","",Hasil!J22)</f>
        <v>0</v>
      </c>
      <c r="K32" s="81" t="str">
        <f>IF(Hasil!$B22="","",Hasil!T22)</f>
        <v/>
      </c>
      <c r="L32" s="39" t="str">
        <f>IF(Hasil!$B22="","",Hasil!$V22)</f>
        <v>Lengkapi 12 Self Estimate</v>
      </c>
      <c r="M32" s="69" t="str">
        <f>IF(Hasil!$B22="","",Hasil!$AU22)</f>
        <v/>
      </c>
      <c r="N32" s="69" t="str">
        <f>IF(Hasil!$B22="","",Hasil!$AV22)</f>
        <v/>
      </c>
    </row>
    <row r="33" spans="1:14">
      <c r="A33" s="38">
        <f>IF(Hasil!$B23="","",Hasil!A23)</f>
        <v>19</v>
      </c>
      <c r="B33" t="str">
        <f>IF(Hasil!$B23="","",Hasil!B23)</f>
        <v>22019</v>
      </c>
      <c r="C33" t="str">
        <f>IF(Hasil!$B23="","",Hasil!C23)</f>
        <v>Tentri Year Itqa Retma N</v>
      </c>
      <c r="D33" t="str">
        <f>IF(Hasil!$B23="","",Hasil!D23)</f>
        <v>L</v>
      </c>
      <c r="E33" s="69">
        <f>IF(Hasil!$B23="","",Hasil!E23)</f>
        <v>0</v>
      </c>
      <c r="F33" s="69">
        <f>IF(Hasil!$B23="","",Hasil!F23)</f>
        <v>0</v>
      </c>
      <c r="G33" s="69">
        <f>IF(Hasil!$B23="","",Hasil!G23)</f>
        <v>0</v>
      </c>
      <c r="H33" s="69">
        <f>IF(Hasil!$B23="","",Hasil!H23)</f>
        <v>0</v>
      </c>
      <c r="I33" s="69">
        <f>IF(Hasil!$B23="","",Hasil!I23)</f>
        <v>0</v>
      </c>
      <c r="J33" s="69">
        <f>IF(Hasil!$B23="","",Hasil!J23)</f>
        <v>0</v>
      </c>
      <c r="K33" s="81" t="str">
        <f>IF(Hasil!$B23="","",Hasil!T23)</f>
        <v/>
      </c>
      <c r="L33" s="39" t="str">
        <f>IF(Hasil!$B23="","",Hasil!$V23)</f>
        <v>Lengkapi 12 Self Estimate</v>
      </c>
      <c r="M33" s="69" t="str">
        <f>IF(Hasil!$B23="","",Hasil!$AU23)</f>
        <v/>
      </c>
      <c r="N33" s="69" t="str">
        <f>IF(Hasil!$B23="","",Hasil!$AV23)</f>
        <v/>
      </c>
    </row>
    <row r="34" spans="1:14">
      <c r="A34" s="38">
        <f>IF(Hasil!$B24="","",Hasil!A24)</f>
        <v>20</v>
      </c>
      <c r="B34" t="str">
        <f>IF(Hasil!$B24="","",Hasil!B24)</f>
        <v>22020</v>
      </c>
      <c r="C34" t="str">
        <f>IF(Hasil!$B24="","",Hasil!C24)</f>
        <v>Winda Andriyani</v>
      </c>
      <c r="D34" t="str">
        <f>IF(Hasil!$B24="","",Hasil!D24)</f>
        <v>L</v>
      </c>
      <c r="E34" s="69">
        <f>IF(Hasil!$B24="","",Hasil!E24)</f>
        <v>0</v>
      </c>
      <c r="F34" s="69">
        <f>IF(Hasil!$B24="","",Hasil!F24)</f>
        <v>0</v>
      </c>
      <c r="G34" s="69">
        <f>IF(Hasil!$B24="","",Hasil!G24)</f>
        <v>0</v>
      </c>
      <c r="H34" s="69">
        <f>IF(Hasil!$B24="","",Hasil!H24)</f>
        <v>0</v>
      </c>
      <c r="I34" s="69">
        <f>IF(Hasil!$B24="","",Hasil!I24)</f>
        <v>0</v>
      </c>
      <c r="J34" s="69">
        <f>IF(Hasil!$B24="","",Hasil!J24)</f>
        <v>0</v>
      </c>
      <c r="K34" s="81" t="str">
        <f>IF(Hasil!$B24="","",Hasil!T24)</f>
        <v/>
      </c>
      <c r="L34" s="39" t="str">
        <f>IF(Hasil!$B24="","",Hasil!$V24)</f>
        <v>Lengkapi 12 Self Estimate</v>
      </c>
      <c r="M34" s="69" t="str">
        <f>IF(Hasil!$B24="","",Hasil!$AU24)</f>
        <v/>
      </c>
      <c r="N34" s="69" t="str">
        <f>IF(Hasil!$B24="","",Hasil!$AV24)</f>
        <v/>
      </c>
    </row>
    <row r="35" spans="1:14">
      <c r="A35" s="38">
        <f>IF(Hasil!$B25="","",Hasil!A25)</f>
        <v>21</v>
      </c>
      <c r="B35" t="str">
        <f>IF(Hasil!$B25="","",Hasil!B25)</f>
        <v>22021</v>
      </c>
      <c r="C35" t="str">
        <f>IF(Hasil!$B25="","",Hasil!C25)</f>
        <v>Hasan Agus Salim</v>
      </c>
      <c r="D35" t="str">
        <f>IF(Hasil!$B25="","",Hasil!D25)</f>
        <v>L</v>
      </c>
      <c r="E35" s="69">
        <f>IF(Hasil!$B25="","",Hasil!E25)</f>
        <v>0</v>
      </c>
      <c r="F35" s="69">
        <f>IF(Hasil!$B25="","",Hasil!F25)</f>
        <v>0</v>
      </c>
      <c r="G35" s="69">
        <f>IF(Hasil!$B25="","",Hasil!G25)</f>
        <v>0</v>
      </c>
      <c r="H35" s="69">
        <f>IF(Hasil!$B25="","",Hasil!H25)</f>
        <v>0</v>
      </c>
      <c r="I35" s="69">
        <f>IF(Hasil!$B25="","",Hasil!I25)</f>
        <v>0</v>
      </c>
      <c r="J35" s="69">
        <f>IF(Hasil!$B25="","",Hasil!J25)</f>
        <v>0</v>
      </c>
      <c r="K35" s="81" t="str">
        <f>IF(Hasil!$B25="","",Hasil!T25)</f>
        <v/>
      </c>
      <c r="L35" s="39" t="str">
        <f>IF(Hasil!$B25="","",Hasil!$V25)</f>
        <v>Lengkapi 12 Self Estimate</v>
      </c>
      <c r="M35" s="69" t="str">
        <f>IF(Hasil!$B25="","",Hasil!$AU25)</f>
        <v/>
      </c>
      <c r="N35" s="69" t="str">
        <f>IF(Hasil!$B25="","",Hasil!$AV25)</f>
        <v/>
      </c>
    </row>
    <row r="36" spans="1:14">
      <c r="A36" s="38">
        <f>IF(Hasil!$B26="","",Hasil!A26)</f>
        <v>22</v>
      </c>
      <c r="B36" t="str">
        <f>IF(Hasil!$B26="","",Hasil!B26)</f>
        <v>22022</v>
      </c>
      <c r="C36" t="str">
        <f>IF(Hasil!$B26="","",Hasil!C26)</f>
        <v>Muhammad Tondi Prasetyo</v>
      </c>
      <c r="D36" t="str">
        <f>IF(Hasil!$B26="","",Hasil!D26)</f>
        <v>L</v>
      </c>
      <c r="E36" s="69">
        <f>IF(Hasil!$B26="","",Hasil!E26)</f>
        <v>0</v>
      </c>
      <c r="F36" s="69">
        <f>IF(Hasil!$B26="","",Hasil!F26)</f>
        <v>0</v>
      </c>
      <c r="G36" s="69">
        <f>IF(Hasil!$B26="","",Hasil!G26)</f>
        <v>0</v>
      </c>
      <c r="H36" s="69">
        <f>IF(Hasil!$B26="","",Hasil!H26)</f>
        <v>0</v>
      </c>
      <c r="I36" s="69">
        <f>IF(Hasil!$B26="","",Hasil!I26)</f>
        <v>0</v>
      </c>
      <c r="J36" s="69">
        <f>IF(Hasil!$B26="","",Hasil!J26)</f>
        <v>0</v>
      </c>
      <c r="K36" s="81" t="str">
        <f>IF(Hasil!$B26="","",Hasil!T26)</f>
        <v/>
      </c>
      <c r="L36" s="39" t="str">
        <f>IF(Hasil!$B26="","",Hasil!$V26)</f>
        <v>Lengkapi 12 Self Estimate</v>
      </c>
      <c r="M36" s="69" t="str">
        <f>IF(Hasil!$B26="","",Hasil!$AU26)</f>
        <v/>
      </c>
      <c r="N36" s="69" t="str">
        <f>IF(Hasil!$B26="","",Hasil!$AV26)</f>
        <v/>
      </c>
    </row>
    <row r="37" spans="1:14">
      <c r="A37" s="38">
        <f>IF(Hasil!$B27="","",Hasil!A27)</f>
        <v>23</v>
      </c>
      <c r="B37" t="str">
        <f>IF(Hasil!$B27="","",Hasil!B27)</f>
        <v>22023</v>
      </c>
      <c r="C37" t="str">
        <f>IF(Hasil!$B27="","",Hasil!C27)</f>
        <v>Raudatul Jannah</v>
      </c>
      <c r="D37" t="str">
        <f>IF(Hasil!$B27="","",Hasil!D27)</f>
        <v>L</v>
      </c>
      <c r="E37" s="69">
        <f>IF(Hasil!$B27="","",Hasil!E27)</f>
        <v>0</v>
      </c>
      <c r="F37" s="69">
        <f>IF(Hasil!$B27="","",Hasil!F27)</f>
        <v>0</v>
      </c>
      <c r="G37" s="69">
        <f>IF(Hasil!$B27="","",Hasil!G27)</f>
        <v>0</v>
      </c>
      <c r="H37" s="69">
        <f>IF(Hasil!$B27="","",Hasil!H27)</f>
        <v>0</v>
      </c>
      <c r="I37" s="69">
        <f>IF(Hasil!$B27="","",Hasil!I27)</f>
        <v>0</v>
      </c>
      <c r="J37" s="69">
        <f>IF(Hasil!$B27="","",Hasil!J27)</f>
        <v>0</v>
      </c>
      <c r="K37" s="81" t="str">
        <f>IF(Hasil!$B27="","",Hasil!T27)</f>
        <v/>
      </c>
      <c r="L37" s="39" t="str">
        <f>IF(Hasil!$B27="","",Hasil!$V27)</f>
        <v>Lengkapi 12 Self Estimate</v>
      </c>
      <c r="M37" s="69" t="str">
        <f>IF(Hasil!$B27="","",Hasil!$AU27)</f>
        <v/>
      </c>
      <c r="N37" s="69" t="str">
        <f>IF(Hasil!$B27="","",Hasil!$AV27)</f>
        <v/>
      </c>
    </row>
    <row r="38" spans="1:14">
      <c r="A38" s="38">
        <f>IF(Hasil!$B28="","",Hasil!A28)</f>
        <v>24</v>
      </c>
      <c r="B38" t="str">
        <f>IF(Hasil!$B28="","",Hasil!B28)</f>
        <v>22024</v>
      </c>
      <c r="C38" t="str">
        <f>IF(Hasil!$B28="","",Hasil!C28)</f>
        <v>Titi Larasati</v>
      </c>
      <c r="D38" t="str">
        <f>IF(Hasil!$B28="","",Hasil!D28)</f>
        <v>L</v>
      </c>
      <c r="E38" s="69">
        <f>IF(Hasil!$B28="","",Hasil!E28)</f>
        <v>0</v>
      </c>
      <c r="F38" s="69">
        <f>IF(Hasil!$B28="","",Hasil!F28)</f>
        <v>0</v>
      </c>
      <c r="G38" s="69">
        <f>IF(Hasil!$B28="","",Hasil!G28)</f>
        <v>0</v>
      </c>
      <c r="H38" s="69">
        <f>IF(Hasil!$B28="","",Hasil!H28)</f>
        <v>0</v>
      </c>
      <c r="I38" s="69">
        <f>IF(Hasil!$B28="","",Hasil!I28)</f>
        <v>0</v>
      </c>
      <c r="J38" s="69">
        <f>IF(Hasil!$B28="","",Hasil!J28)</f>
        <v>0</v>
      </c>
      <c r="K38" s="81" t="str">
        <f>IF(Hasil!$B28="","",Hasil!T28)</f>
        <v/>
      </c>
      <c r="L38" s="39" t="str">
        <f>IF(Hasil!$B28="","",Hasil!$V28)</f>
        <v>Lengkapi 12 Self Estimate</v>
      </c>
      <c r="M38" s="69" t="str">
        <f>IF(Hasil!$B28="","",Hasil!$AU28)</f>
        <v/>
      </c>
      <c r="N38" s="69" t="str">
        <f>IF(Hasil!$B28="","",Hasil!$AV28)</f>
        <v/>
      </c>
    </row>
    <row r="39" spans="1:14">
      <c r="A39" s="38">
        <f>IF(Hasil!$B29="","",Hasil!A29)</f>
        <v>25</v>
      </c>
      <c r="B39" t="str">
        <f>IF(Hasil!$B29="","",Hasil!B29)</f>
        <v>22025</v>
      </c>
      <c r="C39" t="str">
        <f>IF(Hasil!$B29="","",Hasil!C29)</f>
        <v>Tri Purwaningsih</v>
      </c>
      <c r="D39" t="str">
        <f>IF(Hasil!$B29="","",Hasil!D29)</f>
        <v>L</v>
      </c>
      <c r="E39" s="69">
        <f>IF(Hasil!$B29="","",Hasil!E29)</f>
        <v>0</v>
      </c>
      <c r="F39" s="69">
        <f>IF(Hasil!$B29="","",Hasil!F29)</f>
        <v>0</v>
      </c>
      <c r="G39" s="69">
        <f>IF(Hasil!$B29="","",Hasil!G29)</f>
        <v>0</v>
      </c>
      <c r="H39" s="69">
        <f>IF(Hasil!$B29="","",Hasil!H29)</f>
        <v>0</v>
      </c>
      <c r="I39" s="69">
        <f>IF(Hasil!$B29="","",Hasil!I29)</f>
        <v>0</v>
      </c>
      <c r="J39" s="69">
        <f>IF(Hasil!$B29="","",Hasil!J29)</f>
        <v>0</v>
      </c>
      <c r="K39" s="81" t="str">
        <f>IF(Hasil!$B29="","",Hasil!T29)</f>
        <v/>
      </c>
      <c r="L39" s="39" t="str">
        <f>IF(Hasil!$B29="","",Hasil!$V29)</f>
        <v>Lengkapi 12 Self Estimate</v>
      </c>
      <c r="M39" s="69" t="str">
        <f>IF(Hasil!$B29="","",Hasil!$AU29)</f>
        <v/>
      </c>
      <c r="N39" s="69" t="str">
        <f>IF(Hasil!$B29="","",Hasil!$AV29)</f>
        <v/>
      </c>
    </row>
    <row r="40" spans="1:14">
      <c r="A40" s="38">
        <f>IF(Hasil!$B30="","",Hasil!A30)</f>
        <v>26</v>
      </c>
      <c r="B40" t="str">
        <f>IF(Hasil!$B30="","",Hasil!B30)</f>
        <v>22026</v>
      </c>
      <c r="C40" t="str">
        <f>IF(Hasil!$B30="","",Hasil!C30)</f>
        <v>Vindi Apriyanasari</v>
      </c>
      <c r="D40" t="str">
        <f>IF(Hasil!$B30="","",Hasil!D30)</f>
        <v>L</v>
      </c>
      <c r="E40" s="69">
        <f>IF(Hasil!$B30="","",Hasil!E30)</f>
        <v>0</v>
      </c>
      <c r="F40" s="69">
        <f>IF(Hasil!$B30="","",Hasil!F30)</f>
        <v>0</v>
      </c>
      <c r="G40" s="69">
        <f>IF(Hasil!$B30="","",Hasil!G30)</f>
        <v>0</v>
      </c>
      <c r="H40" s="69">
        <f>IF(Hasil!$B30="","",Hasil!H30)</f>
        <v>0</v>
      </c>
      <c r="I40" s="69">
        <f>IF(Hasil!$B30="","",Hasil!I30)</f>
        <v>0</v>
      </c>
      <c r="J40" s="69">
        <f>IF(Hasil!$B30="","",Hasil!J30)</f>
        <v>0</v>
      </c>
      <c r="K40" s="81" t="str">
        <f>IF(Hasil!$B30="","",Hasil!T30)</f>
        <v/>
      </c>
      <c r="L40" s="39" t="str">
        <f>IF(Hasil!$B30="","",Hasil!$V30)</f>
        <v>Lengkapi 12 Self Estimate</v>
      </c>
      <c r="M40" s="69" t="str">
        <f>IF(Hasil!$B30="","",Hasil!$AU30)</f>
        <v/>
      </c>
      <c r="N40" s="69" t="str">
        <f>IF(Hasil!$B30="","",Hasil!$AV30)</f>
        <v/>
      </c>
    </row>
    <row r="41" spans="1:14">
      <c r="A41" s="38">
        <f>IF(Hasil!$B31="","",Hasil!A31)</f>
        <v>27</v>
      </c>
      <c r="B41" t="str">
        <f>IF(Hasil!$B31="","",Hasil!B31)</f>
        <v>22027</v>
      </c>
      <c r="C41" t="str">
        <f>IF(Hasil!$B31="","",Hasil!C31)</f>
        <v>Sofiyani</v>
      </c>
      <c r="D41" t="str">
        <f>IF(Hasil!$B31="","",Hasil!D31)</f>
        <v>L</v>
      </c>
      <c r="E41" s="69">
        <f>IF(Hasil!$B31="","",Hasil!E31)</f>
        <v>0</v>
      </c>
      <c r="F41" s="69">
        <f>IF(Hasil!$B31="","",Hasil!F31)</f>
        <v>0</v>
      </c>
      <c r="G41" s="69">
        <f>IF(Hasil!$B31="","",Hasil!G31)</f>
        <v>0</v>
      </c>
      <c r="H41" s="69">
        <f>IF(Hasil!$B31="","",Hasil!H31)</f>
        <v>0</v>
      </c>
      <c r="I41" s="69">
        <f>IF(Hasil!$B31="","",Hasil!I31)</f>
        <v>0</v>
      </c>
      <c r="J41" s="69">
        <f>IF(Hasil!$B31="","",Hasil!J31)</f>
        <v>0</v>
      </c>
      <c r="K41" s="81" t="str">
        <f>IF(Hasil!$B31="","",Hasil!T31)</f>
        <v/>
      </c>
      <c r="L41" s="39" t="str">
        <f>IF(Hasil!$B31="","",Hasil!$V31)</f>
        <v>Lengkapi 12 Self Estimate</v>
      </c>
      <c r="M41" s="69" t="str">
        <f>IF(Hasil!$B31="","",Hasil!$AU31)</f>
        <v/>
      </c>
      <c r="N41" s="69" t="str">
        <f>IF(Hasil!$B31="","",Hasil!$AV31)</f>
        <v/>
      </c>
    </row>
    <row r="42" spans="1:14">
      <c r="A42" s="38">
        <f>IF(Hasil!$B32="","",Hasil!A32)</f>
        <v>28</v>
      </c>
      <c r="B42" t="str">
        <f>IF(Hasil!$B32="","",Hasil!B32)</f>
        <v>22028</v>
      </c>
      <c r="C42" t="str">
        <f>IF(Hasil!$B32="","",Hasil!C32)</f>
        <v>Alfarisi Akbar Efendi</v>
      </c>
      <c r="D42" t="str">
        <f>IF(Hasil!$B32="","",Hasil!D32)</f>
        <v>L</v>
      </c>
      <c r="E42" s="69">
        <f>IF(Hasil!$B32="","",Hasil!E32)</f>
        <v>0</v>
      </c>
      <c r="F42" s="69">
        <f>IF(Hasil!$B32="","",Hasil!F32)</f>
        <v>0</v>
      </c>
      <c r="G42" s="69">
        <f>IF(Hasil!$B32="","",Hasil!G32)</f>
        <v>0</v>
      </c>
      <c r="H42" s="69">
        <f>IF(Hasil!$B32="","",Hasil!H32)</f>
        <v>0</v>
      </c>
      <c r="I42" s="69">
        <f>IF(Hasil!$B32="","",Hasil!I32)</f>
        <v>0</v>
      </c>
      <c r="J42" s="69">
        <f>IF(Hasil!$B32="","",Hasil!J32)</f>
        <v>0</v>
      </c>
      <c r="K42" s="81" t="str">
        <f>IF(Hasil!$B32="","",Hasil!T32)</f>
        <v/>
      </c>
      <c r="L42" s="39" t="str">
        <f>IF(Hasil!$B32="","",Hasil!$V32)</f>
        <v>Lengkapi 12 Self Estimate</v>
      </c>
      <c r="M42" s="69" t="str">
        <f>IF(Hasil!$B32="","",Hasil!$AU32)</f>
        <v/>
      </c>
      <c r="N42" s="69" t="str">
        <f>IF(Hasil!$B32="","",Hasil!$AV32)</f>
        <v/>
      </c>
    </row>
    <row r="43" spans="1:14">
      <c r="A43" s="38">
        <f>IF(Hasil!$B33="","",Hasil!A33)</f>
        <v>29</v>
      </c>
      <c r="B43" t="str">
        <f>IF(Hasil!$B33="","",Hasil!B33)</f>
        <v>22029</v>
      </c>
      <c r="C43" t="str">
        <f>IF(Hasil!$B33="","",Hasil!C33)</f>
        <v>Untung Pambudhi Aji</v>
      </c>
      <c r="D43" t="str">
        <f>IF(Hasil!$B33="","",Hasil!D33)</f>
        <v>L</v>
      </c>
      <c r="E43" s="69">
        <f>IF(Hasil!$B33="","",Hasil!E33)</f>
        <v>0</v>
      </c>
      <c r="F43" s="69">
        <f>IF(Hasil!$B33="","",Hasil!F33)</f>
        <v>0</v>
      </c>
      <c r="G43" s="69">
        <f>IF(Hasil!$B33="","",Hasil!G33)</f>
        <v>0</v>
      </c>
      <c r="H43" s="69">
        <f>IF(Hasil!$B33="","",Hasil!H33)</f>
        <v>0</v>
      </c>
      <c r="I43" s="69">
        <f>IF(Hasil!$B33="","",Hasil!I33)</f>
        <v>0</v>
      </c>
      <c r="J43" s="69">
        <f>IF(Hasil!$B33="","",Hasil!J33)</f>
        <v>0</v>
      </c>
      <c r="K43" s="81" t="str">
        <f>IF(Hasil!$B33="","",Hasil!T33)</f>
        <v/>
      </c>
      <c r="L43" s="39" t="str">
        <f>IF(Hasil!$B33="","",Hasil!$V33)</f>
        <v>Lengkapi 12 Self Estimate</v>
      </c>
      <c r="M43" s="69" t="str">
        <f>IF(Hasil!$B33="","",Hasil!$AU33)</f>
        <v/>
      </c>
      <c r="N43" s="69" t="str">
        <f>IF(Hasil!$B33="","",Hasil!$AV33)</f>
        <v/>
      </c>
    </row>
    <row r="44" spans="1:14">
      <c r="A44" s="38">
        <f>IF(Hasil!$B34="","",Hasil!A34)</f>
        <v>30</v>
      </c>
      <c r="B44" t="str">
        <f>IF(Hasil!$B34="","",Hasil!B34)</f>
        <v>22030</v>
      </c>
      <c r="C44" t="str">
        <f>IF(Hasil!$B34="","",Hasil!C34)</f>
        <v>Usriyah</v>
      </c>
      <c r="D44" t="str">
        <f>IF(Hasil!$B34="","",Hasil!D34)</f>
        <v>L</v>
      </c>
      <c r="E44" s="69">
        <f>IF(Hasil!$B34="","",Hasil!E34)</f>
        <v>0</v>
      </c>
      <c r="F44" s="69">
        <f>IF(Hasil!$B34="","",Hasil!F34)</f>
        <v>0</v>
      </c>
      <c r="G44" s="69">
        <f>IF(Hasil!$B34="","",Hasil!G34)</f>
        <v>0</v>
      </c>
      <c r="H44" s="69">
        <f>IF(Hasil!$B34="","",Hasil!H34)</f>
        <v>0</v>
      </c>
      <c r="I44" s="69">
        <f>IF(Hasil!$B34="","",Hasil!I34)</f>
        <v>0</v>
      </c>
      <c r="J44" s="69">
        <f>IF(Hasil!$B34="","",Hasil!J34)</f>
        <v>0</v>
      </c>
      <c r="K44" s="81" t="str">
        <f>IF(Hasil!$B34="","",Hasil!T34)</f>
        <v/>
      </c>
      <c r="L44" s="39" t="str">
        <f>IF(Hasil!$B34="","",Hasil!$V34)</f>
        <v>Lengkapi 12 Self Estimate</v>
      </c>
      <c r="M44" s="69" t="str">
        <f>IF(Hasil!$B34="","",Hasil!$AU34)</f>
        <v/>
      </c>
      <c r="N44" s="69" t="str">
        <f>IF(Hasil!$B34="","",Hasil!$AV34)</f>
        <v/>
      </c>
    </row>
    <row r="45" spans="1:14">
      <c r="A45" s="38">
        <f>IF(Hasil!$B35="","",Hasil!A35)</f>
        <v>31</v>
      </c>
      <c r="B45" t="str">
        <f>IF(Hasil!$B35="","",Hasil!B35)</f>
        <v>22031</v>
      </c>
      <c r="C45" t="str">
        <f>IF(Hasil!$B35="","",Hasil!C35)</f>
        <v>Vivit Al Hidayah</v>
      </c>
      <c r="D45" t="str">
        <f>IF(Hasil!$B35="","",Hasil!D35)</f>
        <v>L</v>
      </c>
      <c r="E45" s="69">
        <f>IF(Hasil!$B35="","",Hasil!E35)</f>
        <v>0</v>
      </c>
      <c r="F45" s="69">
        <f>IF(Hasil!$B35="","",Hasil!F35)</f>
        <v>0</v>
      </c>
      <c r="G45" s="69">
        <f>IF(Hasil!$B35="","",Hasil!G35)</f>
        <v>0</v>
      </c>
      <c r="H45" s="69">
        <f>IF(Hasil!$B35="","",Hasil!H35)</f>
        <v>0</v>
      </c>
      <c r="I45" s="69">
        <f>IF(Hasil!$B35="","",Hasil!I35)</f>
        <v>0</v>
      </c>
      <c r="J45" s="69">
        <f>IF(Hasil!$B35="","",Hasil!J35)</f>
        <v>0</v>
      </c>
      <c r="K45" s="81" t="str">
        <f>IF(Hasil!$B35="","",Hasil!T35)</f>
        <v/>
      </c>
      <c r="L45" s="39" t="str">
        <f>IF(Hasil!$B35="","",Hasil!$V35)</f>
        <v>Lengkapi 12 Self Estimate</v>
      </c>
      <c r="M45" s="69" t="str">
        <f>IF(Hasil!$B35="","",Hasil!$AU35)</f>
        <v/>
      </c>
      <c r="N45" s="69" t="str">
        <f>IF(Hasil!$B35="","",Hasil!$AV35)</f>
        <v/>
      </c>
    </row>
    <row r="46" spans="1:14">
      <c r="A46" s="38">
        <f>IF(Hasil!$B36="","",Hasil!A36)</f>
        <v>32</v>
      </c>
      <c r="B46" t="str">
        <f>IF(Hasil!$B36="","",Hasil!B36)</f>
        <v>22032</v>
      </c>
      <c r="C46" t="str">
        <f>IF(Hasil!$B36="","",Hasil!C36)</f>
        <v>Siti Fatonah</v>
      </c>
      <c r="D46" t="str">
        <f>IF(Hasil!$B36="","",Hasil!D36)</f>
        <v>L</v>
      </c>
      <c r="E46" s="69">
        <f>IF(Hasil!$B36="","",Hasil!E36)</f>
        <v>0</v>
      </c>
      <c r="F46" s="69">
        <f>IF(Hasil!$B36="","",Hasil!F36)</f>
        <v>0</v>
      </c>
      <c r="G46" s="69">
        <f>IF(Hasil!$B36="","",Hasil!G36)</f>
        <v>0</v>
      </c>
      <c r="H46" s="69">
        <f>IF(Hasil!$B36="","",Hasil!H36)</f>
        <v>0</v>
      </c>
      <c r="I46" s="69">
        <f>IF(Hasil!$B36="","",Hasil!I36)</f>
        <v>0</v>
      </c>
      <c r="J46" s="69">
        <f>IF(Hasil!$B36="","",Hasil!J36)</f>
        <v>0</v>
      </c>
      <c r="K46" s="81" t="str">
        <f>IF(Hasil!$B36="","",Hasil!T36)</f>
        <v/>
      </c>
      <c r="L46" s="39" t="str">
        <f>IF(Hasil!$B36="","",Hasil!$V36)</f>
        <v>Lengkapi 12 Self Estimate</v>
      </c>
      <c r="M46" s="69" t="str">
        <f>IF(Hasil!$B36="","",Hasil!$AU36)</f>
        <v/>
      </c>
      <c r="N46" s="69" t="str">
        <f>IF(Hasil!$B36="","",Hasil!$AV36)</f>
        <v/>
      </c>
    </row>
    <row r="47" spans="1:14">
      <c r="A47" s="38">
        <f>IF(Hasil!$B37="","",Hasil!A37)</f>
        <v>33</v>
      </c>
      <c r="B47" t="str">
        <f>IF(Hasil!$B37="","",Hasil!B37)</f>
        <v>22033</v>
      </c>
      <c r="C47" t="str">
        <f>IF(Hasil!$B37="","",Hasil!C37)</f>
        <v>Susanti</v>
      </c>
      <c r="D47" t="str">
        <f>IF(Hasil!$B37="","",Hasil!D37)</f>
        <v>L</v>
      </c>
      <c r="E47" s="69">
        <f>IF(Hasil!$B37="","",Hasil!E37)</f>
        <v>0</v>
      </c>
      <c r="F47" s="69">
        <f>IF(Hasil!$B37="","",Hasil!F37)</f>
        <v>0</v>
      </c>
      <c r="G47" s="69">
        <f>IF(Hasil!$B37="","",Hasil!G37)</f>
        <v>0</v>
      </c>
      <c r="H47" s="69">
        <f>IF(Hasil!$B37="","",Hasil!H37)</f>
        <v>0</v>
      </c>
      <c r="I47" s="69">
        <f>IF(Hasil!$B37="","",Hasil!I37)</f>
        <v>0</v>
      </c>
      <c r="J47" s="69">
        <f>IF(Hasil!$B37="","",Hasil!J37)</f>
        <v>0</v>
      </c>
      <c r="K47" s="81" t="str">
        <f>IF(Hasil!$B37="","",Hasil!T37)</f>
        <v/>
      </c>
      <c r="L47" s="39" t="str">
        <f>IF(Hasil!$B37="","",Hasil!$V37)</f>
        <v>Lengkapi 12 Self Estimate</v>
      </c>
      <c r="M47" s="69" t="str">
        <f>IF(Hasil!$B37="","",Hasil!$AU37)</f>
        <v/>
      </c>
      <c r="N47" s="69" t="str">
        <f>IF(Hasil!$B37="","",Hasil!$AV37)</f>
        <v/>
      </c>
    </row>
    <row r="48" spans="1:14">
      <c r="A48" s="38">
        <f>IF(Hasil!$B38="","",Hasil!A38)</f>
        <v>34</v>
      </c>
      <c r="B48" t="str">
        <f>IF(Hasil!$B38="","",Hasil!B38)</f>
        <v>22034</v>
      </c>
      <c r="C48" t="str">
        <f>IF(Hasil!$B38="","",Hasil!C38)</f>
        <v>Tri Widyaningrum</v>
      </c>
      <c r="D48" t="str">
        <f>IF(Hasil!$B38="","",Hasil!D38)</f>
        <v>L</v>
      </c>
      <c r="E48" s="69">
        <f>IF(Hasil!$B38="","",Hasil!E38)</f>
        <v>0</v>
      </c>
      <c r="F48" s="69">
        <f>IF(Hasil!$B38="","",Hasil!F38)</f>
        <v>0</v>
      </c>
      <c r="G48" s="69">
        <f>IF(Hasil!$B38="","",Hasil!G38)</f>
        <v>0</v>
      </c>
      <c r="H48" s="69">
        <f>IF(Hasil!$B38="","",Hasil!H38)</f>
        <v>0</v>
      </c>
      <c r="I48" s="69">
        <f>IF(Hasil!$B38="","",Hasil!I38)</f>
        <v>0</v>
      </c>
      <c r="J48" s="69">
        <f>IF(Hasil!$B38="","",Hasil!J38)</f>
        <v>0</v>
      </c>
      <c r="K48" s="81" t="str">
        <f>IF(Hasil!$B38="","",Hasil!T38)</f>
        <v/>
      </c>
      <c r="L48" s="39" t="str">
        <f>IF(Hasil!$B38="","",Hasil!$V38)</f>
        <v>Lengkapi 12 Self Estimate</v>
      </c>
      <c r="M48" s="69" t="str">
        <f>IF(Hasil!$B38="","",Hasil!$AU38)</f>
        <v/>
      </c>
      <c r="N48" s="69" t="str">
        <f>IF(Hasil!$B38="","",Hasil!$AV38)</f>
        <v/>
      </c>
    </row>
    <row r="49" spans="1:14">
      <c r="A49" s="38">
        <f>IF(Hasil!$B39="","",Hasil!A39)</f>
        <v>35</v>
      </c>
      <c r="B49" t="str">
        <f>IF(Hasil!$B39="","",Hasil!B39)</f>
        <v>22035</v>
      </c>
      <c r="C49" t="str">
        <f>IF(Hasil!$B39="","",Hasil!C39)</f>
        <v>Udi Ismoyo</v>
      </c>
      <c r="D49" t="str">
        <f>IF(Hasil!$B39="","",Hasil!D39)</f>
        <v>L</v>
      </c>
      <c r="E49" s="69">
        <f>IF(Hasil!$B39="","",Hasil!E39)</f>
        <v>0</v>
      </c>
      <c r="F49" s="69">
        <f>IF(Hasil!$B39="","",Hasil!F39)</f>
        <v>0</v>
      </c>
      <c r="G49" s="69">
        <f>IF(Hasil!$B39="","",Hasil!G39)</f>
        <v>0</v>
      </c>
      <c r="H49" s="69">
        <f>IF(Hasil!$B39="","",Hasil!H39)</f>
        <v>0</v>
      </c>
      <c r="I49" s="69">
        <f>IF(Hasil!$B39="","",Hasil!I39)</f>
        <v>0</v>
      </c>
      <c r="J49" s="69">
        <f>IF(Hasil!$B39="","",Hasil!J39)</f>
        <v>0</v>
      </c>
      <c r="K49" s="81" t="str">
        <f>IF(Hasil!$B39="","",Hasil!T39)</f>
        <v/>
      </c>
      <c r="L49" s="39" t="str">
        <f>IF(Hasil!$B39="","",Hasil!$V39)</f>
        <v>Lengkapi 12 Self Estimate</v>
      </c>
      <c r="M49" s="69" t="str">
        <f>IF(Hasil!$B39="","",Hasil!$AU39)</f>
        <v/>
      </c>
      <c r="N49" s="69" t="str">
        <f>IF(Hasil!$B39="","",Hasil!$AV39)</f>
        <v/>
      </c>
    </row>
    <row r="50" spans="1:14">
      <c r="A50" s="38">
        <f>IF(Hasil!$B40="","",Hasil!A40)</f>
        <v>36</v>
      </c>
      <c r="B50" t="str">
        <f>IF(Hasil!$B40="","",Hasil!B40)</f>
        <v>22036</v>
      </c>
      <c r="C50" t="str">
        <f>IF(Hasil!$B40="","",Hasil!C40)</f>
        <v>Vijay Soemantri</v>
      </c>
      <c r="D50" t="str">
        <f>IF(Hasil!$B40="","",Hasil!D40)</f>
        <v>L</v>
      </c>
      <c r="E50" s="69">
        <f>IF(Hasil!$B40="","",Hasil!E40)</f>
        <v>0</v>
      </c>
      <c r="F50" s="69">
        <f>IF(Hasil!$B40="","",Hasil!F40)</f>
        <v>0</v>
      </c>
      <c r="G50" s="69">
        <f>IF(Hasil!$B40="","",Hasil!G40)</f>
        <v>0</v>
      </c>
      <c r="H50" s="69">
        <f>IF(Hasil!$B40="","",Hasil!H40)</f>
        <v>0</v>
      </c>
      <c r="I50" s="69">
        <f>IF(Hasil!$B40="","",Hasil!I40)</f>
        <v>0</v>
      </c>
      <c r="J50" s="69">
        <f>IF(Hasil!$B40="","",Hasil!J40)</f>
        <v>0</v>
      </c>
      <c r="K50" s="81" t="str">
        <f>IF(Hasil!$B40="","",Hasil!T40)</f>
        <v/>
      </c>
      <c r="L50" s="39" t="str">
        <f>IF(Hasil!$B40="","",Hasil!$V40)</f>
        <v>Lengkapi 12 Self Estimate</v>
      </c>
      <c r="M50" s="69" t="str">
        <f>IF(Hasil!$B40="","",Hasil!$AU40)</f>
        <v/>
      </c>
      <c r="N50" s="69" t="str">
        <f>IF(Hasil!$B40="","",Hasil!$AV40)</f>
        <v/>
      </c>
    </row>
    <row r="51" spans="1:14">
      <c r="A51" s="38">
        <f>IF(Hasil!$B41="","",Hasil!A41)</f>
        <v>37</v>
      </c>
      <c r="B51" t="str">
        <f>IF(Hasil!$B41="","",Hasil!B41)</f>
        <v>22037</v>
      </c>
      <c r="C51" t="str">
        <f>IF(Hasil!$B41="","",Hasil!C41)</f>
        <v>Yuli Aji Yakup</v>
      </c>
      <c r="D51" t="str">
        <f>IF(Hasil!$B41="","",Hasil!D41)</f>
        <v>L</v>
      </c>
      <c r="E51" s="69">
        <f>IF(Hasil!$B41="","",Hasil!E41)</f>
        <v>0</v>
      </c>
      <c r="F51" s="69">
        <f>IF(Hasil!$B41="","",Hasil!F41)</f>
        <v>0</v>
      </c>
      <c r="G51" s="69">
        <f>IF(Hasil!$B41="","",Hasil!G41)</f>
        <v>0</v>
      </c>
      <c r="H51" s="69">
        <f>IF(Hasil!$B41="","",Hasil!H41)</f>
        <v>0</v>
      </c>
      <c r="I51" s="69">
        <f>IF(Hasil!$B41="","",Hasil!I41)</f>
        <v>0</v>
      </c>
      <c r="J51" s="69">
        <f>IF(Hasil!$B41="","",Hasil!J41)</f>
        <v>0</v>
      </c>
      <c r="K51" s="81" t="str">
        <f>IF(Hasil!$B41="","",Hasil!T41)</f>
        <v/>
      </c>
      <c r="L51" s="39" t="str">
        <f>IF(Hasil!$B41="","",Hasil!$V41)</f>
        <v>Lengkapi 12 Self Estimate</v>
      </c>
      <c r="M51" s="69" t="str">
        <f>IF(Hasil!$B41="","",Hasil!$AU41)</f>
        <v/>
      </c>
      <c r="N51" s="69" t="str">
        <f>IF(Hasil!$B41="","",Hasil!$AV41)</f>
        <v/>
      </c>
    </row>
    <row r="52" spans="1:14">
      <c r="A52" s="38" t="str">
        <f>IF(Hasil!$B42="","",Hasil!A42)</f>
        <v/>
      </c>
      <c r="B52" t="str">
        <f>IF(Hasil!$B42="","",Hasil!B42)</f>
        <v/>
      </c>
      <c r="C52" t="str">
        <f>IF(Hasil!$B42="","",Hasil!C42)</f>
        <v/>
      </c>
      <c r="D52" t="str">
        <f>IF(Hasil!$B42="","",Hasil!D42)</f>
        <v/>
      </c>
      <c r="E52" s="69" t="str">
        <f>IF(Hasil!$B42="","",Hasil!E42)</f>
        <v/>
      </c>
      <c r="F52" s="69" t="str">
        <f>IF(Hasil!$B42="","",Hasil!F42)</f>
        <v/>
      </c>
      <c r="G52" s="69" t="str">
        <f>IF(Hasil!$B42="","",Hasil!G42)</f>
        <v/>
      </c>
      <c r="H52" s="69" t="str">
        <f>IF(Hasil!$B42="","",Hasil!H42)</f>
        <v/>
      </c>
      <c r="I52" s="69" t="str">
        <f>IF(Hasil!$B42="","",Hasil!I42)</f>
        <v/>
      </c>
      <c r="J52" s="69" t="str">
        <f>IF(Hasil!$B42="","",Hasil!J42)</f>
        <v/>
      </c>
      <c r="K52" s="81" t="str">
        <f>IF(Hasil!$B42="","",Hasil!T42)</f>
        <v/>
      </c>
      <c r="L52" s="39" t="str">
        <f>IF(Hasil!$B42="","",Hasil!$V42)</f>
        <v/>
      </c>
      <c r="M52" s="69" t="str">
        <f>IF(Hasil!$B42="","",Hasil!$AU42)</f>
        <v/>
      </c>
      <c r="N52" s="69" t="str">
        <f>IF(Hasil!$B42="","",Hasil!$AV42)</f>
        <v/>
      </c>
    </row>
    <row r="53" spans="1:14">
      <c r="A53" s="38" t="str">
        <f>IF(Hasil!$B43="","",Hasil!A43)</f>
        <v/>
      </c>
      <c r="B53" t="str">
        <f>IF(Hasil!$B43="","",Hasil!B43)</f>
        <v/>
      </c>
      <c r="C53" t="str">
        <f>IF(Hasil!$B43="","",Hasil!C43)</f>
        <v/>
      </c>
      <c r="D53" t="str">
        <f>IF(Hasil!$B43="","",Hasil!D43)</f>
        <v/>
      </c>
      <c r="E53" s="69" t="str">
        <f>IF(Hasil!$B43="","",Hasil!E43)</f>
        <v/>
      </c>
      <c r="F53" s="69" t="str">
        <f>IF(Hasil!$B43="","",Hasil!F43)</f>
        <v/>
      </c>
      <c r="G53" s="69" t="str">
        <f>IF(Hasil!$B43="","",Hasil!G43)</f>
        <v/>
      </c>
      <c r="H53" s="69" t="str">
        <f>IF(Hasil!$B43="","",Hasil!H43)</f>
        <v/>
      </c>
      <c r="I53" s="69" t="str">
        <f>IF(Hasil!$B43="","",Hasil!I43)</f>
        <v/>
      </c>
      <c r="J53" s="69" t="str">
        <f>IF(Hasil!$B43="","",Hasil!J43)</f>
        <v/>
      </c>
      <c r="K53" s="81" t="str">
        <f>IF(Hasil!$B43="","",Hasil!T43)</f>
        <v/>
      </c>
      <c r="L53" s="39" t="str">
        <f>IF(Hasil!$B43="","",Hasil!$V43)</f>
        <v/>
      </c>
      <c r="M53" s="69" t="str">
        <f>IF(Hasil!$B43="","",Hasil!$AU43)</f>
        <v/>
      </c>
      <c r="N53" s="69" t="str">
        <f>IF(Hasil!$B43="","",Hasil!$AV43)</f>
        <v/>
      </c>
    </row>
    <row r="54" spans="1:14">
      <c r="A54" s="38" t="str">
        <f>IF(Hasil!$B44="","",Hasil!A44)</f>
        <v/>
      </c>
      <c r="B54" t="str">
        <f>IF(Hasil!$B44="","",Hasil!B44)</f>
        <v/>
      </c>
      <c r="C54" t="str">
        <f>IF(Hasil!$B44="","",Hasil!C44)</f>
        <v/>
      </c>
      <c r="D54" t="str">
        <f>IF(Hasil!$B44="","",Hasil!D44)</f>
        <v/>
      </c>
      <c r="E54" s="69" t="str">
        <f>IF(Hasil!$B44="","",Hasil!E44)</f>
        <v/>
      </c>
      <c r="F54" s="69" t="str">
        <f>IF(Hasil!$B44="","",Hasil!F44)</f>
        <v/>
      </c>
      <c r="G54" s="69" t="str">
        <f>IF(Hasil!$B44="","",Hasil!G44)</f>
        <v/>
      </c>
      <c r="H54" s="69" t="str">
        <f>IF(Hasil!$B44="","",Hasil!H44)</f>
        <v/>
      </c>
      <c r="I54" s="69" t="str">
        <f>IF(Hasil!$B44="","",Hasil!I44)</f>
        <v/>
      </c>
      <c r="J54" s="69" t="str">
        <f>IF(Hasil!$B44="","",Hasil!J44)</f>
        <v/>
      </c>
      <c r="K54" s="81" t="str">
        <f>IF(Hasil!$B44="","",Hasil!T44)</f>
        <v/>
      </c>
      <c r="L54" s="39" t="str">
        <f>IF(Hasil!$B44="","",Hasil!$V44)</f>
        <v/>
      </c>
      <c r="M54" s="69" t="str">
        <f>IF(Hasil!$B44="","",Hasil!$AU44)</f>
        <v/>
      </c>
      <c r="N54" s="69" t="str">
        <f>IF(Hasil!$B44="","",Hasil!$AV44)</f>
        <v/>
      </c>
    </row>
    <row r="55" spans="1:14">
      <c r="A55" s="38" t="str">
        <f>IF(Hasil!$B45="","",Hasil!A45)</f>
        <v/>
      </c>
      <c r="B55" t="str">
        <f>IF(Hasil!$B45="","",Hasil!B45)</f>
        <v/>
      </c>
      <c r="C55" t="str">
        <f>IF(Hasil!$B45="","",Hasil!C45)</f>
        <v/>
      </c>
      <c r="D55" t="str">
        <f>IF(Hasil!$B45="","",Hasil!D45)</f>
        <v/>
      </c>
      <c r="E55" s="69" t="str">
        <f>IF(Hasil!$B45="","",Hasil!E45)</f>
        <v/>
      </c>
      <c r="F55" s="69" t="str">
        <f>IF(Hasil!$B45="","",Hasil!F45)</f>
        <v/>
      </c>
      <c r="G55" s="69" t="str">
        <f>IF(Hasil!$B45="","",Hasil!G45)</f>
        <v/>
      </c>
      <c r="H55" s="69" t="str">
        <f>IF(Hasil!$B45="","",Hasil!H45)</f>
        <v/>
      </c>
      <c r="I55" s="69" t="str">
        <f>IF(Hasil!$B45="","",Hasil!I45)</f>
        <v/>
      </c>
      <c r="J55" s="69" t="str">
        <f>IF(Hasil!$B45="","",Hasil!J45)</f>
        <v/>
      </c>
      <c r="K55" s="81" t="str">
        <f>IF(Hasil!$B45="","",Hasil!T45)</f>
        <v/>
      </c>
      <c r="L55" s="39" t="str">
        <f>IF(Hasil!$B45="","",Hasil!$V45)</f>
        <v/>
      </c>
      <c r="M55" s="69" t="str">
        <f>IF(Hasil!$B45="","",Hasil!$AU45)</f>
        <v/>
      </c>
      <c r="N55" s="69" t="str">
        <f>IF(Hasil!$B45="","",Hasil!$AV45)</f>
        <v/>
      </c>
    </row>
    <row r="56" spans="1:14">
      <c r="A56" s="38" t="str">
        <f>IF(Hasil!$B46="","",Hasil!A46)</f>
        <v/>
      </c>
      <c r="B56" t="str">
        <f>IF(Hasil!$B46="","",Hasil!B46)</f>
        <v/>
      </c>
      <c r="C56" t="str">
        <f>IF(Hasil!$B46="","",Hasil!C46)</f>
        <v/>
      </c>
      <c r="D56" t="str">
        <f>IF(Hasil!$B46="","",Hasil!D46)</f>
        <v/>
      </c>
      <c r="E56" s="69" t="str">
        <f>IF(Hasil!$B46="","",Hasil!E46)</f>
        <v/>
      </c>
      <c r="F56" s="69" t="str">
        <f>IF(Hasil!$B46="","",Hasil!F46)</f>
        <v/>
      </c>
      <c r="G56" s="69" t="str">
        <f>IF(Hasil!$B46="","",Hasil!G46)</f>
        <v/>
      </c>
      <c r="H56" s="69" t="str">
        <f>IF(Hasil!$B46="","",Hasil!H46)</f>
        <v/>
      </c>
      <c r="I56" s="69" t="str">
        <f>IF(Hasil!$B46="","",Hasil!I46)</f>
        <v/>
      </c>
      <c r="J56" s="69" t="str">
        <f>IF(Hasil!$B46="","",Hasil!J46)</f>
        <v/>
      </c>
      <c r="K56" s="81" t="str">
        <f>IF(Hasil!$B46="","",Hasil!T46)</f>
        <v/>
      </c>
      <c r="L56" s="39" t="str">
        <f>IF(Hasil!$B46="","",Hasil!$V46)</f>
        <v/>
      </c>
      <c r="M56" s="69" t="str">
        <f>IF(Hasil!$B46="","",Hasil!$AU46)</f>
        <v/>
      </c>
      <c r="N56" s="69" t="str">
        <f>IF(Hasil!$B46="","",Hasil!$AV46)</f>
        <v/>
      </c>
    </row>
    <row r="57" spans="1:14">
      <c r="A57" s="38" t="str">
        <f>IF(Hasil!$B47="","",Hasil!A47)</f>
        <v/>
      </c>
      <c r="B57" t="str">
        <f>IF(Hasil!$B47="","",Hasil!B47)</f>
        <v/>
      </c>
      <c r="C57" t="str">
        <f>IF(Hasil!$B47="","",Hasil!C47)</f>
        <v/>
      </c>
      <c r="D57" t="str">
        <f>IF(Hasil!$B47="","",Hasil!D47)</f>
        <v/>
      </c>
      <c r="E57" s="69" t="str">
        <f>IF(Hasil!$B47="","",Hasil!E47)</f>
        <v/>
      </c>
      <c r="F57" s="69" t="str">
        <f>IF(Hasil!$B47="","",Hasil!F47)</f>
        <v/>
      </c>
      <c r="G57" s="69" t="str">
        <f>IF(Hasil!$B47="","",Hasil!G47)</f>
        <v/>
      </c>
      <c r="H57" s="69" t="str">
        <f>IF(Hasil!$B47="","",Hasil!H47)</f>
        <v/>
      </c>
      <c r="I57" s="69" t="str">
        <f>IF(Hasil!$B47="","",Hasil!I47)</f>
        <v/>
      </c>
      <c r="J57" s="69" t="str">
        <f>IF(Hasil!$B47="","",Hasil!J47)</f>
        <v/>
      </c>
      <c r="K57" s="81" t="str">
        <f>IF(Hasil!$B47="","",Hasil!T47)</f>
        <v/>
      </c>
      <c r="L57" s="39" t="str">
        <f>IF(Hasil!$B47="","",Hasil!$V47)</f>
        <v/>
      </c>
      <c r="M57" s="69" t="str">
        <f>IF(Hasil!$B47="","",Hasil!$AU47)</f>
        <v/>
      </c>
      <c r="N57" s="69" t="str">
        <f>IF(Hasil!$B47="","",Hasil!$AV47)</f>
        <v/>
      </c>
    </row>
    <row r="58" spans="1:14">
      <c r="A58" s="38" t="str">
        <f>IF(Hasil!$B48="","",Hasil!A48)</f>
        <v/>
      </c>
      <c r="B58" t="str">
        <f>IF(Hasil!$B48="","",Hasil!B48)</f>
        <v/>
      </c>
      <c r="C58" t="str">
        <f>IF(Hasil!$B48="","",Hasil!C48)</f>
        <v/>
      </c>
      <c r="D58" t="str">
        <f>IF(Hasil!$B48="","",Hasil!D48)</f>
        <v/>
      </c>
      <c r="E58" s="69" t="str">
        <f>IF(Hasil!$B48="","",Hasil!E48)</f>
        <v/>
      </c>
      <c r="F58" s="69" t="str">
        <f>IF(Hasil!$B48="","",Hasil!F48)</f>
        <v/>
      </c>
      <c r="G58" s="69" t="str">
        <f>IF(Hasil!$B48="","",Hasil!G48)</f>
        <v/>
      </c>
      <c r="H58" s="69" t="str">
        <f>IF(Hasil!$B48="","",Hasil!H48)</f>
        <v/>
      </c>
      <c r="I58" s="69" t="str">
        <f>IF(Hasil!$B48="","",Hasil!I48)</f>
        <v/>
      </c>
      <c r="J58" s="69" t="str">
        <f>IF(Hasil!$B48="","",Hasil!J48)</f>
        <v/>
      </c>
      <c r="K58" s="81" t="str">
        <f>IF(Hasil!$B48="","",Hasil!T48)</f>
        <v/>
      </c>
      <c r="L58" s="39" t="str">
        <f>IF(Hasil!$B48="","",Hasil!$V48)</f>
        <v/>
      </c>
      <c r="M58" s="69" t="str">
        <f>IF(Hasil!$B48="","",Hasil!$AU48)</f>
        <v/>
      </c>
      <c r="N58" s="69" t="str">
        <f>IF(Hasil!$B48="","",Hasil!$AV48)</f>
        <v/>
      </c>
    </row>
    <row r="59" spans="1:14">
      <c r="A59" s="38" t="str">
        <f>IF(Hasil!$B49="","",Hasil!A49)</f>
        <v/>
      </c>
      <c r="B59" t="str">
        <f>IF(Hasil!$B49="","",Hasil!B49)</f>
        <v/>
      </c>
      <c r="C59" t="str">
        <f>IF(Hasil!$B49="","",Hasil!C49)</f>
        <v/>
      </c>
      <c r="D59" t="str">
        <f>IF(Hasil!$B49="","",Hasil!D49)</f>
        <v/>
      </c>
      <c r="E59" s="69" t="str">
        <f>IF(Hasil!$B49="","",Hasil!E49)</f>
        <v/>
      </c>
      <c r="F59" s="69" t="str">
        <f>IF(Hasil!$B49="","",Hasil!F49)</f>
        <v/>
      </c>
      <c r="G59" s="69" t="str">
        <f>IF(Hasil!$B49="","",Hasil!G49)</f>
        <v/>
      </c>
      <c r="H59" s="69" t="str">
        <f>IF(Hasil!$B49="","",Hasil!H49)</f>
        <v/>
      </c>
      <c r="I59" s="69" t="str">
        <f>IF(Hasil!$B49="","",Hasil!I49)</f>
        <v/>
      </c>
      <c r="J59" s="69" t="str">
        <f>IF(Hasil!$B49="","",Hasil!J49)</f>
        <v/>
      </c>
      <c r="K59" s="81" t="str">
        <f>IF(Hasil!$B49="","",Hasil!T49)</f>
        <v/>
      </c>
      <c r="L59" s="39" t="str">
        <f>IF(Hasil!$B49="","",Hasil!$V49)</f>
        <v/>
      </c>
      <c r="M59" s="69" t="str">
        <f>IF(Hasil!$B49="","",Hasil!$AU49)</f>
        <v/>
      </c>
      <c r="N59" s="69" t="str">
        <f>IF(Hasil!$B49="","",Hasil!$AV49)</f>
        <v/>
      </c>
    </row>
    <row r="60" spans="1:14">
      <c r="A60" s="38" t="str">
        <f>IF(Hasil!$B50="","",Hasil!A50)</f>
        <v/>
      </c>
      <c r="B60" t="str">
        <f>IF(Hasil!$B50="","",Hasil!B50)</f>
        <v/>
      </c>
      <c r="C60" t="str">
        <f>IF(Hasil!$B50="","",Hasil!C50)</f>
        <v/>
      </c>
      <c r="D60" t="str">
        <f>IF(Hasil!$B50="","",Hasil!D50)</f>
        <v/>
      </c>
      <c r="E60" s="69" t="str">
        <f>IF(Hasil!$B50="","",Hasil!E50)</f>
        <v/>
      </c>
      <c r="F60" s="69" t="str">
        <f>IF(Hasil!$B50="","",Hasil!F50)</f>
        <v/>
      </c>
      <c r="G60" s="69" t="str">
        <f>IF(Hasil!$B50="","",Hasil!G50)</f>
        <v/>
      </c>
      <c r="H60" s="69" t="str">
        <f>IF(Hasil!$B50="","",Hasil!H50)</f>
        <v/>
      </c>
      <c r="I60" s="69" t="str">
        <f>IF(Hasil!$B50="","",Hasil!I50)</f>
        <v/>
      </c>
      <c r="J60" s="69" t="str">
        <f>IF(Hasil!$B50="","",Hasil!J50)</f>
        <v/>
      </c>
      <c r="K60" s="81" t="str">
        <f>IF(Hasil!$B50="","",Hasil!T50)</f>
        <v/>
      </c>
      <c r="L60" s="39" t="str">
        <f>IF(Hasil!$B50="","",Hasil!$V50)</f>
        <v/>
      </c>
      <c r="M60" s="69" t="str">
        <f>IF(Hasil!$B50="","",Hasil!$AU50)</f>
        <v/>
      </c>
      <c r="N60" s="69" t="str">
        <f>IF(Hasil!$B50="","",Hasil!$AV50)</f>
        <v/>
      </c>
    </row>
    <row r="61" spans="1:14">
      <c r="A61" s="38" t="str">
        <f>IF(Hasil!$B51="","",Hasil!A51)</f>
        <v/>
      </c>
      <c r="B61" t="str">
        <f>IF(Hasil!$B51="","",Hasil!B51)</f>
        <v/>
      </c>
      <c r="C61" t="str">
        <f>IF(Hasil!$B51="","",Hasil!C51)</f>
        <v/>
      </c>
      <c r="D61" t="str">
        <f>IF(Hasil!$B51="","",Hasil!D51)</f>
        <v/>
      </c>
      <c r="E61" s="69" t="str">
        <f>IF(Hasil!$B51="","",Hasil!E51)</f>
        <v/>
      </c>
      <c r="F61" s="69" t="str">
        <f>IF(Hasil!$B51="","",Hasil!F51)</f>
        <v/>
      </c>
      <c r="G61" s="69" t="str">
        <f>IF(Hasil!$B51="","",Hasil!G51)</f>
        <v/>
      </c>
      <c r="H61" s="69" t="str">
        <f>IF(Hasil!$B51="","",Hasil!H51)</f>
        <v/>
      </c>
      <c r="I61" s="69" t="str">
        <f>IF(Hasil!$B51="","",Hasil!I51)</f>
        <v/>
      </c>
      <c r="J61" s="69" t="str">
        <f>IF(Hasil!$B51="","",Hasil!J51)</f>
        <v/>
      </c>
      <c r="K61" s="81" t="str">
        <f>IF(Hasil!$B51="","",Hasil!T51)</f>
        <v/>
      </c>
      <c r="L61" s="39" t="str">
        <f>IF(Hasil!$B51="","",Hasil!$V51)</f>
        <v/>
      </c>
      <c r="M61" s="69" t="str">
        <f>IF(Hasil!$B51="","",Hasil!$AU51)</f>
        <v/>
      </c>
      <c r="N61" s="69" t="str">
        <f>IF(Hasil!$B51="","",Hasil!$AV51)</f>
        <v/>
      </c>
    </row>
    <row r="62" spans="1:14">
      <c r="A62" s="38" t="str">
        <f>IF(Hasil!$B52="","",Hasil!A52)</f>
        <v/>
      </c>
      <c r="B62" t="str">
        <f>IF(Hasil!$B52="","",Hasil!B52)</f>
        <v/>
      </c>
      <c r="C62" t="str">
        <f>IF(Hasil!$B52="","",Hasil!C52)</f>
        <v/>
      </c>
      <c r="D62" t="str">
        <f>IF(Hasil!$B52="","",Hasil!D52)</f>
        <v/>
      </c>
      <c r="E62" s="69" t="str">
        <f>IF(Hasil!$B52="","",Hasil!E52)</f>
        <v/>
      </c>
      <c r="F62" s="69" t="str">
        <f>IF(Hasil!$B52="","",Hasil!F52)</f>
        <v/>
      </c>
      <c r="G62" s="69" t="str">
        <f>IF(Hasil!$B52="","",Hasil!G52)</f>
        <v/>
      </c>
      <c r="H62" s="69" t="str">
        <f>IF(Hasil!$B52="","",Hasil!H52)</f>
        <v/>
      </c>
      <c r="I62" s="69" t="str">
        <f>IF(Hasil!$B52="","",Hasil!I52)</f>
        <v/>
      </c>
      <c r="J62" s="69" t="str">
        <f>IF(Hasil!$B52="","",Hasil!J52)</f>
        <v/>
      </c>
      <c r="K62" s="81" t="str">
        <f>IF(Hasil!$B52="","",Hasil!T52)</f>
        <v/>
      </c>
      <c r="L62" s="39" t="str">
        <f>IF(Hasil!$B52="","",Hasil!$V52)</f>
        <v/>
      </c>
      <c r="M62" s="69" t="str">
        <f>IF(Hasil!$B52="","",Hasil!$AU52)</f>
        <v/>
      </c>
      <c r="N62" s="69" t="str">
        <f>IF(Hasil!$B52="","",Hasil!$AV52)</f>
        <v/>
      </c>
    </row>
    <row r="63" spans="1:14">
      <c r="A63" s="38" t="str">
        <f>IF(Hasil!$B53="","",Hasil!A53)</f>
        <v/>
      </c>
      <c r="B63" t="str">
        <f>IF(Hasil!$B53="","",Hasil!B53)</f>
        <v/>
      </c>
      <c r="C63" t="str">
        <f>IF(Hasil!$B53="","",Hasil!C53)</f>
        <v/>
      </c>
      <c r="D63" t="str">
        <f>IF(Hasil!$B53="","",Hasil!D53)</f>
        <v/>
      </c>
      <c r="E63" s="69" t="str">
        <f>IF(Hasil!$B53="","",Hasil!E53)</f>
        <v/>
      </c>
      <c r="F63" s="69" t="str">
        <f>IF(Hasil!$B53="","",Hasil!F53)</f>
        <v/>
      </c>
      <c r="G63" s="69" t="str">
        <f>IF(Hasil!$B53="","",Hasil!G53)</f>
        <v/>
      </c>
      <c r="H63" s="69" t="str">
        <f>IF(Hasil!$B53="","",Hasil!H53)</f>
        <v/>
      </c>
      <c r="I63" s="69" t="str">
        <f>IF(Hasil!$B53="","",Hasil!I53)</f>
        <v/>
      </c>
      <c r="J63" s="69" t="str">
        <f>IF(Hasil!$B53="","",Hasil!J53)</f>
        <v/>
      </c>
      <c r="K63" s="81" t="str">
        <f>IF(Hasil!$B53="","",Hasil!T53)</f>
        <v/>
      </c>
      <c r="L63" s="39" t="str">
        <f>IF(Hasil!$B53="","",Hasil!$V53)</f>
        <v/>
      </c>
      <c r="M63" s="69" t="str">
        <f>IF(Hasil!$B53="","",Hasil!$AU53)</f>
        <v/>
      </c>
      <c r="N63" s="69" t="str">
        <f>IF(Hasil!$B53="","",Hasil!$AV53)</f>
        <v/>
      </c>
    </row>
    <row r="64" spans="1:14">
      <c r="A64" s="38" t="str">
        <f>IF(Hasil!$B54="","",Hasil!A54)</f>
        <v/>
      </c>
      <c r="B64" t="str">
        <f>IF(Hasil!$B54="","",Hasil!B54)</f>
        <v/>
      </c>
      <c r="C64" t="str">
        <f>IF(Hasil!$B54="","",Hasil!C54)</f>
        <v/>
      </c>
      <c r="D64" t="str">
        <f>IF(Hasil!$B54="","",Hasil!D54)</f>
        <v/>
      </c>
      <c r="E64" s="69" t="str">
        <f>IF(Hasil!$B54="","",Hasil!E54)</f>
        <v/>
      </c>
      <c r="F64" s="69" t="str">
        <f>IF(Hasil!$B54="","",Hasil!F54)</f>
        <v/>
      </c>
      <c r="G64" s="69" t="str">
        <f>IF(Hasil!$B54="","",Hasil!G54)</f>
        <v/>
      </c>
      <c r="H64" s="69" t="str">
        <f>IF(Hasil!$B54="","",Hasil!H54)</f>
        <v/>
      </c>
      <c r="I64" s="69" t="str">
        <f>IF(Hasil!$B54="","",Hasil!I54)</f>
        <v/>
      </c>
      <c r="J64" s="69" t="str">
        <f>IF(Hasil!$B54="","",Hasil!J54)</f>
        <v/>
      </c>
      <c r="K64" s="81" t="str">
        <f>IF(Hasil!$B54="","",Hasil!T54)</f>
        <v/>
      </c>
      <c r="L64" s="39" t="str">
        <f>IF(Hasil!$B54="","",Hasil!$V54)</f>
        <v/>
      </c>
      <c r="M64" s="69" t="str">
        <f>IF(Hasil!$B54="","",Hasil!$AU54)</f>
        <v/>
      </c>
      <c r="N64" s="69" t="str">
        <f>IF(Hasil!$B54="","",Hasil!$AV54)</f>
        <v/>
      </c>
    </row>
    <row r="65" spans="1:14">
      <c r="A65" s="38" t="str">
        <f>IF(Hasil!$B55="","",Hasil!A55)</f>
        <v/>
      </c>
      <c r="B65" t="str">
        <f>IF(Hasil!$B55="","",Hasil!B55)</f>
        <v/>
      </c>
      <c r="C65" t="str">
        <f>IF(Hasil!$B55="","",Hasil!C55)</f>
        <v/>
      </c>
      <c r="D65" t="str">
        <f>IF(Hasil!$B55="","",Hasil!D55)</f>
        <v/>
      </c>
      <c r="E65" s="69" t="str">
        <f>IF(Hasil!$B55="","",Hasil!E55)</f>
        <v/>
      </c>
      <c r="F65" s="69" t="str">
        <f>IF(Hasil!$B55="","",Hasil!F55)</f>
        <v/>
      </c>
      <c r="G65" s="69" t="str">
        <f>IF(Hasil!$B55="","",Hasil!G55)</f>
        <v/>
      </c>
      <c r="H65" s="69" t="str">
        <f>IF(Hasil!$B55="","",Hasil!H55)</f>
        <v/>
      </c>
      <c r="I65" s="69" t="str">
        <f>IF(Hasil!$B55="","",Hasil!I55)</f>
        <v/>
      </c>
      <c r="J65" s="69" t="str">
        <f>IF(Hasil!$B55="","",Hasil!J55)</f>
        <v/>
      </c>
      <c r="K65" s="81" t="str">
        <f>IF(Hasil!$B55="","",Hasil!T55)</f>
        <v/>
      </c>
      <c r="L65" s="39" t="str">
        <f>IF(Hasil!$B55="","",Hasil!$V55)</f>
        <v/>
      </c>
      <c r="M65" s="69" t="str">
        <f>IF(Hasil!$B55="","",Hasil!$AU55)</f>
        <v/>
      </c>
      <c r="N65" s="69" t="str">
        <f>IF(Hasil!$B55="","",Hasil!$AV55)</f>
        <v/>
      </c>
    </row>
    <row r="66" spans="1:14">
      <c r="A66" s="38" t="str">
        <f>IF(Hasil!$B56="","",Hasil!A56)</f>
        <v/>
      </c>
      <c r="B66" t="str">
        <f>IF(Hasil!$B56="","",Hasil!B56)</f>
        <v/>
      </c>
      <c r="C66" t="str">
        <f>IF(Hasil!$B56="","",Hasil!C56)</f>
        <v/>
      </c>
      <c r="D66" t="str">
        <f>IF(Hasil!$B56="","",Hasil!D56)</f>
        <v/>
      </c>
      <c r="E66" s="69" t="str">
        <f>IF(Hasil!$B56="","",Hasil!E56)</f>
        <v/>
      </c>
      <c r="F66" s="69" t="str">
        <f>IF(Hasil!$B56="","",Hasil!F56)</f>
        <v/>
      </c>
      <c r="G66" s="69" t="str">
        <f>IF(Hasil!$B56="","",Hasil!G56)</f>
        <v/>
      </c>
      <c r="H66" s="69" t="str">
        <f>IF(Hasil!$B56="","",Hasil!H56)</f>
        <v/>
      </c>
      <c r="I66" s="69" t="str">
        <f>IF(Hasil!$B56="","",Hasil!I56)</f>
        <v/>
      </c>
      <c r="J66" s="69" t="str">
        <f>IF(Hasil!$B56="","",Hasil!J56)</f>
        <v/>
      </c>
      <c r="K66" s="81" t="str">
        <f>IF(Hasil!$B56="","",Hasil!T56)</f>
        <v/>
      </c>
      <c r="L66" s="39" t="str">
        <f>IF(Hasil!$B56="","",Hasil!$V56)</f>
        <v/>
      </c>
      <c r="M66" s="69" t="str">
        <f>IF(Hasil!$B56="","",Hasil!$AU56)</f>
        <v/>
      </c>
      <c r="N66" s="69" t="str">
        <f>IF(Hasil!$B56="","",Hasil!$AV56)</f>
        <v/>
      </c>
    </row>
    <row r="67" spans="1:14">
      <c r="A67" s="38" t="str">
        <f>IF(Hasil!$B57="","",Hasil!A57)</f>
        <v/>
      </c>
      <c r="B67" t="str">
        <f>IF(Hasil!$B57="","",Hasil!B57)</f>
        <v/>
      </c>
      <c r="C67" t="str">
        <f>IF(Hasil!$B57="","",Hasil!C57)</f>
        <v/>
      </c>
      <c r="D67" t="str">
        <f>IF(Hasil!$B57="","",Hasil!D57)</f>
        <v/>
      </c>
      <c r="E67" s="69" t="str">
        <f>IF(Hasil!$B57="","",Hasil!E57)</f>
        <v/>
      </c>
      <c r="F67" s="69" t="str">
        <f>IF(Hasil!$B57="","",Hasil!F57)</f>
        <v/>
      </c>
      <c r="G67" s="69" t="str">
        <f>IF(Hasil!$B57="","",Hasil!G57)</f>
        <v/>
      </c>
      <c r="H67" s="69" t="str">
        <f>IF(Hasil!$B57="","",Hasil!H57)</f>
        <v/>
      </c>
      <c r="I67" s="69" t="str">
        <f>IF(Hasil!$B57="","",Hasil!I57)</f>
        <v/>
      </c>
      <c r="J67" s="69" t="str">
        <f>IF(Hasil!$B57="","",Hasil!J57)</f>
        <v/>
      </c>
      <c r="K67" s="81" t="str">
        <f>IF(Hasil!$B57="","",Hasil!T57)</f>
        <v/>
      </c>
      <c r="L67" s="39" t="str">
        <f>IF(Hasil!$B57="","",Hasil!$V57)</f>
        <v/>
      </c>
      <c r="M67" s="69" t="str">
        <f>IF(Hasil!$B57="","",Hasil!$AU57)</f>
        <v/>
      </c>
      <c r="N67" s="69" t="str">
        <f>IF(Hasil!$B57="","",Hasil!$AV57)</f>
        <v/>
      </c>
    </row>
    <row r="68" spans="1:14">
      <c r="A68" s="38" t="str">
        <f>IF(Hasil!$B58="","",Hasil!A58)</f>
        <v/>
      </c>
      <c r="B68" t="str">
        <f>IF(Hasil!$B58="","",Hasil!B58)</f>
        <v/>
      </c>
      <c r="C68" t="str">
        <f>IF(Hasil!$B58="","",Hasil!C58)</f>
        <v/>
      </c>
      <c r="D68" t="str">
        <f>IF(Hasil!$B58="","",Hasil!D58)</f>
        <v/>
      </c>
      <c r="E68" s="69" t="str">
        <f>IF(Hasil!$B58="","",Hasil!E58)</f>
        <v/>
      </c>
      <c r="F68" s="69" t="str">
        <f>IF(Hasil!$B58="","",Hasil!F58)</f>
        <v/>
      </c>
      <c r="G68" s="69" t="str">
        <f>IF(Hasil!$B58="","",Hasil!G58)</f>
        <v/>
      </c>
      <c r="H68" s="69" t="str">
        <f>IF(Hasil!$B58="","",Hasil!H58)</f>
        <v/>
      </c>
      <c r="I68" s="69" t="str">
        <f>IF(Hasil!$B58="","",Hasil!I58)</f>
        <v/>
      </c>
      <c r="J68" s="69" t="str">
        <f>IF(Hasil!$B58="","",Hasil!J58)</f>
        <v/>
      </c>
      <c r="K68" s="81" t="str">
        <f>IF(Hasil!$B58="","",Hasil!T58)</f>
        <v/>
      </c>
      <c r="L68" s="39" t="str">
        <f>IF(Hasil!$B58="","",Hasil!$V58)</f>
        <v/>
      </c>
      <c r="M68" s="69" t="str">
        <f>IF(Hasil!$B58="","",Hasil!$AU58)</f>
        <v/>
      </c>
      <c r="N68" s="69" t="str">
        <f>IF(Hasil!$B58="","",Hasil!$AV58)</f>
        <v/>
      </c>
    </row>
    <row r="69" spans="1:14">
      <c r="A69" s="38" t="str">
        <f>IF(Hasil!$B59="","",Hasil!A59)</f>
        <v/>
      </c>
      <c r="B69" t="str">
        <f>IF(Hasil!$B59="","",Hasil!B59)</f>
        <v/>
      </c>
      <c r="C69" t="str">
        <f>IF(Hasil!$B59="","",Hasil!C59)</f>
        <v/>
      </c>
      <c r="D69" t="str">
        <f>IF(Hasil!$B59="","",Hasil!D59)</f>
        <v/>
      </c>
      <c r="E69" s="69" t="str">
        <f>IF(Hasil!$B59="","",Hasil!E59)</f>
        <v/>
      </c>
      <c r="F69" s="69" t="str">
        <f>IF(Hasil!$B59="","",Hasil!F59)</f>
        <v/>
      </c>
      <c r="G69" s="69" t="str">
        <f>IF(Hasil!$B59="","",Hasil!G59)</f>
        <v/>
      </c>
      <c r="H69" s="69" t="str">
        <f>IF(Hasil!$B59="","",Hasil!H59)</f>
        <v/>
      </c>
      <c r="I69" s="69" t="str">
        <f>IF(Hasil!$B59="","",Hasil!I59)</f>
        <v/>
      </c>
      <c r="J69" s="69" t="str">
        <f>IF(Hasil!$B59="","",Hasil!J59)</f>
        <v/>
      </c>
      <c r="K69" s="81" t="str">
        <f>IF(Hasil!$B59="","",Hasil!T59)</f>
        <v/>
      </c>
      <c r="L69" s="39" t="str">
        <f>IF(Hasil!$B59="","",Hasil!$V59)</f>
        <v/>
      </c>
      <c r="M69" s="69" t="str">
        <f>IF(Hasil!$B59="","",Hasil!$AU59)</f>
        <v/>
      </c>
      <c r="N69" s="69" t="str">
        <f>IF(Hasil!$B59="","",Hasil!$AV59)</f>
        <v/>
      </c>
    </row>
    <row r="70" spans="1:14">
      <c r="A70" s="38" t="str">
        <f>IF(Hasil!$B60="","",Hasil!A60)</f>
        <v/>
      </c>
      <c r="B70" t="str">
        <f>IF(Hasil!$B60="","",Hasil!B60)</f>
        <v/>
      </c>
      <c r="C70" t="str">
        <f>IF(Hasil!$B60="","",Hasil!C60)</f>
        <v/>
      </c>
      <c r="D70" t="str">
        <f>IF(Hasil!$B60="","",Hasil!D60)</f>
        <v/>
      </c>
      <c r="E70" s="69" t="str">
        <f>IF(Hasil!$B60="","",Hasil!E60)</f>
        <v/>
      </c>
      <c r="F70" s="69" t="str">
        <f>IF(Hasil!$B60="","",Hasil!F60)</f>
        <v/>
      </c>
      <c r="G70" s="69" t="str">
        <f>IF(Hasil!$B60="","",Hasil!G60)</f>
        <v/>
      </c>
      <c r="H70" s="69" t="str">
        <f>IF(Hasil!$B60="","",Hasil!H60)</f>
        <v/>
      </c>
      <c r="I70" s="69" t="str">
        <f>IF(Hasil!$B60="","",Hasil!I60)</f>
        <v/>
      </c>
      <c r="J70" s="69" t="str">
        <f>IF(Hasil!$B60="","",Hasil!J60)</f>
        <v/>
      </c>
      <c r="K70" s="81" t="str">
        <f>IF(Hasil!$B60="","",Hasil!T60)</f>
        <v/>
      </c>
      <c r="L70" s="39" t="str">
        <f>IF(Hasil!$B60="","",Hasil!$V60)</f>
        <v/>
      </c>
      <c r="M70" s="69" t="str">
        <f>IF(Hasil!$B60="","",Hasil!$AU60)</f>
        <v/>
      </c>
      <c r="N70" s="69" t="str">
        <f>IF(Hasil!$B60="","",Hasil!$AV60)</f>
        <v/>
      </c>
    </row>
    <row r="71" spans="1:14">
      <c r="A71" s="38" t="str">
        <f>IF(Hasil!$B61="","",Hasil!A61)</f>
        <v/>
      </c>
      <c r="B71" t="str">
        <f>IF(Hasil!$B61="","",Hasil!B61)</f>
        <v/>
      </c>
      <c r="C71" t="str">
        <f>IF(Hasil!$B61="","",Hasil!C61)</f>
        <v/>
      </c>
      <c r="D71" t="str">
        <f>IF(Hasil!$B61="","",Hasil!D61)</f>
        <v/>
      </c>
      <c r="E71" s="69" t="str">
        <f>IF(Hasil!$B61="","",Hasil!E61)</f>
        <v/>
      </c>
      <c r="F71" s="69" t="str">
        <f>IF(Hasil!$B61="","",Hasil!F61)</f>
        <v/>
      </c>
      <c r="G71" s="69" t="str">
        <f>IF(Hasil!$B61="","",Hasil!G61)</f>
        <v/>
      </c>
      <c r="H71" s="69" t="str">
        <f>IF(Hasil!$B61="","",Hasil!H61)</f>
        <v/>
      </c>
      <c r="I71" s="69" t="str">
        <f>IF(Hasil!$B61="","",Hasil!I61)</f>
        <v/>
      </c>
      <c r="J71" s="69" t="str">
        <f>IF(Hasil!$B61="","",Hasil!J61)</f>
        <v/>
      </c>
      <c r="K71" s="81" t="str">
        <f>IF(Hasil!$B61="","",Hasil!T61)</f>
        <v/>
      </c>
      <c r="L71" s="39" t="str">
        <f>IF(Hasil!$B61="","",Hasil!$V61)</f>
        <v/>
      </c>
      <c r="M71" s="69" t="str">
        <f>IF(Hasil!$B61="","",Hasil!$AU61)</f>
        <v/>
      </c>
      <c r="N71" s="69" t="str">
        <f>IF(Hasil!$B61="","",Hasil!$AV61)</f>
        <v/>
      </c>
    </row>
    <row r="72" spans="1:14">
      <c r="A72" s="38" t="str">
        <f>IF(Hasil!$B62="","",Hasil!A62)</f>
        <v/>
      </c>
      <c r="B72" t="str">
        <f>IF(Hasil!$B62="","",Hasil!B62)</f>
        <v/>
      </c>
      <c r="C72" t="str">
        <f>IF(Hasil!$B62="","",Hasil!C62)</f>
        <v/>
      </c>
      <c r="D72" t="str">
        <f>IF(Hasil!$B62="","",Hasil!D62)</f>
        <v/>
      </c>
      <c r="E72" s="69" t="str">
        <f>IF(Hasil!$B62="","",Hasil!E62)</f>
        <v/>
      </c>
      <c r="F72" s="69" t="str">
        <f>IF(Hasil!$B62="","",Hasil!F62)</f>
        <v/>
      </c>
      <c r="G72" s="69" t="str">
        <f>IF(Hasil!$B62="","",Hasil!G62)</f>
        <v/>
      </c>
      <c r="H72" s="69" t="str">
        <f>IF(Hasil!$B62="","",Hasil!H62)</f>
        <v/>
      </c>
      <c r="I72" s="69" t="str">
        <f>IF(Hasil!$B62="","",Hasil!I62)</f>
        <v/>
      </c>
      <c r="J72" s="69" t="str">
        <f>IF(Hasil!$B62="","",Hasil!J62)</f>
        <v/>
      </c>
      <c r="K72" s="81" t="str">
        <f>IF(Hasil!$B62="","",Hasil!T62)</f>
        <v/>
      </c>
      <c r="L72" s="39" t="str">
        <f>IF(Hasil!$B62="","",Hasil!$V62)</f>
        <v/>
      </c>
      <c r="M72" s="69" t="str">
        <f>IF(Hasil!$B62="","",Hasil!$AU62)</f>
        <v/>
      </c>
      <c r="N72" s="69" t="str">
        <f>IF(Hasil!$B62="","",Hasil!$AV62)</f>
        <v/>
      </c>
    </row>
    <row r="73" spans="1:14">
      <c r="A73" s="38" t="str">
        <f>IF(Hasil!$B63="","",Hasil!A63)</f>
        <v/>
      </c>
      <c r="B73" t="str">
        <f>IF(Hasil!$B63="","",Hasil!B63)</f>
        <v/>
      </c>
      <c r="C73" t="str">
        <f>IF(Hasil!$B63="","",Hasil!C63)</f>
        <v/>
      </c>
      <c r="D73" t="str">
        <f>IF(Hasil!$B63="","",Hasil!D63)</f>
        <v/>
      </c>
      <c r="E73" s="69" t="str">
        <f>IF(Hasil!$B63="","",Hasil!E63)</f>
        <v/>
      </c>
      <c r="F73" s="69" t="str">
        <f>IF(Hasil!$B63="","",Hasil!F63)</f>
        <v/>
      </c>
      <c r="G73" s="69" t="str">
        <f>IF(Hasil!$B63="","",Hasil!G63)</f>
        <v/>
      </c>
      <c r="H73" s="69" t="str">
        <f>IF(Hasil!$B63="","",Hasil!H63)</f>
        <v/>
      </c>
      <c r="I73" s="69" t="str">
        <f>IF(Hasil!$B63="","",Hasil!I63)</f>
        <v/>
      </c>
      <c r="J73" s="69" t="str">
        <f>IF(Hasil!$B63="","",Hasil!J63)</f>
        <v/>
      </c>
      <c r="K73" s="81" t="str">
        <f>IF(Hasil!$B63="","",Hasil!T63)</f>
        <v/>
      </c>
      <c r="L73" s="39" t="str">
        <f>IF(Hasil!$B63="","",Hasil!$V63)</f>
        <v/>
      </c>
      <c r="M73" s="69" t="str">
        <f>IF(Hasil!$B63="","",Hasil!$AU63)</f>
        <v/>
      </c>
      <c r="N73" s="69" t="str">
        <f>IF(Hasil!$B63="","",Hasil!$AV63)</f>
        <v/>
      </c>
    </row>
    <row r="74" spans="1:14">
      <c r="A74" s="38" t="str">
        <f>IF(Hasil!$B64="","",Hasil!A64)</f>
        <v/>
      </c>
      <c r="B74" t="str">
        <f>IF(Hasil!$B64="","",Hasil!B64)</f>
        <v/>
      </c>
      <c r="C74" t="str">
        <f>IF(Hasil!$B64="","",Hasil!C64)</f>
        <v/>
      </c>
      <c r="D74" t="str">
        <f>IF(Hasil!$B64="","",Hasil!D64)</f>
        <v/>
      </c>
      <c r="E74" s="69" t="str">
        <f>IF(Hasil!$B64="","",Hasil!E64)</f>
        <v/>
      </c>
      <c r="F74" s="69" t="str">
        <f>IF(Hasil!$B64="","",Hasil!F64)</f>
        <v/>
      </c>
      <c r="G74" s="69" t="str">
        <f>IF(Hasil!$B64="","",Hasil!G64)</f>
        <v/>
      </c>
      <c r="H74" s="69" t="str">
        <f>IF(Hasil!$B64="","",Hasil!H64)</f>
        <v/>
      </c>
      <c r="I74" s="69" t="str">
        <f>IF(Hasil!$B64="","",Hasil!I64)</f>
        <v/>
      </c>
      <c r="J74" s="69" t="str">
        <f>IF(Hasil!$B64="","",Hasil!J64)</f>
        <v/>
      </c>
      <c r="K74" s="81" t="str">
        <f>IF(Hasil!$B64="","",Hasil!T64)</f>
        <v/>
      </c>
      <c r="L74" s="39" t="str">
        <f>IF(Hasil!$B64="","",Hasil!$V64)</f>
        <v/>
      </c>
      <c r="M74" s="69" t="str">
        <f>IF(Hasil!$B64="","",Hasil!$AU64)</f>
        <v/>
      </c>
      <c r="N74" s="69" t="str">
        <f>IF(Hasil!$B64="","",Hasil!$AV64)</f>
        <v/>
      </c>
    </row>
    <row r="75" spans="1:14">
      <c r="A75" s="38" t="str">
        <f>IF(Hasil!$B65="","",Hasil!A65)</f>
        <v/>
      </c>
      <c r="B75" t="str">
        <f>IF(Hasil!$B65="","",Hasil!B65)</f>
        <v/>
      </c>
      <c r="C75" t="str">
        <f>IF(Hasil!$B65="","",Hasil!C65)</f>
        <v/>
      </c>
      <c r="D75" t="str">
        <f>IF(Hasil!$B65="","",Hasil!D65)</f>
        <v/>
      </c>
      <c r="E75" s="69" t="str">
        <f>IF(Hasil!$B65="","",Hasil!E65)</f>
        <v/>
      </c>
      <c r="F75" s="69" t="str">
        <f>IF(Hasil!$B65="","",Hasil!F65)</f>
        <v/>
      </c>
      <c r="G75" s="69" t="str">
        <f>IF(Hasil!$B65="","",Hasil!G65)</f>
        <v/>
      </c>
      <c r="H75" s="69" t="str">
        <f>IF(Hasil!$B65="","",Hasil!H65)</f>
        <v/>
      </c>
      <c r="I75" s="69" t="str">
        <f>IF(Hasil!$B65="","",Hasil!I65)</f>
        <v/>
      </c>
      <c r="J75" s="69" t="str">
        <f>IF(Hasil!$B65="","",Hasil!J65)</f>
        <v/>
      </c>
      <c r="K75" s="81" t="str">
        <f>IF(Hasil!$B65="","",Hasil!T65)</f>
        <v/>
      </c>
      <c r="L75" s="39" t="str">
        <f>IF(Hasil!$B65="","",Hasil!$V65)</f>
        <v/>
      </c>
      <c r="M75" s="69" t="str">
        <f>IF(Hasil!$B65="","",Hasil!$AU65)</f>
        <v/>
      </c>
      <c r="N75" s="69" t="str">
        <f>IF(Hasil!$B65="","",Hasil!$AV65)</f>
        <v/>
      </c>
    </row>
    <row r="76" spans="1:14">
      <c r="A76" s="38" t="str">
        <f>IF(Hasil!$B66="","",Hasil!A66)</f>
        <v/>
      </c>
      <c r="B76" t="str">
        <f>IF(Hasil!$B66="","",Hasil!B66)</f>
        <v/>
      </c>
      <c r="C76" t="str">
        <f>IF(Hasil!$B66="","",Hasil!C66)</f>
        <v/>
      </c>
      <c r="D76" t="str">
        <f>IF(Hasil!$B66="","",Hasil!D66)</f>
        <v/>
      </c>
      <c r="E76" s="69" t="str">
        <f>IF(Hasil!$B66="","",Hasil!E66)</f>
        <v/>
      </c>
      <c r="F76" s="69" t="str">
        <f>IF(Hasil!$B66="","",Hasil!F66)</f>
        <v/>
      </c>
      <c r="G76" s="69" t="str">
        <f>IF(Hasil!$B66="","",Hasil!G66)</f>
        <v/>
      </c>
      <c r="H76" s="69" t="str">
        <f>IF(Hasil!$B66="","",Hasil!H66)</f>
        <v/>
      </c>
      <c r="I76" s="69" t="str">
        <f>IF(Hasil!$B66="","",Hasil!I66)</f>
        <v/>
      </c>
      <c r="J76" s="69" t="str">
        <f>IF(Hasil!$B66="","",Hasil!J66)</f>
        <v/>
      </c>
      <c r="K76" s="81" t="str">
        <f>IF(Hasil!$B66="","",Hasil!T66)</f>
        <v/>
      </c>
      <c r="L76" s="39" t="str">
        <f>IF(Hasil!$B66="","",Hasil!$V66)</f>
        <v/>
      </c>
      <c r="M76" s="69" t="str">
        <f>IF(Hasil!$B66="","",Hasil!$AU66)</f>
        <v/>
      </c>
      <c r="N76" s="69" t="str">
        <f>IF(Hasil!$B66="","",Hasil!$AV66)</f>
        <v/>
      </c>
    </row>
    <row r="77" spans="1:14">
      <c r="A77" s="38" t="str">
        <f>IF(Hasil!$B67="","",Hasil!A67)</f>
        <v/>
      </c>
      <c r="B77" t="str">
        <f>IF(Hasil!$B67="","",Hasil!B67)</f>
        <v/>
      </c>
      <c r="C77" t="str">
        <f>IF(Hasil!$B67="","",Hasil!C67)</f>
        <v/>
      </c>
      <c r="D77" t="str">
        <f>IF(Hasil!$B67="","",Hasil!D67)</f>
        <v/>
      </c>
      <c r="E77" s="69" t="str">
        <f>IF(Hasil!$B67="","",Hasil!E67)</f>
        <v/>
      </c>
      <c r="F77" s="69" t="str">
        <f>IF(Hasil!$B67="","",Hasil!F67)</f>
        <v/>
      </c>
      <c r="G77" s="69" t="str">
        <f>IF(Hasil!$B67="","",Hasil!G67)</f>
        <v/>
      </c>
      <c r="H77" s="69" t="str">
        <f>IF(Hasil!$B67="","",Hasil!H67)</f>
        <v/>
      </c>
      <c r="I77" s="69" t="str">
        <f>IF(Hasil!$B67="","",Hasil!I67)</f>
        <v/>
      </c>
      <c r="J77" s="69" t="str">
        <f>IF(Hasil!$B67="","",Hasil!J67)</f>
        <v/>
      </c>
      <c r="K77" s="81" t="str">
        <f>IF(Hasil!$B67="","",Hasil!T67)</f>
        <v/>
      </c>
      <c r="L77" s="39" t="str">
        <f>IF(Hasil!$B67="","",Hasil!$V67)</f>
        <v/>
      </c>
      <c r="M77" s="69" t="str">
        <f>IF(Hasil!$B67="","",Hasil!$AU67)</f>
        <v/>
      </c>
      <c r="N77" s="69" t="str">
        <f>IF(Hasil!$B67="","",Hasil!$AV67)</f>
        <v/>
      </c>
    </row>
    <row r="78" spans="1:14">
      <c r="A78" s="38" t="str">
        <f>IF(Hasil!$B68="","",Hasil!A68)</f>
        <v/>
      </c>
      <c r="B78" t="str">
        <f>IF(Hasil!$B68="","",Hasil!B68)</f>
        <v/>
      </c>
      <c r="C78" t="str">
        <f>IF(Hasil!$B68="","",Hasil!C68)</f>
        <v/>
      </c>
      <c r="D78" t="str">
        <f>IF(Hasil!$B68="","",Hasil!D68)</f>
        <v/>
      </c>
      <c r="E78" s="69" t="str">
        <f>IF(Hasil!$B68="","",Hasil!E68)</f>
        <v/>
      </c>
      <c r="F78" s="69" t="str">
        <f>IF(Hasil!$B68="","",Hasil!F68)</f>
        <v/>
      </c>
      <c r="G78" s="69" t="str">
        <f>IF(Hasil!$B68="","",Hasil!G68)</f>
        <v/>
      </c>
      <c r="H78" s="69" t="str">
        <f>IF(Hasil!$B68="","",Hasil!H68)</f>
        <v/>
      </c>
      <c r="I78" s="69" t="str">
        <f>IF(Hasil!$B68="","",Hasil!I68)</f>
        <v/>
      </c>
      <c r="J78" s="69" t="str">
        <f>IF(Hasil!$B68="","",Hasil!J68)</f>
        <v/>
      </c>
      <c r="K78" s="81" t="str">
        <f>IF(Hasil!$B68="","",Hasil!T68)</f>
        <v/>
      </c>
      <c r="L78" s="39" t="str">
        <f>IF(Hasil!$B68="","",Hasil!$V68)</f>
        <v/>
      </c>
      <c r="M78" s="69" t="str">
        <f>IF(Hasil!$B68="","",Hasil!$AU68)</f>
        <v/>
      </c>
      <c r="N78" s="69" t="str">
        <f>IF(Hasil!$B68="","",Hasil!$AV68)</f>
        <v/>
      </c>
    </row>
    <row r="79" spans="1:14">
      <c r="A79" s="38" t="str">
        <f>IF(Hasil!$B69="","",Hasil!A69)</f>
        <v/>
      </c>
      <c r="B79" t="str">
        <f>IF(Hasil!$B69="","",Hasil!B69)</f>
        <v/>
      </c>
      <c r="C79" t="str">
        <f>IF(Hasil!$B69="","",Hasil!C69)</f>
        <v/>
      </c>
      <c r="D79" t="str">
        <f>IF(Hasil!$B69="","",Hasil!D69)</f>
        <v/>
      </c>
      <c r="E79" s="69" t="str">
        <f>IF(Hasil!$B69="","",Hasil!E69)</f>
        <v/>
      </c>
      <c r="F79" s="69" t="str">
        <f>IF(Hasil!$B69="","",Hasil!F69)</f>
        <v/>
      </c>
      <c r="G79" s="69" t="str">
        <f>IF(Hasil!$B69="","",Hasil!G69)</f>
        <v/>
      </c>
      <c r="H79" s="69" t="str">
        <f>IF(Hasil!$B69="","",Hasil!H69)</f>
        <v/>
      </c>
      <c r="I79" s="69" t="str">
        <f>IF(Hasil!$B69="","",Hasil!I69)</f>
        <v/>
      </c>
      <c r="J79" s="69" t="str">
        <f>IF(Hasil!$B69="","",Hasil!J69)</f>
        <v/>
      </c>
      <c r="K79" s="81" t="str">
        <f>IF(Hasil!$B69="","",Hasil!T69)</f>
        <v/>
      </c>
      <c r="L79" s="39" t="str">
        <f>IF(Hasil!$B69="","",Hasil!$V69)</f>
        <v/>
      </c>
      <c r="M79" s="69" t="str">
        <f>IF(Hasil!$B69="","",Hasil!$AU69)</f>
        <v/>
      </c>
      <c r="N79" s="69" t="str">
        <f>IF(Hasil!$B69="","",Hasil!$AV69)</f>
        <v/>
      </c>
    </row>
    <row r="80" spans="1:14">
      <c r="A80" s="38" t="str">
        <f>IF(Hasil!$B70="","",Hasil!A70)</f>
        <v/>
      </c>
      <c r="B80" t="str">
        <f>IF(Hasil!$B70="","",Hasil!B70)</f>
        <v/>
      </c>
      <c r="C80" t="str">
        <f>IF(Hasil!$B70="","",Hasil!C70)</f>
        <v/>
      </c>
      <c r="D80" t="str">
        <f>IF(Hasil!$B70="","",Hasil!D70)</f>
        <v/>
      </c>
      <c r="E80" s="69" t="str">
        <f>IF(Hasil!$B70="","",Hasil!E70)</f>
        <v/>
      </c>
      <c r="F80" s="69" t="str">
        <f>IF(Hasil!$B70="","",Hasil!F70)</f>
        <v/>
      </c>
      <c r="G80" s="69" t="str">
        <f>IF(Hasil!$B70="","",Hasil!G70)</f>
        <v/>
      </c>
      <c r="H80" s="69" t="str">
        <f>IF(Hasil!$B70="","",Hasil!H70)</f>
        <v/>
      </c>
      <c r="I80" s="69" t="str">
        <f>IF(Hasil!$B70="","",Hasil!I70)</f>
        <v/>
      </c>
      <c r="J80" s="69" t="str">
        <f>IF(Hasil!$B70="","",Hasil!J70)</f>
        <v/>
      </c>
      <c r="K80" s="81" t="str">
        <f>IF(Hasil!$B70="","",Hasil!T70)</f>
        <v/>
      </c>
      <c r="L80" s="39" t="str">
        <f>IF(Hasil!$B70="","",Hasil!$V70)</f>
        <v/>
      </c>
      <c r="M80" s="69" t="str">
        <f>IF(Hasil!$B70="","",Hasil!$AU70)</f>
        <v/>
      </c>
      <c r="N80" s="69" t="str">
        <f>IF(Hasil!$B70="","",Hasil!$AV70)</f>
        <v/>
      </c>
    </row>
    <row r="81" spans="1:14">
      <c r="A81" s="38" t="str">
        <f>IF(Hasil!$B71="","",Hasil!A71)</f>
        <v/>
      </c>
      <c r="B81" t="str">
        <f>IF(Hasil!$B71="","",Hasil!B71)</f>
        <v/>
      </c>
      <c r="C81" t="str">
        <f>IF(Hasil!$B71="","",Hasil!C71)</f>
        <v/>
      </c>
      <c r="D81" t="str">
        <f>IF(Hasil!$B71="","",Hasil!D71)</f>
        <v/>
      </c>
      <c r="E81" s="69" t="str">
        <f>IF(Hasil!$B71="","",Hasil!E71)</f>
        <v/>
      </c>
      <c r="F81" s="69" t="str">
        <f>IF(Hasil!$B71="","",Hasil!F71)</f>
        <v/>
      </c>
      <c r="G81" s="69" t="str">
        <f>IF(Hasil!$B71="","",Hasil!G71)</f>
        <v/>
      </c>
      <c r="H81" s="69" t="str">
        <f>IF(Hasil!$B71="","",Hasil!H71)</f>
        <v/>
      </c>
      <c r="I81" s="69" t="str">
        <f>IF(Hasil!$B71="","",Hasil!I71)</f>
        <v/>
      </c>
      <c r="J81" s="69" t="str">
        <f>IF(Hasil!$B71="","",Hasil!J71)</f>
        <v/>
      </c>
      <c r="K81" s="81" t="str">
        <f>IF(Hasil!$B71="","",Hasil!T71)</f>
        <v/>
      </c>
      <c r="L81" s="39" t="str">
        <f>IF(Hasil!$B71="","",Hasil!$V71)</f>
        <v/>
      </c>
      <c r="M81" s="69" t="str">
        <f>IF(Hasil!$B71="","",Hasil!$AU71)</f>
        <v/>
      </c>
      <c r="N81" s="69" t="str">
        <f>IF(Hasil!$B71="","",Hasil!$AV71)</f>
        <v/>
      </c>
    </row>
    <row r="82" spans="1:14">
      <c r="A82" s="38" t="str">
        <f>IF(Hasil!$B72="","",Hasil!A72)</f>
        <v/>
      </c>
      <c r="B82" t="str">
        <f>IF(Hasil!$B72="","",Hasil!B72)</f>
        <v/>
      </c>
      <c r="C82" t="str">
        <f>IF(Hasil!$B72="","",Hasil!C72)</f>
        <v/>
      </c>
      <c r="D82" t="str">
        <f>IF(Hasil!$B72="","",Hasil!D72)</f>
        <v/>
      </c>
      <c r="E82" s="69" t="str">
        <f>IF(Hasil!$B72="","",Hasil!E72)</f>
        <v/>
      </c>
      <c r="F82" s="69" t="str">
        <f>IF(Hasil!$B72="","",Hasil!F72)</f>
        <v/>
      </c>
      <c r="G82" s="69" t="str">
        <f>IF(Hasil!$B72="","",Hasil!G72)</f>
        <v/>
      </c>
      <c r="H82" s="69" t="str">
        <f>IF(Hasil!$B72="","",Hasil!H72)</f>
        <v/>
      </c>
      <c r="I82" s="69" t="str">
        <f>IF(Hasil!$B72="","",Hasil!I72)</f>
        <v/>
      </c>
      <c r="J82" s="69" t="str">
        <f>IF(Hasil!$B72="","",Hasil!J72)</f>
        <v/>
      </c>
      <c r="K82" s="81" t="str">
        <f>IF(Hasil!$B72="","",Hasil!T72)</f>
        <v/>
      </c>
      <c r="L82" s="39" t="str">
        <f>IF(Hasil!$B72="","",Hasil!$V72)</f>
        <v/>
      </c>
      <c r="M82" s="69" t="str">
        <f>IF(Hasil!$B72="","",Hasil!$AU72)</f>
        <v/>
      </c>
      <c r="N82" s="69" t="str">
        <f>IF(Hasil!$B72="","",Hasil!$AV72)</f>
        <v/>
      </c>
    </row>
    <row r="83" spans="1:14">
      <c r="A83" s="38" t="str">
        <f>IF(Hasil!$B73="","",Hasil!A73)</f>
        <v/>
      </c>
      <c r="B83" t="str">
        <f>IF(Hasil!$B73="","",Hasil!B73)</f>
        <v/>
      </c>
      <c r="C83" t="str">
        <f>IF(Hasil!$B73="","",Hasil!C73)</f>
        <v/>
      </c>
      <c r="D83" t="str">
        <f>IF(Hasil!$B73="","",Hasil!D73)</f>
        <v/>
      </c>
      <c r="E83" s="69" t="str">
        <f>IF(Hasil!$B73="","",Hasil!E73)</f>
        <v/>
      </c>
      <c r="F83" s="69" t="str">
        <f>IF(Hasil!$B73="","",Hasil!F73)</f>
        <v/>
      </c>
      <c r="G83" s="69" t="str">
        <f>IF(Hasil!$B73="","",Hasil!G73)</f>
        <v/>
      </c>
      <c r="H83" s="69" t="str">
        <f>IF(Hasil!$B73="","",Hasil!H73)</f>
        <v/>
      </c>
      <c r="I83" s="69" t="str">
        <f>IF(Hasil!$B73="","",Hasil!I73)</f>
        <v/>
      </c>
      <c r="J83" s="69" t="str">
        <f>IF(Hasil!$B73="","",Hasil!J73)</f>
        <v/>
      </c>
      <c r="K83" s="81" t="str">
        <f>IF(Hasil!$B73="","",Hasil!T73)</f>
        <v/>
      </c>
      <c r="L83" s="39" t="str">
        <f>IF(Hasil!$B73="","",Hasil!$V73)</f>
        <v/>
      </c>
      <c r="M83" s="69" t="str">
        <f>IF(Hasil!$B73="","",Hasil!$AU73)</f>
        <v/>
      </c>
      <c r="N83" s="69" t="str">
        <f>IF(Hasil!$B73="","",Hasil!$AV73)</f>
        <v/>
      </c>
    </row>
    <row r="84" spans="1:14">
      <c r="A84" s="38" t="str">
        <f>IF(Hasil!$B74="","",Hasil!A74)</f>
        <v/>
      </c>
      <c r="B84" t="str">
        <f>IF(Hasil!$B74="","",Hasil!B74)</f>
        <v/>
      </c>
      <c r="C84" t="str">
        <f>IF(Hasil!$B74="","",Hasil!C74)</f>
        <v/>
      </c>
      <c r="D84" t="str">
        <f>IF(Hasil!$B74="","",Hasil!D74)</f>
        <v/>
      </c>
      <c r="E84" s="69" t="str">
        <f>IF(Hasil!$B74="","",Hasil!E74)</f>
        <v/>
      </c>
      <c r="F84" s="69" t="str">
        <f>IF(Hasil!$B74="","",Hasil!F74)</f>
        <v/>
      </c>
      <c r="G84" s="69" t="str">
        <f>IF(Hasil!$B74="","",Hasil!G74)</f>
        <v/>
      </c>
      <c r="H84" s="69" t="str">
        <f>IF(Hasil!$B74="","",Hasil!H74)</f>
        <v/>
      </c>
      <c r="I84" s="69" t="str">
        <f>IF(Hasil!$B74="","",Hasil!I74)</f>
        <v/>
      </c>
      <c r="J84" s="69" t="str">
        <f>IF(Hasil!$B74="","",Hasil!J74)</f>
        <v/>
      </c>
      <c r="K84" s="81" t="str">
        <f>IF(Hasil!$B74="","",Hasil!T74)</f>
        <v/>
      </c>
      <c r="L84" s="39" t="str">
        <f>IF(Hasil!$B74="","",Hasil!$V74)</f>
        <v/>
      </c>
      <c r="M84" s="69" t="str">
        <f>IF(Hasil!$B74="","",Hasil!$AU74)</f>
        <v/>
      </c>
      <c r="N84" s="69" t="str">
        <f>IF(Hasil!$B74="","",Hasil!$AV74)</f>
        <v/>
      </c>
    </row>
    <row r="85" spans="1:14">
      <c r="A85" s="38" t="str">
        <f>IF(Hasil!$B75="","",Hasil!A75)</f>
        <v/>
      </c>
      <c r="B85" t="str">
        <f>IF(Hasil!$B75="","",Hasil!B75)</f>
        <v/>
      </c>
      <c r="C85" t="str">
        <f>IF(Hasil!$B75="","",Hasil!C75)</f>
        <v/>
      </c>
      <c r="D85" t="str">
        <f>IF(Hasil!$B75="","",Hasil!D75)</f>
        <v/>
      </c>
      <c r="E85" s="69" t="str">
        <f>IF(Hasil!$B75="","",Hasil!E75)</f>
        <v/>
      </c>
      <c r="F85" s="69" t="str">
        <f>IF(Hasil!$B75="","",Hasil!F75)</f>
        <v/>
      </c>
      <c r="G85" s="69" t="str">
        <f>IF(Hasil!$B75="","",Hasil!G75)</f>
        <v/>
      </c>
      <c r="H85" s="69" t="str">
        <f>IF(Hasil!$B75="","",Hasil!H75)</f>
        <v/>
      </c>
      <c r="I85" s="69" t="str">
        <f>IF(Hasil!$B75="","",Hasil!I75)</f>
        <v/>
      </c>
      <c r="J85" s="69" t="str">
        <f>IF(Hasil!$B75="","",Hasil!J75)</f>
        <v/>
      </c>
      <c r="K85" s="81" t="str">
        <f>IF(Hasil!$B75="","",Hasil!T75)</f>
        <v/>
      </c>
      <c r="L85" s="39" t="str">
        <f>IF(Hasil!$B75="","",Hasil!$V75)</f>
        <v/>
      </c>
      <c r="M85" s="69" t="str">
        <f>IF(Hasil!$B75="","",Hasil!$AU75)</f>
        <v/>
      </c>
      <c r="N85" s="69" t="str">
        <f>IF(Hasil!$B75="","",Hasil!$AV75)</f>
        <v/>
      </c>
    </row>
    <row r="86" spans="1:14">
      <c r="A86" s="38" t="str">
        <f>IF(Hasil!$B76="","",Hasil!A76)</f>
        <v/>
      </c>
      <c r="B86" t="str">
        <f>IF(Hasil!$B76="","",Hasil!B76)</f>
        <v/>
      </c>
      <c r="C86" t="str">
        <f>IF(Hasil!$B76="","",Hasil!C76)</f>
        <v/>
      </c>
      <c r="D86" t="str">
        <f>IF(Hasil!$B76="","",Hasil!D76)</f>
        <v/>
      </c>
      <c r="E86" s="69" t="str">
        <f>IF(Hasil!$B76="","",Hasil!E76)</f>
        <v/>
      </c>
      <c r="F86" s="69" t="str">
        <f>IF(Hasil!$B76="","",Hasil!F76)</f>
        <v/>
      </c>
      <c r="G86" s="69" t="str">
        <f>IF(Hasil!$B76="","",Hasil!G76)</f>
        <v/>
      </c>
      <c r="H86" s="69" t="str">
        <f>IF(Hasil!$B76="","",Hasil!H76)</f>
        <v/>
      </c>
      <c r="I86" s="69" t="str">
        <f>IF(Hasil!$B76="","",Hasil!I76)</f>
        <v/>
      </c>
      <c r="J86" s="69" t="str">
        <f>IF(Hasil!$B76="","",Hasil!J76)</f>
        <v/>
      </c>
      <c r="K86" s="81" t="str">
        <f>IF(Hasil!$B76="","",Hasil!T76)</f>
        <v/>
      </c>
      <c r="L86" s="39" t="str">
        <f>IF(Hasil!$B76="","",Hasil!$V76)</f>
        <v/>
      </c>
      <c r="M86" s="69" t="str">
        <f>IF(Hasil!$B76="","",Hasil!$AU76)</f>
        <v/>
      </c>
      <c r="N86" s="69" t="str">
        <f>IF(Hasil!$B76="","",Hasil!$AV76)</f>
        <v/>
      </c>
    </row>
    <row r="87" spans="1:14">
      <c r="A87" s="38" t="str">
        <f>IF(Hasil!$B77="","",Hasil!A77)</f>
        <v/>
      </c>
      <c r="B87" t="str">
        <f>IF(Hasil!$B77="","",Hasil!B77)</f>
        <v/>
      </c>
      <c r="C87" t="str">
        <f>IF(Hasil!$B77="","",Hasil!C77)</f>
        <v/>
      </c>
      <c r="D87" t="str">
        <f>IF(Hasil!$B77="","",Hasil!D77)</f>
        <v/>
      </c>
      <c r="E87" s="69" t="str">
        <f>IF(Hasil!$B77="","",Hasil!E77)</f>
        <v/>
      </c>
      <c r="F87" s="69" t="str">
        <f>IF(Hasil!$B77="","",Hasil!F77)</f>
        <v/>
      </c>
      <c r="G87" s="69" t="str">
        <f>IF(Hasil!$B77="","",Hasil!G77)</f>
        <v/>
      </c>
      <c r="H87" s="69" t="str">
        <f>IF(Hasil!$B77="","",Hasil!H77)</f>
        <v/>
      </c>
      <c r="I87" s="69" t="str">
        <f>IF(Hasil!$B77="","",Hasil!I77)</f>
        <v/>
      </c>
      <c r="J87" s="69" t="str">
        <f>IF(Hasil!$B77="","",Hasil!J77)</f>
        <v/>
      </c>
      <c r="K87" s="81" t="str">
        <f>IF(Hasil!$B77="","",Hasil!T77)</f>
        <v/>
      </c>
      <c r="L87" s="39" t="str">
        <f>IF(Hasil!$B77="","",Hasil!$V77)</f>
        <v/>
      </c>
      <c r="M87" s="69" t="str">
        <f>IF(Hasil!$B77="","",Hasil!$AU77)</f>
        <v/>
      </c>
      <c r="N87" s="69" t="str">
        <f>IF(Hasil!$B77="","",Hasil!$AV77)</f>
        <v/>
      </c>
    </row>
    <row r="88" spans="1:14">
      <c r="A88" s="38" t="str">
        <f>IF(Hasil!$B78="","",Hasil!A78)</f>
        <v/>
      </c>
      <c r="B88" t="str">
        <f>IF(Hasil!$B78="","",Hasil!B78)</f>
        <v/>
      </c>
      <c r="C88" t="str">
        <f>IF(Hasil!$B78="","",Hasil!C78)</f>
        <v/>
      </c>
      <c r="D88" t="str">
        <f>IF(Hasil!$B78="","",Hasil!D78)</f>
        <v/>
      </c>
      <c r="E88" s="69" t="str">
        <f>IF(Hasil!$B78="","",Hasil!E78)</f>
        <v/>
      </c>
      <c r="F88" s="69" t="str">
        <f>IF(Hasil!$B78="","",Hasil!F78)</f>
        <v/>
      </c>
      <c r="G88" s="69" t="str">
        <f>IF(Hasil!$B78="","",Hasil!G78)</f>
        <v/>
      </c>
      <c r="H88" s="69" t="str">
        <f>IF(Hasil!$B78="","",Hasil!H78)</f>
        <v/>
      </c>
      <c r="I88" s="69" t="str">
        <f>IF(Hasil!$B78="","",Hasil!I78)</f>
        <v/>
      </c>
      <c r="J88" s="69" t="str">
        <f>IF(Hasil!$B78="","",Hasil!J78)</f>
        <v/>
      </c>
      <c r="K88" s="81" t="str">
        <f>IF(Hasil!$B78="","",Hasil!T78)</f>
        <v/>
      </c>
      <c r="L88" s="39" t="str">
        <f>IF(Hasil!$B78="","",Hasil!$V78)</f>
        <v/>
      </c>
      <c r="M88" s="69" t="str">
        <f>IF(Hasil!$B78="","",Hasil!$AU78)</f>
        <v/>
      </c>
      <c r="N88" s="69" t="str">
        <f>IF(Hasil!$B78="","",Hasil!$AV78)</f>
        <v/>
      </c>
    </row>
    <row r="89" spans="1:14">
      <c r="A89" s="38" t="str">
        <f>IF(Hasil!$B79="","",Hasil!A79)</f>
        <v/>
      </c>
      <c r="B89" t="str">
        <f>IF(Hasil!$B79="","",Hasil!B79)</f>
        <v/>
      </c>
      <c r="C89" t="str">
        <f>IF(Hasil!$B79="","",Hasil!C79)</f>
        <v/>
      </c>
      <c r="D89" t="str">
        <f>IF(Hasil!$B79="","",Hasil!D79)</f>
        <v/>
      </c>
      <c r="E89" s="69" t="str">
        <f>IF(Hasil!$B79="","",Hasil!E79)</f>
        <v/>
      </c>
      <c r="F89" s="69" t="str">
        <f>IF(Hasil!$B79="","",Hasil!F79)</f>
        <v/>
      </c>
      <c r="G89" s="69" t="str">
        <f>IF(Hasil!$B79="","",Hasil!G79)</f>
        <v/>
      </c>
      <c r="H89" s="69" t="str">
        <f>IF(Hasil!$B79="","",Hasil!H79)</f>
        <v/>
      </c>
      <c r="I89" s="69" t="str">
        <f>IF(Hasil!$B79="","",Hasil!I79)</f>
        <v/>
      </c>
      <c r="J89" s="69" t="str">
        <f>IF(Hasil!$B79="","",Hasil!J79)</f>
        <v/>
      </c>
      <c r="K89" s="81" t="str">
        <f>IF(Hasil!$B79="","",Hasil!T79)</f>
        <v/>
      </c>
      <c r="L89" s="39" t="str">
        <f>IF(Hasil!$B79="","",Hasil!$V79)</f>
        <v/>
      </c>
      <c r="M89" s="69" t="str">
        <f>IF(Hasil!$B79="","",Hasil!$AU79)</f>
        <v/>
      </c>
      <c r="N89" s="69" t="str">
        <f>IF(Hasil!$B79="","",Hasil!$AV79)</f>
        <v/>
      </c>
    </row>
    <row r="90" spans="1:14">
      <c r="A90" s="38" t="str">
        <f>IF(Hasil!$B80="","",Hasil!A80)</f>
        <v/>
      </c>
      <c r="B90" t="str">
        <f>IF(Hasil!$B80="","",Hasil!B80)</f>
        <v/>
      </c>
      <c r="C90" t="str">
        <f>IF(Hasil!$B80="","",Hasil!C80)</f>
        <v/>
      </c>
      <c r="D90" t="str">
        <f>IF(Hasil!$B80="","",Hasil!D80)</f>
        <v/>
      </c>
      <c r="E90" s="69" t="str">
        <f>IF(Hasil!$B80="","",Hasil!E80)</f>
        <v/>
      </c>
      <c r="F90" s="69" t="str">
        <f>IF(Hasil!$B80="","",Hasil!F80)</f>
        <v/>
      </c>
      <c r="G90" s="69" t="str">
        <f>IF(Hasil!$B80="","",Hasil!G80)</f>
        <v/>
      </c>
      <c r="H90" s="69" t="str">
        <f>IF(Hasil!$B80="","",Hasil!H80)</f>
        <v/>
      </c>
      <c r="I90" s="69" t="str">
        <f>IF(Hasil!$B80="","",Hasil!I80)</f>
        <v/>
      </c>
      <c r="J90" s="69" t="str">
        <f>IF(Hasil!$B80="","",Hasil!J80)</f>
        <v/>
      </c>
      <c r="K90" s="81" t="str">
        <f>IF(Hasil!$B80="","",Hasil!T80)</f>
        <v/>
      </c>
      <c r="L90" s="39" t="str">
        <f>IF(Hasil!$B80="","",Hasil!$V80)</f>
        <v/>
      </c>
      <c r="M90" s="69" t="str">
        <f>IF(Hasil!$B80="","",Hasil!$AU80)</f>
        <v/>
      </c>
      <c r="N90" s="69" t="str">
        <f>IF(Hasil!$B80="","",Hasil!$AV80)</f>
        <v/>
      </c>
    </row>
    <row r="91" spans="1:14">
      <c r="A91" s="38" t="str">
        <f>IF(Hasil!$B81="","",Hasil!A81)</f>
        <v/>
      </c>
      <c r="B91" t="str">
        <f>IF(Hasil!$B81="","",Hasil!B81)</f>
        <v/>
      </c>
      <c r="C91" t="str">
        <f>IF(Hasil!$B81="","",Hasil!C81)</f>
        <v/>
      </c>
      <c r="D91" t="str">
        <f>IF(Hasil!$B81="","",Hasil!D81)</f>
        <v/>
      </c>
      <c r="E91" s="69" t="str">
        <f>IF(Hasil!$B81="","",Hasil!E81)</f>
        <v/>
      </c>
      <c r="F91" s="69" t="str">
        <f>IF(Hasil!$B81="","",Hasil!F81)</f>
        <v/>
      </c>
      <c r="G91" s="69" t="str">
        <f>IF(Hasil!$B81="","",Hasil!G81)</f>
        <v/>
      </c>
      <c r="H91" s="69" t="str">
        <f>IF(Hasil!$B81="","",Hasil!H81)</f>
        <v/>
      </c>
      <c r="I91" s="69" t="str">
        <f>IF(Hasil!$B81="","",Hasil!I81)</f>
        <v/>
      </c>
      <c r="J91" s="69" t="str">
        <f>IF(Hasil!$B81="","",Hasil!J81)</f>
        <v/>
      </c>
      <c r="K91" s="81" t="str">
        <f>IF(Hasil!$B81="","",Hasil!T81)</f>
        <v/>
      </c>
      <c r="L91" s="39" t="str">
        <f>IF(Hasil!$B81="","",Hasil!$V81)</f>
        <v/>
      </c>
      <c r="M91" s="69" t="str">
        <f>IF(Hasil!$B81="","",Hasil!$AU81)</f>
        <v/>
      </c>
      <c r="N91" s="69" t="str">
        <f>IF(Hasil!$B81="","",Hasil!$AV81)</f>
        <v/>
      </c>
    </row>
    <row r="92" spans="1:14">
      <c r="A92" s="38" t="str">
        <f>IF(Hasil!$B82="","",Hasil!A82)</f>
        <v/>
      </c>
      <c r="B92" t="str">
        <f>IF(Hasil!$B82="","",Hasil!B82)</f>
        <v/>
      </c>
      <c r="C92" t="str">
        <f>IF(Hasil!$B82="","",Hasil!C82)</f>
        <v/>
      </c>
      <c r="D92" t="str">
        <f>IF(Hasil!$B82="","",Hasil!D82)</f>
        <v/>
      </c>
      <c r="E92" s="69" t="str">
        <f>IF(Hasil!$B82="","",Hasil!E82)</f>
        <v/>
      </c>
      <c r="F92" s="69" t="str">
        <f>IF(Hasil!$B82="","",Hasil!F82)</f>
        <v/>
      </c>
      <c r="G92" s="69" t="str">
        <f>IF(Hasil!$B82="","",Hasil!G82)</f>
        <v/>
      </c>
      <c r="H92" s="69" t="str">
        <f>IF(Hasil!$B82="","",Hasil!H82)</f>
        <v/>
      </c>
      <c r="I92" s="69" t="str">
        <f>IF(Hasil!$B82="","",Hasil!I82)</f>
        <v/>
      </c>
      <c r="J92" s="69" t="str">
        <f>IF(Hasil!$B82="","",Hasil!J82)</f>
        <v/>
      </c>
      <c r="K92" s="81" t="str">
        <f>IF(Hasil!$B82="","",Hasil!T82)</f>
        <v/>
      </c>
      <c r="L92" s="39" t="str">
        <f>IF(Hasil!$B82="","",Hasil!$V82)</f>
        <v/>
      </c>
      <c r="M92" s="69" t="str">
        <f>IF(Hasil!$B82="","",Hasil!$AU82)</f>
        <v/>
      </c>
      <c r="N92" s="69" t="str">
        <f>IF(Hasil!$B82="","",Hasil!$AV82)</f>
        <v/>
      </c>
    </row>
    <row r="93" spans="1:14">
      <c r="A93" s="38" t="str">
        <f>IF(Hasil!$B83="","",Hasil!A83)</f>
        <v/>
      </c>
      <c r="B93" t="str">
        <f>IF(Hasil!$B83="","",Hasil!B83)</f>
        <v/>
      </c>
      <c r="C93" t="str">
        <f>IF(Hasil!$B83="","",Hasil!C83)</f>
        <v/>
      </c>
      <c r="D93" t="str">
        <f>IF(Hasil!$B83="","",Hasil!D83)</f>
        <v/>
      </c>
      <c r="E93" s="69" t="str">
        <f>IF(Hasil!$B83="","",Hasil!E83)</f>
        <v/>
      </c>
      <c r="F93" s="69" t="str">
        <f>IF(Hasil!$B83="","",Hasil!F83)</f>
        <v/>
      </c>
      <c r="G93" s="69" t="str">
        <f>IF(Hasil!$B83="","",Hasil!G83)</f>
        <v/>
      </c>
      <c r="H93" s="69" t="str">
        <f>IF(Hasil!$B83="","",Hasil!H83)</f>
        <v/>
      </c>
      <c r="I93" s="69" t="str">
        <f>IF(Hasil!$B83="","",Hasil!I83)</f>
        <v/>
      </c>
      <c r="J93" s="69" t="str">
        <f>IF(Hasil!$B83="","",Hasil!J83)</f>
        <v/>
      </c>
      <c r="K93" s="81" t="str">
        <f>IF(Hasil!$B83="","",Hasil!T83)</f>
        <v/>
      </c>
      <c r="L93" s="39" t="str">
        <f>IF(Hasil!$B83="","",Hasil!$V83)</f>
        <v/>
      </c>
      <c r="M93" s="69" t="str">
        <f>IF(Hasil!$B83="","",Hasil!$AU83)</f>
        <v/>
      </c>
      <c r="N93" s="69" t="str">
        <f>IF(Hasil!$B83="","",Hasil!$AV83)</f>
        <v/>
      </c>
    </row>
    <row r="94" spans="1:14">
      <c r="A94" s="38" t="str">
        <f>IF(Hasil!$B84="","",Hasil!A84)</f>
        <v/>
      </c>
      <c r="B94" t="str">
        <f>IF(Hasil!$B84="","",Hasil!B84)</f>
        <v/>
      </c>
      <c r="C94" t="str">
        <f>IF(Hasil!$B84="","",Hasil!C84)</f>
        <v/>
      </c>
      <c r="D94" t="str">
        <f>IF(Hasil!$B84="","",Hasil!D84)</f>
        <v/>
      </c>
      <c r="E94" s="69" t="str">
        <f>IF(Hasil!$B84="","",Hasil!E84)</f>
        <v/>
      </c>
      <c r="F94" s="69" t="str">
        <f>IF(Hasil!$B84="","",Hasil!F84)</f>
        <v/>
      </c>
      <c r="G94" s="69" t="str">
        <f>IF(Hasil!$B84="","",Hasil!G84)</f>
        <v/>
      </c>
      <c r="H94" s="69" t="str">
        <f>IF(Hasil!$B84="","",Hasil!H84)</f>
        <v/>
      </c>
      <c r="I94" s="69" t="str">
        <f>IF(Hasil!$B84="","",Hasil!I84)</f>
        <v/>
      </c>
      <c r="J94" s="69" t="str">
        <f>IF(Hasil!$B84="","",Hasil!J84)</f>
        <v/>
      </c>
      <c r="K94" s="81" t="str">
        <f>IF(Hasil!$B84="","",Hasil!T84)</f>
        <v/>
      </c>
      <c r="L94" s="39" t="str">
        <f>IF(Hasil!$B84="","",Hasil!$V84)</f>
        <v/>
      </c>
      <c r="M94" s="69" t="str">
        <f>IF(Hasil!$B84="","",Hasil!$AU84)</f>
        <v/>
      </c>
      <c r="N94" s="69" t="str">
        <f>IF(Hasil!$B84="","",Hasil!$AV84)</f>
        <v/>
      </c>
    </row>
    <row r="95" spans="1:14">
      <c r="A95" s="38" t="str">
        <f>IF(Hasil!$B85="","",Hasil!A85)</f>
        <v/>
      </c>
      <c r="B95" t="str">
        <f>IF(Hasil!$B85="","",Hasil!B85)</f>
        <v/>
      </c>
      <c r="C95" t="str">
        <f>IF(Hasil!$B85="","",Hasil!C85)</f>
        <v/>
      </c>
      <c r="D95" t="str">
        <f>IF(Hasil!$B85="","",Hasil!D85)</f>
        <v/>
      </c>
      <c r="E95" s="69" t="str">
        <f>IF(Hasil!$B85="","",Hasil!E85)</f>
        <v/>
      </c>
      <c r="F95" s="69" t="str">
        <f>IF(Hasil!$B85="","",Hasil!F85)</f>
        <v/>
      </c>
      <c r="G95" s="69" t="str">
        <f>IF(Hasil!$B85="","",Hasil!G85)</f>
        <v/>
      </c>
      <c r="H95" s="69" t="str">
        <f>IF(Hasil!$B85="","",Hasil!H85)</f>
        <v/>
      </c>
      <c r="I95" s="69" t="str">
        <f>IF(Hasil!$B85="","",Hasil!I85)</f>
        <v/>
      </c>
      <c r="J95" s="69" t="str">
        <f>IF(Hasil!$B85="","",Hasil!J85)</f>
        <v/>
      </c>
      <c r="K95" s="81" t="str">
        <f>IF(Hasil!$B85="","",Hasil!T85)</f>
        <v/>
      </c>
      <c r="L95" s="39" t="str">
        <f>IF(Hasil!$B85="","",Hasil!$V85)</f>
        <v/>
      </c>
      <c r="M95" s="69" t="str">
        <f>IF(Hasil!$B85="","",Hasil!$AU85)</f>
        <v/>
      </c>
      <c r="N95" s="69" t="str">
        <f>IF(Hasil!$B85="","",Hasil!$AV85)</f>
        <v/>
      </c>
    </row>
    <row r="96" spans="1:14">
      <c r="A96" s="38" t="str">
        <f>IF(Hasil!$B86="","",Hasil!A86)</f>
        <v/>
      </c>
      <c r="B96" t="str">
        <f>IF(Hasil!$B86="","",Hasil!B86)</f>
        <v/>
      </c>
      <c r="C96" t="str">
        <f>IF(Hasil!$B86="","",Hasil!C86)</f>
        <v/>
      </c>
      <c r="D96" t="str">
        <f>IF(Hasil!$B86="","",Hasil!D86)</f>
        <v/>
      </c>
      <c r="E96" s="69" t="str">
        <f>IF(Hasil!$B86="","",Hasil!E86)</f>
        <v/>
      </c>
      <c r="F96" s="69" t="str">
        <f>IF(Hasil!$B86="","",Hasil!F86)</f>
        <v/>
      </c>
      <c r="G96" s="69" t="str">
        <f>IF(Hasil!$B86="","",Hasil!G86)</f>
        <v/>
      </c>
      <c r="H96" s="69" t="str">
        <f>IF(Hasil!$B86="","",Hasil!H86)</f>
        <v/>
      </c>
      <c r="I96" s="69" t="str">
        <f>IF(Hasil!$B86="","",Hasil!I86)</f>
        <v/>
      </c>
      <c r="J96" s="69" t="str">
        <f>IF(Hasil!$B86="","",Hasil!J86)</f>
        <v/>
      </c>
      <c r="K96" s="81" t="str">
        <f>IF(Hasil!$B86="","",Hasil!T86)</f>
        <v/>
      </c>
      <c r="L96" s="39" t="str">
        <f>IF(Hasil!$B86="","",Hasil!$V86)</f>
        <v/>
      </c>
      <c r="M96" s="69" t="str">
        <f>IF(Hasil!$B86="","",Hasil!$AU86)</f>
        <v/>
      </c>
      <c r="N96" s="69" t="str">
        <f>IF(Hasil!$B86="","",Hasil!$AV86)</f>
        <v/>
      </c>
    </row>
    <row r="97" spans="1:14">
      <c r="A97" s="38" t="str">
        <f>IF(Hasil!$B87="","",Hasil!A87)</f>
        <v/>
      </c>
      <c r="B97" t="str">
        <f>IF(Hasil!$B87="","",Hasil!B87)</f>
        <v/>
      </c>
      <c r="C97" t="str">
        <f>IF(Hasil!$B87="","",Hasil!C87)</f>
        <v/>
      </c>
      <c r="D97" t="str">
        <f>IF(Hasil!$B87="","",Hasil!D87)</f>
        <v/>
      </c>
      <c r="E97" s="69" t="str">
        <f>IF(Hasil!$B87="","",Hasil!E87)</f>
        <v/>
      </c>
      <c r="F97" s="69" t="str">
        <f>IF(Hasil!$B87="","",Hasil!F87)</f>
        <v/>
      </c>
      <c r="G97" s="69" t="str">
        <f>IF(Hasil!$B87="","",Hasil!G87)</f>
        <v/>
      </c>
      <c r="H97" s="69" t="str">
        <f>IF(Hasil!$B87="","",Hasil!H87)</f>
        <v/>
      </c>
      <c r="I97" s="69" t="str">
        <f>IF(Hasil!$B87="","",Hasil!I87)</f>
        <v/>
      </c>
      <c r="J97" s="69" t="str">
        <f>IF(Hasil!$B87="","",Hasil!J87)</f>
        <v/>
      </c>
      <c r="K97" s="81" t="str">
        <f>IF(Hasil!$B87="","",Hasil!T87)</f>
        <v/>
      </c>
      <c r="L97" s="39" t="str">
        <f>IF(Hasil!$B87="","",Hasil!$V87)</f>
        <v/>
      </c>
      <c r="M97" s="69" t="str">
        <f>IF(Hasil!$B87="","",Hasil!$AU87)</f>
        <v/>
      </c>
      <c r="N97" s="69" t="str">
        <f>IF(Hasil!$B87="","",Hasil!$AV87)</f>
        <v/>
      </c>
    </row>
    <row r="98" spans="1:14">
      <c r="A98" s="38" t="str">
        <f>IF(Hasil!$B88="","",Hasil!A88)</f>
        <v/>
      </c>
      <c r="B98" t="str">
        <f>IF(Hasil!$B88="","",Hasil!B88)</f>
        <v/>
      </c>
      <c r="C98" t="str">
        <f>IF(Hasil!$B88="","",Hasil!C88)</f>
        <v/>
      </c>
      <c r="D98" t="str">
        <f>IF(Hasil!$B88="","",Hasil!D88)</f>
        <v/>
      </c>
      <c r="E98" s="69" t="str">
        <f>IF(Hasil!$B88="","",Hasil!E88)</f>
        <v/>
      </c>
      <c r="F98" s="69" t="str">
        <f>IF(Hasil!$B88="","",Hasil!F88)</f>
        <v/>
      </c>
      <c r="G98" s="69" t="str">
        <f>IF(Hasil!$B88="","",Hasil!G88)</f>
        <v/>
      </c>
      <c r="H98" s="69" t="str">
        <f>IF(Hasil!$B88="","",Hasil!H88)</f>
        <v/>
      </c>
      <c r="I98" s="69" t="str">
        <f>IF(Hasil!$B88="","",Hasil!I88)</f>
        <v/>
      </c>
      <c r="J98" s="69" t="str">
        <f>IF(Hasil!$B88="","",Hasil!J88)</f>
        <v/>
      </c>
      <c r="K98" s="81" t="str">
        <f>IF(Hasil!$B88="","",Hasil!T88)</f>
        <v/>
      </c>
      <c r="L98" s="39" t="str">
        <f>IF(Hasil!$B88="","",Hasil!$V88)</f>
        <v/>
      </c>
      <c r="M98" s="69" t="str">
        <f>IF(Hasil!$B88="","",Hasil!$AU88)</f>
        <v/>
      </c>
      <c r="N98" s="69" t="str">
        <f>IF(Hasil!$B88="","",Hasil!$AV88)</f>
        <v/>
      </c>
    </row>
    <row r="99" spans="1:14">
      <c r="A99" s="38" t="str">
        <f>IF(Hasil!$B89="","",Hasil!A89)</f>
        <v/>
      </c>
      <c r="B99" t="str">
        <f>IF(Hasil!$B89="","",Hasil!B89)</f>
        <v/>
      </c>
      <c r="C99" t="str">
        <f>IF(Hasil!$B89="","",Hasil!C89)</f>
        <v/>
      </c>
      <c r="D99" t="str">
        <f>IF(Hasil!$B89="","",Hasil!D89)</f>
        <v/>
      </c>
      <c r="E99" s="69" t="str">
        <f>IF(Hasil!$B89="","",Hasil!E89)</f>
        <v/>
      </c>
      <c r="F99" s="69" t="str">
        <f>IF(Hasil!$B89="","",Hasil!F89)</f>
        <v/>
      </c>
      <c r="G99" s="69" t="str">
        <f>IF(Hasil!$B89="","",Hasil!G89)</f>
        <v/>
      </c>
      <c r="H99" s="69" t="str">
        <f>IF(Hasil!$B89="","",Hasil!H89)</f>
        <v/>
      </c>
      <c r="I99" s="69" t="str">
        <f>IF(Hasil!$B89="","",Hasil!I89)</f>
        <v/>
      </c>
      <c r="J99" s="69" t="str">
        <f>IF(Hasil!$B89="","",Hasil!J89)</f>
        <v/>
      </c>
      <c r="K99" s="81" t="str">
        <f>IF(Hasil!$B89="","",Hasil!T89)</f>
        <v/>
      </c>
      <c r="L99" s="39" t="str">
        <f>IF(Hasil!$B89="","",Hasil!$V89)</f>
        <v/>
      </c>
      <c r="M99" s="69" t="str">
        <f>IF(Hasil!$B89="","",Hasil!$AU89)</f>
        <v/>
      </c>
      <c r="N99" s="69" t="str">
        <f>IF(Hasil!$B89="","",Hasil!$AV89)</f>
        <v/>
      </c>
    </row>
    <row r="100" spans="1:14">
      <c r="A100" s="38" t="str">
        <f>IF(Hasil!$B90="","",Hasil!A90)</f>
        <v/>
      </c>
      <c r="B100" t="str">
        <f>IF(Hasil!$B90="","",Hasil!B90)</f>
        <v/>
      </c>
      <c r="C100" t="str">
        <f>IF(Hasil!$B90="","",Hasil!C90)</f>
        <v/>
      </c>
      <c r="D100" t="str">
        <f>IF(Hasil!$B90="","",Hasil!D90)</f>
        <v/>
      </c>
      <c r="E100" s="69" t="str">
        <f>IF(Hasil!$B90="","",Hasil!E90)</f>
        <v/>
      </c>
      <c r="F100" s="69" t="str">
        <f>IF(Hasil!$B90="","",Hasil!F90)</f>
        <v/>
      </c>
      <c r="G100" s="69" t="str">
        <f>IF(Hasil!$B90="","",Hasil!G90)</f>
        <v/>
      </c>
      <c r="H100" s="69" t="str">
        <f>IF(Hasil!$B90="","",Hasil!H90)</f>
        <v/>
      </c>
      <c r="I100" s="69" t="str">
        <f>IF(Hasil!$B90="","",Hasil!I90)</f>
        <v/>
      </c>
      <c r="J100" s="69" t="str">
        <f>IF(Hasil!$B90="","",Hasil!J90)</f>
        <v/>
      </c>
      <c r="K100" s="81" t="str">
        <f>IF(Hasil!$B90="","",Hasil!T90)</f>
        <v/>
      </c>
      <c r="L100" s="39" t="str">
        <f>IF(Hasil!$B90="","",Hasil!$V90)</f>
        <v/>
      </c>
      <c r="M100" s="69" t="str">
        <f>IF(Hasil!$B90="","",Hasil!$AU90)</f>
        <v/>
      </c>
      <c r="N100" s="69" t="str">
        <f>IF(Hasil!$B90="","",Hasil!$AV90)</f>
        <v/>
      </c>
    </row>
    <row r="101" spans="1:14">
      <c r="A101" s="38" t="str">
        <f>IF(Hasil!$B91="","",Hasil!A91)</f>
        <v/>
      </c>
      <c r="B101" t="str">
        <f>IF(Hasil!$B91="","",Hasil!B91)</f>
        <v/>
      </c>
      <c r="C101" t="str">
        <f>IF(Hasil!$B91="","",Hasil!C91)</f>
        <v/>
      </c>
      <c r="D101" t="str">
        <f>IF(Hasil!$B91="","",Hasil!D91)</f>
        <v/>
      </c>
      <c r="E101" s="69" t="str">
        <f>IF(Hasil!$B91="","",Hasil!E91)</f>
        <v/>
      </c>
      <c r="F101" s="69" t="str">
        <f>IF(Hasil!$B91="","",Hasil!F91)</f>
        <v/>
      </c>
      <c r="G101" s="69" t="str">
        <f>IF(Hasil!$B91="","",Hasil!G91)</f>
        <v/>
      </c>
      <c r="H101" s="69" t="str">
        <f>IF(Hasil!$B91="","",Hasil!H91)</f>
        <v/>
      </c>
      <c r="I101" s="69" t="str">
        <f>IF(Hasil!$B91="","",Hasil!I91)</f>
        <v/>
      </c>
      <c r="J101" s="69" t="str">
        <f>IF(Hasil!$B91="","",Hasil!J91)</f>
        <v/>
      </c>
      <c r="K101" s="81" t="str">
        <f>IF(Hasil!$B91="","",Hasil!T91)</f>
        <v/>
      </c>
      <c r="L101" s="39" t="str">
        <f>IF(Hasil!$B91="","",Hasil!$V91)</f>
        <v/>
      </c>
      <c r="M101" s="69" t="str">
        <f>IF(Hasil!$B91="","",Hasil!$AU91)</f>
        <v/>
      </c>
      <c r="N101" s="69" t="str">
        <f>IF(Hasil!$B91="","",Hasil!$AV91)</f>
        <v/>
      </c>
    </row>
    <row r="102" spans="1:14">
      <c r="A102" s="38" t="str">
        <f>IF(Hasil!$B92="","",Hasil!A92)</f>
        <v/>
      </c>
      <c r="B102" t="str">
        <f>IF(Hasil!$B92="","",Hasil!B92)</f>
        <v/>
      </c>
      <c r="C102" t="str">
        <f>IF(Hasil!$B92="","",Hasil!C92)</f>
        <v/>
      </c>
      <c r="D102" t="str">
        <f>IF(Hasil!$B92="","",Hasil!D92)</f>
        <v/>
      </c>
      <c r="E102" s="69" t="str">
        <f>IF(Hasil!$B92="","",Hasil!E92)</f>
        <v/>
      </c>
      <c r="F102" s="69" t="str">
        <f>IF(Hasil!$B92="","",Hasil!F92)</f>
        <v/>
      </c>
      <c r="G102" s="69" t="str">
        <f>IF(Hasil!$B92="","",Hasil!G92)</f>
        <v/>
      </c>
      <c r="H102" s="69" t="str">
        <f>IF(Hasil!$B92="","",Hasil!H92)</f>
        <v/>
      </c>
      <c r="I102" s="69" t="str">
        <f>IF(Hasil!$B92="","",Hasil!I92)</f>
        <v/>
      </c>
      <c r="J102" s="69" t="str">
        <f>IF(Hasil!$B92="","",Hasil!J92)</f>
        <v/>
      </c>
      <c r="K102" s="81" t="str">
        <f>IF(Hasil!$B92="","",Hasil!T92)</f>
        <v/>
      </c>
      <c r="L102" s="39" t="str">
        <f>IF(Hasil!$B92="","",Hasil!$V92)</f>
        <v/>
      </c>
      <c r="M102" s="69" t="str">
        <f>IF(Hasil!$B92="","",Hasil!$AU92)</f>
        <v/>
      </c>
      <c r="N102" s="69" t="str">
        <f>IF(Hasil!$B92="","",Hasil!$AV92)</f>
        <v/>
      </c>
    </row>
    <row r="103" spans="1:14">
      <c r="A103" s="38" t="str">
        <f>IF(Hasil!$B93="","",Hasil!A93)</f>
        <v/>
      </c>
      <c r="B103" t="str">
        <f>IF(Hasil!$B93="","",Hasil!B93)</f>
        <v/>
      </c>
      <c r="C103" t="str">
        <f>IF(Hasil!$B93="","",Hasil!C93)</f>
        <v/>
      </c>
      <c r="D103" t="str">
        <f>IF(Hasil!$B93="","",Hasil!D93)</f>
        <v/>
      </c>
      <c r="E103" s="69" t="str">
        <f>IF(Hasil!$B93="","",Hasil!E93)</f>
        <v/>
      </c>
      <c r="F103" s="69" t="str">
        <f>IF(Hasil!$B93="","",Hasil!F93)</f>
        <v/>
      </c>
      <c r="G103" s="69" t="str">
        <f>IF(Hasil!$B93="","",Hasil!G93)</f>
        <v/>
      </c>
      <c r="H103" s="69" t="str">
        <f>IF(Hasil!$B93="","",Hasil!H93)</f>
        <v/>
      </c>
      <c r="I103" s="69" t="str">
        <f>IF(Hasil!$B93="","",Hasil!I93)</f>
        <v/>
      </c>
      <c r="J103" s="69" t="str">
        <f>IF(Hasil!$B93="","",Hasil!J93)</f>
        <v/>
      </c>
      <c r="K103" s="81" t="str">
        <f>IF(Hasil!$B93="","",Hasil!T93)</f>
        <v/>
      </c>
      <c r="L103" s="39" t="str">
        <f>IF(Hasil!$B93="","",Hasil!$V93)</f>
        <v/>
      </c>
      <c r="M103" s="69" t="str">
        <f>IF(Hasil!$B93="","",Hasil!$AU93)</f>
        <v/>
      </c>
      <c r="N103" s="69" t="str">
        <f>IF(Hasil!$B93="","",Hasil!$AV93)</f>
        <v/>
      </c>
    </row>
    <row r="104" spans="1:14">
      <c r="A104" s="38" t="str">
        <f>IF(Hasil!$B94="","",Hasil!A94)</f>
        <v/>
      </c>
      <c r="B104" t="str">
        <f>IF(Hasil!$B94="","",Hasil!B94)</f>
        <v/>
      </c>
      <c r="C104" t="str">
        <f>IF(Hasil!$B94="","",Hasil!C94)</f>
        <v/>
      </c>
      <c r="D104" t="str">
        <f>IF(Hasil!$B94="","",Hasil!D94)</f>
        <v/>
      </c>
      <c r="E104" s="69" t="str">
        <f>IF(Hasil!$B94="","",Hasil!E94)</f>
        <v/>
      </c>
      <c r="F104" s="69" t="str">
        <f>IF(Hasil!$B94="","",Hasil!F94)</f>
        <v/>
      </c>
      <c r="G104" s="69" t="str">
        <f>IF(Hasil!$B94="","",Hasil!G94)</f>
        <v/>
      </c>
      <c r="H104" s="69" t="str">
        <f>IF(Hasil!$B94="","",Hasil!H94)</f>
        <v/>
      </c>
      <c r="I104" s="69" t="str">
        <f>IF(Hasil!$B94="","",Hasil!I94)</f>
        <v/>
      </c>
      <c r="J104" s="69" t="str">
        <f>IF(Hasil!$B94="","",Hasil!J94)</f>
        <v/>
      </c>
      <c r="K104" s="81" t="str">
        <f>IF(Hasil!$B94="","",Hasil!T94)</f>
        <v/>
      </c>
      <c r="L104" s="39" t="str">
        <f>IF(Hasil!$B94="","",Hasil!$V94)</f>
        <v/>
      </c>
      <c r="M104" s="69" t="str">
        <f>IF(Hasil!$B94="","",Hasil!$AU94)</f>
        <v/>
      </c>
      <c r="N104" s="69" t="str">
        <f>IF(Hasil!$B94="","",Hasil!$AV94)</f>
        <v/>
      </c>
    </row>
    <row r="105" spans="1:14">
      <c r="A105" s="38" t="str">
        <f>IF(Hasil!$B95="","",Hasil!A95)</f>
        <v/>
      </c>
      <c r="B105" t="str">
        <f>IF(Hasil!$B95="","",Hasil!B95)</f>
        <v/>
      </c>
      <c r="C105" t="str">
        <f>IF(Hasil!$B95="","",Hasil!C95)</f>
        <v/>
      </c>
      <c r="D105" t="str">
        <f>IF(Hasil!$B95="","",Hasil!D95)</f>
        <v/>
      </c>
      <c r="E105" s="69" t="str">
        <f>IF(Hasil!$B95="","",Hasil!E95)</f>
        <v/>
      </c>
      <c r="F105" s="69" t="str">
        <f>IF(Hasil!$B95="","",Hasil!F95)</f>
        <v/>
      </c>
      <c r="G105" s="69" t="str">
        <f>IF(Hasil!$B95="","",Hasil!G95)</f>
        <v/>
      </c>
      <c r="H105" s="69" t="str">
        <f>IF(Hasil!$B95="","",Hasil!H95)</f>
        <v/>
      </c>
      <c r="I105" s="69" t="str">
        <f>IF(Hasil!$B95="","",Hasil!I95)</f>
        <v/>
      </c>
      <c r="J105" s="69" t="str">
        <f>IF(Hasil!$B95="","",Hasil!J95)</f>
        <v/>
      </c>
      <c r="K105" s="81" t="str">
        <f>IF(Hasil!$B95="","",Hasil!T95)</f>
        <v/>
      </c>
      <c r="L105" s="39" t="str">
        <f>IF(Hasil!$B95="","",Hasil!$V95)</f>
        <v/>
      </c>
      <c r="M105" s="69" t="str">
        <f>IF(Hasil!$B95="","",Hasil!$AU95)</f>
        <v/>
      </c>
      <c r="N105" s="69" t="str">
        <f>IF(Hasil!$B95="","",Hasil!$AV95)</f>
        <v/>
      </c>
    </row>
    <row r="106" spans="1:14">
      <c r="A106" s="38" t="str">
        <f>IF(Hasil!$B96="","",Hasil!A96)</f>
        <v/>
      </c>
      <c r="B106" t="str">
        <f>IF(Hasil!$B96="","",Hasil!B96)</f>
        <v/>
      </c>
      <c r="C106" t="str">
        <f>IF(Hasil!$B96="","",Hasil!C96)</f>
        <v/>
      </c>
      <c r="D106" t="str">
        <f>IF(Hasil!$B96="","",Hasil!D96)</f>
        <v/>
      </c>
      <c r="E106" s="69" t="str">
        <f>IF(Hasil!$B96="","",Hasil!E96)</f>
        <v/>
      </c>
      <c r="F106" s="69" t="str">
        <f>IF(Hasil!$B96="","",Hasil!F96)</f>
        <v/>
      </c>
      <c r="G106" s="69" t="str">
        <f>IF(Hasil!$B96="","",Hasil!G96)</f>
        <v/>
      </c>
      <c r="H106" s="69" t="str">
        <f>IF(Hasil!$B96="","",Hasil!H96)</f>
        <v/>
      </c>
      <c r="I106" s="69" t="str">
        <f>IF(Hasil!$B96="","",Hasil!I96)</f>
        <v/>
      </c>
      <c r="J106" s="69" t="str">
        <f>IF(Hasil!$B96="","",Hasil!J96)</f>
        <v/>
      </c>
      <c r="K106" s="81" t="str">
        <f>IF(Hasil!$B96="","",Hasil!T96)</f>
        <v/>
      </c>
      <c r="L106" s="39" t="str">
        <f>IF(Hasil!$B96="","",Hasil!$V96)</f>
        <v/>
      </c>
      <c r="M106" s="69" t="str">
        <f>IF(Hasil!$B96="","",Hasil!$AU96)</f>
        <v/>
      </c>
      <c r="N106" s="69" t="str">
        <f>IF(Hasil!$B96="","",Hasil!$AV96)</f>
        <v/>
      </c>
    </row>
    <row r="107" spans="1:14">
      <c r="A107" s="38" t="str">
        <f>IF(Hasil!$B97="","",Hasil!A97)</f>
        <v/>
      </c>
      <c r="B107" t="str">
        <f>IF(Hasil!$B97="","",Hasil!B97)</f>
        <v/>
      </c>
      <c r="C107" t="str">
        <f>IF(Hasil!$B97="","",Hasil!C97)</f>
        <v/>
      </c>
      <c r="D107" t="str">
        <f>IF(Hasil!$B97="","",Hasil!D97)</f>
        <v/>
      </c>
      <c r="E107" s="69" t="str">
        <f>IF(Hasil!$B97="","",Hasil!E97)</f>
        <v/>
      </c>
      <c r="F107" s="69" t="str">
        <f>IF(Hasil!$B97="","",Hasil!F97)</f>
        <v/>
      </c>
      <c r="G107" s="69" t="str">
        <f>IF(Hasil!$B97="","",Hasil!G97)</f>
        <v/>
      </c>
      <c r="H107" s="69" t="str">
        <f>IF(Hasil!$B97="","",Hasil!H97)</f>
        <v/>
      </c>
      <c r="I107" s="69" t="str">
        <f>IF(Hasil!$B97="","",Hasil!I97)</f>
        <v/>
      </c>
      <c r="J107" s="69" t="str">
        <f>IF(Hasil!$B97="","",Hasil!J97)</f>
        <v/>
      </c>
      <c r="K107" s="81" t="str">
        <f>IF(Hasil!$B97="","",Hasil!T97)</f>
        <v/>
      </c>
      <c r="L107" s="39" t="str">
        <f>IF(Hasil!$B97="","",Hasil!$V97)</f>
        <v/>
      </c>
      <c r="M107" s="69" t="str">
        <f>IF(Hasil!$B97="","",Hasil!$AU97)</f>
        <v/>
      </c>
      <c r="N107" s="69" t="str">
        <f>IF(Hasil!$B97="","",Hasil!$AV97)</f>
        <v/>
      </c>
    </row>
    <row r="108" spans="1:14">
      <c r="A108" s="38" t="str">
        <f>IF(Hasil!$B98="","",Hasil!A98)</f>
        <v/>
      </c>
      <c r="B108" t="str">
        <f>IF(Hasil!$B98="","",Hasil!B98)</f>
        <v/>
      </c>
      <c r="C108" t="str">
        <f>IF(Hasil!$B98="","",Hasil!C98)</f>
        <v/>
      </c>
      <c r="D108" t="str">
        <f>IF(Hasil!$B98="","",Hasil!D98)</f>
        <v/>
      </c>
      <c r="E108" s="69" t="str">
        <f>IF(Hasil!$B98="","",Hasil!E98)</f>
        <v/>
      </c>
      <c r="F108" s="69" t="str">
        <f>IF(Hasil!$B98="","",Hasil!F98)</f>
        <v/>
      </c>
      <c r="G108" s="69" t="str">
        <f>IF(Hasil!$B98="","",Hasil!G98)</f>
        <v/>
      </c>
      <c r="H108" s="69" t="str">
        <f>IF(Hasil!$B98="","",Hasil!H98)</f>
        <v/>
      </c>
      <c r="I108" s="69" t="str">
        <f>IF(Hasil!$B98="","",Hasil!I98)</f>
        <v/>
      </c>
      <c r="J108" s="69" t="str">
        <f>IF(Hasil!$B98="","",Hasil!J98)</f>
        <v/>
      </c>
      <c r="K108" s="81" t="str">
        <f>IF(Hasil!$B98="","",Hasil!T98)</f>
        <v/>
      </c>
      <c r="L108" s="39" t="str">
        <f>IF(Hasil!$B98="","",Hasil!$V98)</f>
        <v/>
      </c>
      <c r="M108" s="69" t="str">
        <f>IF(Hasil!$B98="","",Hasil!$AU98)</f>
        <v/>
      </c>
      <c r="N108" s="69" t="str">
        <f>IF(Hasil!$B98="","",Hasil!$AV98)</f>
        <v/>
      </c>
    </row>
    <row r="109" spans="1:14">
      <c r="A109" s="38" t="str">
        <f>IF(Hasil!$B99="","",Hasil!A99)</f>
        <v/>
      </c>
      <c r="B109" t="str">
        <f>IF(Hasil!$B99="","",Hasil!B99)</f>
        <v/>
      </c>
      <c r="C109" t="str">
        <f>IF(Hasil!$B99="","",Hasil!C99)</f>
        <v/>
      </c>
      <c r="D109" t="str">
        <f>IF(Hasil!$B99="","",Hasil!D99)</f>
        <v/>
      </c>
      <c r="E109" s="69" t="str">
        <f>IF(Hasil!$B99="","",Hasil!E99)</f>
        <v/>
      </c>
      <c r="F109" s="69" t="str">
        <f>IF(Hasil!$B99="","",Hasil!F99)</f>
        <v/>
      </c>
      <c r="G109" s="69" t="str">
        <f>IF(Hasil!$B99="","",Hasil!G99)</f>
        <v/>
      </c>
      <c r="H109" s="69" t="str">
        <f>IF(Hasil!$B99="","",Hasil!H99)</f>
        <v/>
      </c>
      <c r="I109" s="69" t="str">
        <f>IF(Hasil!$B99="","",Hasil!I99)</f>
        <v/>
      </c>
      <c r="J109" s="69" t="str">
        <f>IF(Hasil!$B99="","",Hasil!J99)</f>
        <v/>
      </c>
      <c r="K109" s="81" t="str">
        <f>IF(Hasil!$B99="","",Hasil!T99)</f>
        <v/>
      </c>
      <c r="L109" s="39" t="str">
        <f>IF(Hasil!$B99="","",Hasil!$V99)</f>
        <v/>
      </c>
      <c r="M109" s="69" t="str">
        <f>IF(Hasil!$B99="","",Hasil!$AU99)</f>
        <v/>
      </c>
      <c r="N109" s="69" t="str">
        <f>IF(Hasil!$B99="","",Hasil!$AV99)</f>
        <v/>
      </c>
    </row>
    <row r="110" spans="1:14">
      <c r="A110" s="38" t="str">
        <f>IF(Hasil!$B100="","",Hasil!A100)</f>
        <v/>
      </c>
      <c r="B110" t="str">
        <f>IF(Hasil!$B100="","",Hasil!B100)</f>
        <v/>
      </c>
      <c r="C110" t="str">
        <f>IF(Hasil!$B100="","",Hasil!C100)</f>
        <v/>
      </c>
      <c r="D110" t="str">
        <f>IF(Hasil!$B100="","",Hasil!D100)</f>
        <v/>
      </c>
      <c r="E110" s="69" t="str">
        <f>IF(Hasil!$B100="","",Hasil!E100)</f>
        <v/>
      </c>
      <c r="F110" s="69" t="str">
        <f>IF(Hasil!$B100="","",Hasil!F100)</f>
        <v/>
      </c>
      <c r="G110" s="69" t="str">
        <f>IF(Hasil!$B100="","",Hasil!G100)</f>
        <v/>
      </c>
      <c r="H110" s="69" t="str">
        <f>IF(Hasil!$B100="","",Hasil!H100)</f>
        <v/>
      </c>
      <c r="I110" s="69" t="str">
        <f>IF(Hasil!$B100="","",Hasil!I100)</f>
        <v/>
      </c>
      <c r="J110" s="69" t="str">
        <f>IF(Hasil!$B100="","",Hasil!J100)</f>
        <v/>
      </c>
      <c r="K110" s="81" t="str">
        <f>IF(Hasil!$B100="","",Hasil!T100)</f>
        <v/>
      </c>
      <c r="L110" s="39" t="str">
        <f>IF(Hasil!$B100="","",Hasil!$V100)</f>
        <v/>
      </c>
      <c r="M110" s="69" t="str">
        <f>IF(Hasil!$B100="","",Hasil!$AU100)</f>
        <v/>
      </c>
      <c r="N110" s="69" t="str">
        <f>IF(Hasil!$B100="","",Hasil!$AV100)</f>
        <v/>
      </c>
    </row>
    <row r="111" spans="1:14">
      <c r="A111" s="38" t="str">
        <f>IF(Hasil!$B101="","",Hasil!A101)</f>
        <v/>
      </c>
      <c r="B111" t="str">
        <f>IF(Hasil!$B101="","",Hasil!B101)</f>
        <v/>
      </c>
      <c r="C111" t="str">
        <f>IF(Hasil!$B101="","",Hasil!C101)</f>
        <v/>
      </c>
      <c r="D111" t="str">
        <f>IF(Hasil!$B101="","",Hasil!D101)</f>
        <v/>
      </c>
      <c r="E111" s="69" t="str">
        <f>IF(Hasil!$B101="","",Hasil!E101)</f>
        <v/>
      </c>
      <c r="F111" s="69" t="str">
        <f>IF(Hasil!$B101="","",Hasil!F101)</f>
        <v/>
      </c>
      <c r="G111" s="69" t="str">
        <f>IF(Hasil!$B101="","",Hasil!G101)</f>
        <v/>
      </c>
      <c r="H111" s="69" t="str">
        <f>IF(Hasil!$B101="","",Hasil!H101)</f>
        <v/>
      </c>
      <c r="I111" s="69" t="str">
        <f>IF(Hasil!$B101="","",Hasil!I101)</f>
        <v/>
      </c>
      <c r="J111" s="69" t="str">
        <f>IF(Hasil!$B101="","",Hasil!J101)</f>
        <v/>
      </c>
      <c r="K111" s="81" t="str">
        <f>IF(Hasil!$B101="","",Hasil!T101)</f>
        <v/>
      </c>
      <c r="L111" s="39" t="str">
        <f>IF(Hasil!$B101="","",Hasil!$V101)</f>
        <v/>
      </c>
      <c r="M111" s="69" t="str">
        <f>IF(Hasil!$B101="","",Hasil!$AU101)</f>
        <v/>
      </c>
      <c r="N111" s="69" t="str">
        <f>IF(Hasil!$B101="","",Hasil!$AV101)</f>
        <v/>
      </c>
    </row>
    <row r="112" spans="1:14">
      <c r="A112" s="38" t="str">
        <f>IF(Hasil!$B102="","",Hasil!A102)</f>
        <v/>
      </c>
      <c r="B112" t="str">
        <f>IF(Hasil!$B102="","",Hasil!B102)</f>
        <v/>
      </c>
      <c r="C112" t="str">
        <f>IF(Hasil!$B102="","",Hasil!C102)</f>
        <v/>
      </c>
      <c r="D112" t="str">
        <f>IF(Hasil!$B102="","",Hasil!D102)</f>
        <v/>
      </c>
      <c r="E112" s="69" t="str">
        <f>IF(Hasil!$B102="","",Hasil!E102)</f>
        <v/>
      </c>
      <c r="F112" s="69" t="str">
        <f>IF(Hasil!$B102="","",Hasil!F102)</f>
        <v/>
      </c>
      <c r="G112" s="69" t="str">
        <f>IF(Hasil!$B102="","",Hasil!G102)</f>
        <v/>
      </c>
      <c r="H112" s="69" t="str">
        <f>IF(Hasil!$B102="","",Hasil!H102)</f>
        <v/>
      </c>
      <c r="I112" s="69" t="str">
        <f>IF(Hasil!$B102="","",Hasil!I102)</f>
        <v/>
      </c>
      <c r="J112" s="69" t="str">
        <f>IF(Hasil!$B102="","",Hasil!J102)</f>
        <v/>
      </c>
      <c r="K112" s="81" t="str">
        <f>IF(Hasil!$B102="","",Hasil!T102)</f>
        <v/>
      </c>
      <c r="L112" s="39" t="str">
        <f>IF(Hasil!$B102="","",Hasil!$V102)</f>
        <v/>
      </c>
      <c r="M112" s="69" t="str">
        <f>IF(Hasil!$B102="","",Hasil!$AU102)</f>
        <v/>
      </c>
      <c r="N112" s="69" t="str">
        <f>IF(Hasil!$B102="","",Hasil!$AV102)</f>
        <v/>
      </c>
    </row>
    <row r="113" spans="1:14">
      <c r="A113" s="38" t="str">
        <f>IF(Hasil!$B103="","",Hasil!A103)</f>
        <v/>
      </c>
      <c r="B113" t="str">
        <f>IF(Hasil!$B103="","",Hasil!B103)</f>
        <v/>
      </c>
      <c r="C113" t="str">
        <f>IF(Hasil!$B103="","",Hasil!C103)</f>
        <v/>
      </c>
      <c r="D113" t="str">
        <f>IF(Hasil!$B103="","",Hasil!D103)</f>
        <v/>
      </c>
      <c r="E113" s="69" t="str">
        <f>IF(Hasil!$B103="","",Hasil!E103)</f>
        <v/>
      </c>
      <c r="F113" s="69" t="str">
        <f>IF(Hasil!$B103="","",Hasil!F103)</f>
        <v/>
      </c>
      <c r="G113" s="69" t="str">
        <f>IF(Hasil!$B103="","",Hasil!G103)</f>
        <v/>
      </c>
      <c r="H113" s="69" t="str">
        <f>IF(Hasil!$B103="","",Hasil!H103)</f>
        <v/>
      </c>
      <c r="I113" s="69" t="str">
        <f>IF(Hasil!$B103="","",Hasil!I103)</f>
        <v/>
      </c>
      <c r="J113" s="69" t="str">
        <f>IF(Hasil!$B103="","",Hasil!J103)</f>
        <v/>
      </c>
      <c r="K113" s="81" t="str">
        <f>IF(Hasil!$B103="","",Hasil!T103)</f>
        <v/>
      </c>
      <c r="L113" s="39" t="str">
        <f>IF(Hasil!$B103="","",Hasil!$V103)</f>
        <v/>
      </c>
      <c r="M113" s="69" t="str">
        <f>IF(Hasil!$B103="","",Hasil!$AU103)</f>
        <v/>
      </c>
      <c r="N113" s="69" t="str">
        <f>IF(Hasil!$B103="","",Hasil!$AV103)</f>
        <v/>
      </c>
    </row>
    <row r="114" spans="1:14">
      <c r="A114" s="38" t="str">
        <f>IF(Hasil!$B104="","",Hasil!A104)</f>
        <v/>
      </c>
      <c r="B114" t="str">
        <f>IF(Hasil!$B104="","",Hasil!B104)</f>
        <v/>
      </c>
      <c r="C114" t="str">
        <f>IF(Hasil!$B104="","",Hasil!C104)</f>
        <v/>
      </c>
      <c r="D114" t="str">
        <f>IF(Hasil!$B104="","",Hasil!D104)</f>
        <v/>
      </c>
      <c r="E114" s="69" t="str">
        <f>IF(Hasil!$B104="","",Hasil!E104)</f>
        <v/>
      </c>
      <c r="F114" s="69" t="str">
        <f>IF(Hasil!$B104="","",Hasil!F104)</f>
        <v/>
      </c>
      <c r="G114" s="69" t="str">
        <f>IF(Hasil!$B104="","",Hasil!G104)</f>
        <v/>
      </c>
      <c r="H114" s="69" t="str">
        <f>IF(Hasil!$B104="","",Hasil!H104)</f>
        <v/>
      </c>
      <c r="I114" s="69" t="str">
        <f>IF(Hasil!$B104="","",Hasil!I104)</f>
        <v/>
      </c>
      <c r="J114" s="69" t="str">
        <f>IF(Hasil!$B104="","",Hasil!J104)</f>
        <v/>
      </c>
      <c r="K114" s="81" t="str">
        <f>IF(Hasil!$B104="","",Hasil!T104)</f>
        <v/>
      </c>
      <c r="L114" s="39" t="str">
        <f>IF(Hasil!$B104="","",Hasil!$V104)</f>
        <v/>
      </c>
      <c r="M114" s="69" t="str">
        <f>IF(Hasil!$B104="","",Hasil!$AU104)</f>
        <v/>
      </c>
      <c r="N114" s="69" t="str">
        <f>IF(Hasil!$B104="","",Hasil!$AV104)</f>
        <v/>
      </c>
    </row>
    <row r="115" spans="1:14">
      <c r="A115" s="38" t="str">
        <f>IF(Hasil!$B105="","",Hasil!A105)</f>
        <v/>
      </c>
      <c r="B115" t="str">
        <f>IF(Hasil!$B105="","",Hasil!B105)</f>
        <v/>
      </c>
      <c r="C115" t="str">
        <f>IF(Hasil!$B105="","",Hasil!C105)</f>
        <v/>
      </c>
      <c r="D115" t="str">
        <f>IF(Hasil!$B105="","",Hasil!D105)</f>
        <v/>
      </c>
      <c r="E115" s="69" t="str">
        <f>IF(Hasil!$B105="","",Hasil!E105)</f>
        <v/>
      </c>
      <c r="F115" s="69" t="str">
        <f>IF(Hasil!$B105="","",Hasil!F105)</f>
        <v/>
      </c>
      <c r="G115" s="69" t="str">
        <f>IF(Hasil!$B105="","",Hasil!G105)</f>
        <v/>
      </c>
      <c r="H115" s="69" t="str">
        <f>IF(Hasil!$B105="","",Hasil!H105)</f>
        <v/>
      </c>
      <c r="I115" s="69" t="str">
        <f>IF(Hasil!$B105="","",Hasil!I105)</f>
        <v/>
      </c>
      <c r="J115" s="69" t="str">
        <f>IF(Hasil!$B105="","",Hasil!J105)</f>
        <v/>
      </c>
      <c r="K115" s="81" t="str">
        <f>IF(Hasil!$B105="","",Hasil!T105)</f>
        <v/>
      </c>
      <c r="L115" s="39" t="str">
        <f>IF(Hasil!$B105="","",Hasil!$V105)</f>
        <v/>
      </c>
      <c r="M115" s="69" t="str">
        <f>IF(Hasil!$B105="","",Hasil!$AU105)</f>
        <v/>
      </c>
      <c r="N115" s="69" t="str">
        <f>IF(Hasil!$B105="","",Hasil!$AV105)</f>
        <v/>
      </c>
    </row>
    <row r="116" spans="1:14">
      <c r="A116" s="38" t="str">
        <f>IF(Hasil!$B106="","",Hasil!A106)</f>
        <v/>
      </c>
      <c r="B116" t="str">
        <f>IF(Hasil!$B106="","",Hasil!B106)</f>
        <v/>
      </c>
      <c r="C116" t="str">
        <f>IF(Hasil!$B106="","",Hasil!C106)</f>
        <v/>
      </c>
      <c r="D116" t="str">
        <f>IF(Hasil!$B106="","",Hasil!D106)</f>
        <v/>
      </c>
      <c r="E116" s="69" t="str">
        <f>IF(Hasil!$B106="","",Hasil!E106)</f>
        <v/>
      </c>
      <c r="F116" s="69" t="str">
        <f>IF(Hasil!$B106="","",Hasil!F106)</f>
        <v/>
      </c>
      <c r="G116" s="69" t="str">
        <f>IF(Hasil!$B106="","",Hasil!G106)</f>
        <v/>
      </c>
      <c r="H116" s="69" t="str">
        <f>IF(Hasil!$B106="","",Hasil!H106)</f>
        <v/>
      </c>
      <c r="I116" s="69" t="str">
        <f>IF(Hasil!$B106="","",Hasil!I106)</f>
        <v/>
      </c>
      <c r="J116" s="69" t="str">
        <f>IF(Hasil!$B106="","",Hasil!J106)</f>
        <v/>
      </c>
      <c r="K116" s="81" t="str">
        <f>IF(Hasil!$B106="","",Hasil!T106)</f>
        <v/>
      </c>
      <c r="L116" s="39" t="str">
        <f>IF(Hasil!$B106="","",Hasil!$V106)</f>
        <v/>
      </c>
      <c r="M116" s="69" t="str">
        <f>IF(Hasil!$B106="","",Hasil!$AU106)</f>
        <v/>
      </c>
      <c r="N116" s="69" t="str">
        <f>IF(Hasil!$B106="","",Hasil!$AV106)</f>
        <v/>
      </c>
    </row>
    <row r="117" spans="1:14">
      <c r="A117" s="38" t="str">
        <f>IF(Hasil!$B107="","",Hasil!A107)</f>
        <v/>
      </c>
      <c r="B117" t="str">
        <f>IF(Hasil!$B107="","",Hasil!B107)</f>
        <v/>
      </c>
      <c r="C117" t="str">
        <f>IF(Hasil!$B107="","",Hasil!C107)</f>
        <v/>
      </c>
      <c r="D117" t="str">
        <f>IF(Hasil!$B107="","",Hasil!D107)</f>
        <v/>
      </c>
      <c r="E117" s="69" t="str">
        <f>IF(Hasil!$B107="","",Hasil!E107)</f>
        <v/>
      </c>
      <c r="F117" s="69" t="str">
        <f>IF(Hasil!$B107="","",Hasil!F107)</f>
        <v/>
      </c>
      <c r="G117" s="69" t="str">
        <f>IF(Hasil!$B107="","",Hasil!G107)</f>
        <v/>
      </c>
      <c r="H117" s="69" t="str">
        <f>IF(Hasil!$B107="","",Hasil!H107)</f>
        <v/>
      </c>
      <c r="I117" s="69" t="str">
        <f>IF(Hasil!$B107="","",Hasil!I107)</f>
        <v/>
      </c>
      <c r="J117" s="69" t="str">
        <f>IF(Hasil!$B107="","",Hasil!J107)</f>
        <v/>
      </c>
      <c r="K117" s="81" t="str">
        <f>IF(Hasil!$B107="","",Hasil!T107)</f>
        <v/>
      </c>
      <c r="L117" s="39" t="str">
        <f>IF(Hasil!$B107="","",Hasil!$V107)</f>
        <v/>
      </c>
      <c r="M117" s="69" t="str">
        <f>IF(Hasil!$B107="","",Hasil!$AU107)</f>
        <v/>
      </c>
      <c r="N117" s="69" t="str">
        <f>IF(Hasil!$B107="","",Hasil!$AV107)</f>
        <v/>
      </c>
    </row>
    <row r="118" spans="1:14">
      <c r="A118" s="38" t="str">
        <f>IF(Hasil!$B108="","",Hasil!A108)</f>
        <v/>
      </c>
      <c r="B118" t="str">
        <f>IF(Hasil!$B108="","",Hasil!B108)</f>
        <v/>
      </c>
      <c r="C118" t="str">
        <f>IF(Hasil!$B108="","",Hasil!C108)</f>
        <v/>
      </c>
      <c r="D118" t="str">
        <f>IF(Hasil!$B108="","",Hasil!D108)</f>
        <v/>
      </c>
      <c r="E118" s="69" t="str">
        <f>IF(Hasil!$B108="","",Hasil!E108)</f>
        <v/>
      </c>
      <c r="F118" s="69" t="str">
        <f>IF(Hasil!$B108="","",Hasil!F108)</f>
        <v/>
      </c>
      <c r="G118" s="69" t="str">
        <f>IF(Hasil!$B108="","",Hasil!G108)</f>
        <v/>
      </c>
      <c r="H118" s="69" t="str">
        <f>IF(Hasil!$B108="","",Hasil!H108)</f>
        <v/>
      </c>
      <c r="I118" s="69" t="str">
        <f>IF(Hasil!$B108="","",Hasil!I108)</f>
        <v/>
      </c>
      <c r="J118" s="69" t="str">
        <f>IF(Hasil!$B108="","",Hasil!J108)</f>
        <v/>
      </c>
      <c r="K118" s="81" t="str">
        <f>IF(Hasil!$B108="","",Hasil!T108)</f>
        <v/>
      </c>
      <c r="L118" s="39" t="str">
        <f>IF(Hasil!$B108="","",Hasil!$V108)</f>
        <v/>
      </c>
      <c r="M118" s="69" t="str">
        <f>IF(Hasil!$B108="","",Hasil!$AU108)</f>
        <v/>
      </c>
      <c r="N118" s="69" t="str">
        <f>IF(Hasil!$B108="","",Hasil!$AV108)</f>
        <v/>
      </c>
    </row>
    <row r="119" spans="1:14">
      <c r="A119" s="38" t="str">
        <f>IF(Hasil!$B109="","",Hasil!A109)</f>
        <v/>
      </c>
      <c r="B119" t="str">
        <f>IF(Hasil!$B109="","",Hasil!B109)</f>
        <v/>
      </c>
      <c r="C119" t="str">
        <f>IF(Hasil!$B109="","",Hasil!C109)</f>
        <v/>
      </c>
      <c r="D119" t="str">
        <f>IF(Hasil!$B109="","",Hasil!D109)</f>
        <v/>
      </c>
      <c r="E119" s="69" t="str">
        <f>IF(Hasil!$B109="","",Hasil!E109)</f>
        <v/>
      </c>
      <c r="F119" s="69" t="str">
        <f>IF(Hasil!$B109="","",Hasil!F109)</f>
        <v/>
      </c>
      <c r="G119" s="69" t="str">
        <f>IF(Hasil!$B109="","",Hasil!G109)</f>
        <v/>
      </c>
      <c r="H119" s="69" t="str">
        <f>IF(Hasil!$B109="","",Hasil!H109)</f>
        <v/>
      </c>
      <c r="I119" s="69" t="str">
        <f>IF(Hasil!$B109="","",Hasil!I109)</f>
        <v/>
      </c>
      <c r="J119" s="69" t="str">
        <f>IF(Hasil!$B109="","",Hasil!J109)</f>
        <v/>
      </c>
      <c r="K119" s="81" t="str">
        <f>IF(Hasil!$B109="","",Hasil!T109)</f>
        <v/>
      </c>
      <c r="L119" s="39" t="str">
        <f>IF(Hasil!$B109="","",Hasil!$V109)</f>
        <v/>
      </c>
      <c r="M119" s="69" t="str">
        <f>IF(Hasil!$B109="","",Hasil!$AU109)</f>
        <v/>
      </c>
      <c r="N119" s="69" t="str">
        <f>IF(Hasil!$B109="","",Hasil!$AV109)</f>
        <v/>
      </c>
    </row>
    <row r="120" spans="1:14">
      <c r="A120" s="38" t="str">
        <f>IF(Hasil!$B110="","",Hasil!A110)</f>
        <v/>
      </c>
      <c r="B120" t="str">
        <f>IF(Hasil!$B110="","",Hasil!B110)</f>
        <v/>
      </c>
      <c r="C120" t="str">
        <f>IF(Hasil!$B110="","",Hasil!C110)</f>
        <v/>
      </c>
      <c r="D120" t="str">
        <f>IF(Hasil!$B110="","",Hasil!D110)</f>
        <v/>
      </c>
      <c r="E120" s="69" t="str">
        <f>IF(Hasil!$B110="","",Hasil!E110)</f>
        <v/>
      </c>
      <c r="F120" s="69" t="str">
        <f>IF(Hasil!$B110="","",Hasil!F110)</f>
        <v/>
      </c>
      <c r="G120" s="69" t="str">
        <f>IF(Hasil!$B110="","",Hasil!G110)</f>
        <v/>
      </c>
      <c r="H120" s="69" t="str">
        <f>IF(Hasil!$B110="","",Hasil!H110)</f>
        <v/>
      </c>
      <c r="I120" s="69" t="str">
        <f>IF(Hasil!$B110="","",Hasil!I110)</f>
        <v/>
      </c>
      <c r="J120" s="69" t="str">
        <f>IF(Hasil!$B110="","",Hasil!J110)</f>
        <v/>
      </c>
      <c r="K120" s="81" t="str">
        <f>IF(Hasil!$B110="","",Hasil!T110)</f>
        <v/>
      </c>
      <c r="L120" s="39" t="str">
        <f>IF(Hasil!$B110="","",Hasil!$V110)</f>
        <v/>
      </c>
      <c r="M120" s="69" t="str">
        <f>IF(Hasil!$B110="","",Hasil!$AU110)</f>
        <v/>
      </c>
      <c r="N120" s="69" t="str">
        <f>IF(Hasil!$B110="","",Hasil!$AV110)</f>
        <v/>
      </c>
    </row>
    <row r="121" spans="1:14">
      <c r="A121" s="38" t="str">
        <f>IF(Hasil!$B111="","",Hasil!A111)</f>
        <v/>
      </c>
      <c r="B121" t="str">
        <f>IF(Hasil!$B111="","",Hasil!B111)</f>
        <v/>
      </c>
      <c r="C121" t="str">
        <f>IF(Hasil!$B111="","",Hasil!C111)</f>
        <v/>
      </c>
      <c r="D121" t="str">
        <f>IF(Hasil!$B111="","",Hasil!D111)</f>
        <v/>
      </c>
      <c r="E121" s="69" t="str">
        <f>IF(Hasil!$B111="","",Hasil!E111)</f>
        <v/>
      </c>
      <c r="F121" s="69" t="str">
        <f>IF(Hasil!$B111="","",Hasil!F111)</f>
        <v/>
      </c>
      <c r="G121" s="69" t="str">
        <f>IF(Hasil!$B111="","",Hasil!G111)</f>
        <v/>
      </c>
      <c r="H121" s="69" t="str">
        <f>IF(Hasil!$B111="","",Hasil!H111)</f>
        <v/>
      </c>
      <c r="I121" s="69" t="str">
        <f>IF(Hasil!$B111="","",Hasil!I111)</f>
        <v/>
      </c>
      <c r="J121" s="69" t="str">
        <f>IF(Hasil!$B111="","",Hasil!J111)</f>
        <v/>
      </c>
      <c r="K121" s="81" t="str">
        <f>IF(Hasil!$B111="","",Hasil!T111)</f>
        <v/>
      </c>
      <c r="L121" s="39" t="str">
        <f>IF(Hasil!$B111="","",Hasil!$V111)</f>
        <v/>
      </c>
      <c r="M121" s="69" t="str">
        <f>IF(Hasil!$B111="","",Hasil!$AU111)</f>
        <v/>
      </c>
      <c r="N121" s="69" t="str">
        <f>IF(Hasil!$B111="","",Hasil!$AV111)</f>
        <v/>
      </c>
    </row>
    <row r="122" spans="1:14">
      <c r="A122" s="38" t="str">
        <f>IF(Hasil!$B112="","",Hasil!A112)</f>
        <v/>
      </c>
      <c r="B122" t="str">
        <f>IF(Hasil!$B112="","",Hasil!B112)</f>
        <v/>
      </c>
      <c r="C122" t="str">
        <f>IF(Hasil!$B112="","",Hasil!C112)</f>
        <v/>
      </c>
      <c r="D122" t="str">
        <f>IF(Hasil!$B112="","",Hasil!D112)</f>
        <v/>
      </c>
      <c r="E122" s="69" t="str">
        <f>IF(Hasil!$B112="","",Hasil!E112)</f>
        <v/>
      </c>
      <c r="F122" s="69" t="str">
        <f>IF(Hasil!$B112="","",Hasil!F112)</f>
        <v/>
      </c>
      <c r="G122" s="69" t="str">
        <f>IF(Hasil!$B112="","",Hasil!G112)</f>
        <v/>
      </c>
      <c r="H122" s="69" t="str">
        <f>IF(Hasil!$B112="","",Hasil!H112)</f>
        <v/>
      </c>
      <c r="I122" s="69" t="str">
        <f>IF(Hasil!$B112="","",Hasil!I112)</f>
        <v/>
      </c>
      <c r="J122" s="69" t="str">
        <f>IF(Hasil!$B112="","",Hasil!J112)</f>
        <v/>
      </c>
      <c r="K122" s="81" t="str">
        <f>IF(Hasil!$B112="","",Hasil!T112)</f>
        <v/>
      </c>
      <c r="L122" s="39" t="str">
        <f>IF(Hasil!$B112="","",Hasil!$V112)</f>
        <v/>
      </c>
      <c r="M122" s="69" t="str">
        <f>IF(Hasil!$B112="","",Hasil!$AU112)</f>
        <v/>
      </c>
      <c r="N122" s="69" t="str">
        <f>IF(Hasil!$B112="","",Hasil!$AV112)</f>
        <v/>
      </c>
    </row>
    <row r="123" spans="1:14">
      <c r="A123" s="38" t="str">
        <f>IF(Hasil!$B113="","",Hasil!A113)</f>
        <v/>
      </c>
      <c r="B123" t="str">
        <f>IF(Hasil!$B113="","",Hasil!B113)</f>
        <v/>
      </c>
      <c r="C123" t="str">
        <f>IF(Hasil!$B113="","",Hasil!C113)</f>
        <v/>
      </c>
      <c r="D123" t="str">
        <f>IF(Hasil!$B113="","",Hasil!D113)</f>
        <v/>
      </c>
      <c r="E123" s="69" t="str">
        <f>IF(Hasil!$B113="","",Hasil!E113)</f>
        <v/>
      </c>
      <c r="F123" s="69" t="str">
        <f>IF(Hasil!$B113="","",Hasil!F113)</f>
        <v/>
      </c>
      <c r="G123" s="69" t="str">
        <f>IF(Hasil!$B113="","",Hasil!G113)</f>
        <v/>
      </c>
      <c r="H123" s="69" t="str">
        <f>IF(Hasil!$B113="","",Hasil!H113)</f>
        <v/>
      </c>
      <c r="I123" s="69" t="str">
        <f>IF(Hasil!$B113="","",Hasil!I113)</f>
        <v/>
      </c>
      <c r="J123" s="69" t="str">
        <f>IF(Hasil!$B113="","",Hasil!J113)</f>
        <v/>
      </c>
      <c r="K123" s="81" t="str">
        <f>IF(Hasil!$B113="","",Hasil!T113)</f>
        <v/>
      </c>
      <c r="L123" s="39" t="str">
        <f>IF(Hasil!$B113="","",Hasil!$V113)</f>
        <v/>
      </c>
      <c r="M123" s="69" t="str">
        <f>IF(Hasil!$B113="","",Hasil!$AU113)</f>
        <v/>
      </c>
      <c r="N123" s="69" t="str">
        <f>IF(Hasil!$B113="","",Hasil!$AV113)</f>
        <v/>
      </c>
    </row>
    <row r="124" spans="1:14">
      <c r="A124" s="38" t="str">
        <f>IF(Hasil!$B114="","",Hasil!A114)</f>
        <v/>
      </c>
      <c r="B124" t="str">
        <f>IF(Hasil!$B114="","",Hasil!B114)</f>
        <v/>
      </c>
      <c r="C124" t="str">
        <f>IF(Hasil!$B114="","",Hasil!C114)</f>
        <v/>
      </c>
      <c r="D124" t="str">
        <f>IF(Hasil!$B114="","",Hasil!D114)</f>
        <v/>
      </c>
      <c r="E124" s="69" t="str">
        <f>IF(Hasil!$B114="","",Hasil!E114)</f>
        <v/>
      </c>
      <c r="F124" s="69" t="str">
        <f>IF(Hasil!$B114="","",Hasil!F114)</f>
        <v/>
      </c>
      <c r="G124" s="69" t="str">
        <f>IF(Hasil!$B114="","",Hasil!G114)</f>
        <v/>
      </c>
      <c r="H124" s="69" t="str">
        <f>IF(Hasil!$B114="","",Hasil!H114)</f>
        <v/>
      </c>
      <c r="I124" s="69" t="str">
        <f>IF(Hasil!$B114="","",Hasil!I114)</f>
        <v/>
      </c>
      <c r="J124" s="69" t="str">
        <f>IF(Hasil!$B114="","",Hasil!J114)</f>
        <v/>
      </c>
      <c r="K124" s="81" t="str">
        <f>IF(Hasil!$B114="","",Hasil!T114)</f>
        <v/>
      </c>
      <c r="L124" s="39" t="str">
        <f>IF(Hasil!$B114="","",Hasil!$V114)</f>
        <v/>
      </c>
      <c r="M124" s="69" t="str">
        <f>IF(Hasil!$B114="","",Hasil!$AU114)</f>
        <v/>
      </c>
      <c r="N124" s="69" t="str">
        <f>IF(Hasil!$B114="","",Hasil!$AV114)</f>
        <v/>
      </c>
    </row>
    <row r="125" spans="1:14">
      <c r="A125" s="38" t="str">
        <f>IF(Hasil!$B115="","",Hasil!A115)</f>
        <v/>
      </c>
      <c r="B125" t="str">
        <f>IF(Hasil!$B115="","",Hasil!B115)</f>
        <v/>
      </c>
      <c r="C125" t="str">
        <f>IF(Hasil!$B115="","",Hasil!C115)</f>
        <v/>
      </c>
      <c r="D125" t="str">
        <f>IF(Hasil!$B115="","",Hasil!D115)</f>
        <v/>
      </c>
      <c r="E125" s="69" t="str">
        <f>IF(Hasil!$B115="","",Hasil!E115)</f>
        <v/>
      </c>
      <c r="F125" s="69" t="str">
        <f>IF(Hasil!$B115="","",Hasil!F115)</f>
        <v/>
      </c>
      <c r="G125" s="69" t="str">
        <f>IF(Hasil!$B115="","",Hasil!G115)</f>
        <v/>
      </c>
      <c r="H125" s="69" t="str">
        <f>IF(Hasil!$B115="","",Hasil!H115)</f>
        <v/>
      </c>
      <c r="I125" s="69" t="str">
        <f>IF(Hasil!$B115="","",Hasil!I115)</f>
        <v/>
      </c>
      <c r="J125" s="69" t="str">
        <f>IF(Hasil!$B115="","",Hasil!J115)</f>
        <v/>
      </c>
      <c r="K125" s="81" t="str">
        <f>IF(Hasil!$B115="","",Hasil!T115)</f>
        <v/>
      </c>
      <c r="L125" s="39" t="str">
        <f>IF(Hasil!$B115="","",Hasil!$V115)</f>
        <v/>
      </c>
      <c r="M125" s="69" t="str">
        <f>IF(Hasil!$B115="","",Hasil!$AU115)</f>
        <v/>
      </c>
      <c r="N125" s="69" t="str">
        <f>IF(Hasil!$B115="","",Hasil!$AV115)</f>
        <v/>
      </c>
    </row>
    <row r="126" spans="1:14">
      <c r="A126" s="38" t="str">
        <f>IF(Hasil!$B116="","",Hasil!A116)</f>
        <v/>
      </c>
      <c r="B126" t="str">
        <f>IF(Hasil!$B116="","",Hasil!B116)</f>
        <v/>
      </c>
      <c r="C126" t="str">
        <f>IF(Hasil!$B116="","",Hasil!C116)</f>
        <v/>
      </c>
      <c r="D126" t="str">
        <f>IF(Hasil!$B116="","",Hasil!D116)</f>
        <v/>
      </c>
      <c r="E126" s="69" t="str">
        <f>IF(Hasil!$B116="","",Hasil!E116)</f>
        <v/>
      </c>
      <c r="F126" s="69" t="str">
        <f>IF(Hasil!$B116="","",Hasil!F116)</f>
        <v/>
      </c>
      <c r="G126" s="69" t="str">
        <f>IF(Hasil!$B116="","",Hasil!G116)</f>
        <v/>
      </c>
      <c r="H126" s="69" t="str">
        <f>IF(Hasil!$B116="","",Hasil!H116)</f>
        <v/>
      </c>
      <c r="I126" s="69" t="str">
        <f>IF(Hasil!$B116="","",Hasil!I116)</f>
        <v/>
      </c>
      <c r="J126" s="69" t="str">
        <f>IF(Hasil!$B116="","",Hasil!J116)</f>
        <v/>
      </c>
      <c r="K126" s="81" t="str">
        <f>IF(Hasil!$B116="","",Hasil!T116)</f>
        <v/>
      </c>
      <c r="L126" s="39" t="str">
        <f>IF(Hasil!$B116="","",Hasil!$V116)</f>
        <v/>
      </c>
      <c r="M126" s="69" t="str">
        <f>IF(Hasil!$B116="","",Hasil!$AU116)</f>
        <v/>
      </c>
      <c r="N126" s="69" t="str">
        <f>IF(Hasil!$B116="","",Hasil!$AV116)</f>
        <v/>
      </c>
    </row>
    <row r="127" spans="1:14">
      <c r="A127" s="38" t="str">
        <f>IF(Hasil!$B117="","",Hasil!A117)</f>
        <v/>
      </c>
      <c r="B127" t="str">
        <f>IF(Hasil!$B117="","",Hasil!B117)</f>
        <v/>
      </c>
      <c r="C127" t="str">
        <f>IF(Hasil!$B117="","",Hasil!C117)</f>
        <v/>
      </c>
      <c r="D127" t="str">
        <f>IF(Hasil!$B117="","",Hasil!D117)</f>
        <v/>
      </c>
      <c r="E127" s="69" t="str">
        <f>IF(Hasil!$B117="","",Hasil!E117)</f>
        <v/>
      </c>
      <c r="F127" s="69" t="str">
        <f>IF(Hasil!$B117="","",Hasil!F117)</f>
        <v/>
      </c>
      <c r="G127" s="69" t="str">
        <f>IF(Hasil!$B117="","",Hasil!G117)</f>
        <v/>
      </c>
      <c r="H127" s="69" t="str">
        <f>IF(Hasil!$B117="","",Hasil!H117)</f>
        <v/>
      </c>
      <c r="I127" s="69" t="str">
        <f>IF(Hasil!$B117="","",Hasil!I117)</f>
        <v/>
      </c>
      <c r="J127" s="69" t="str">
        <f>IF(Hasil!$B117="","",Hasil!J117)</f>
        <v/>
      </c>
      <c r="K127" s="81" t="str">
        <f>IF(Hasil!$B117="","",Hasil!T117)</f>
        <v/>
      </c>
      <c r="L127" s="39" t="str">
        <f>IF(Hasil!$B117="","",Hasil!$V117)</f>
        <v/>
      </c>
      <c r="M127" s="69" t="str">
        <f>IF(Hasil!$B117="","",Hasil!$AU117)</f>
        <v/>
      </c>
      <c r="N127" s="69" t="str">
        <f>IF(Hasil!$B117="","",Hasil!$AV117)</f>
        <v/>
      </c>
    </row>
    <row r="128" spans="1:14">
      <c r="A128" s="38" t="str">
        <f>IF(Hasil!$B118="","",Hasil!A118)</f>
        <v/>
      </c>
      <c r="B128" t="str">
        <f>IF(Hasil!$B118="","",Hasil!B118)</f>
        <v/>
      </c>
      <c r="C128" t="str">
        <f>IF(Hasil!$B118="","",Hasil!C118)</f>
        <v/>
      </c>
      <c r="D128" t="str">
        <f>IF(Hasil!$B118="","",Hasil!D118)</f>
        <v/>
      </c>
      <c r="E128" s="69" t="str">
        <f>IF(Hasil!$B118="","",Hasil!E118)</f>
        <v/>
      </c>
      <c r="F128" s="69" t="str">
        <f>IF(Hasil!$B118="","",Hasil!F118)</f>
        <v/>
      </c>
      <c r="G128" s="69" t="str">
        <f>IF(Hasil!$B118="","",Hasil!G118)</f>
        <v/>
      </c>
      <c r="H128" s="69" t="str">
        <f>IF(Hasil!$B118="","",Hasil!H118)</f>
        <v/>
      </c>
      <c r="I128" s="69" t="str">
        <f>IF(Hasil!$B118="","",Hasil!I118)</f>
        <v/>
      </c>
      <c r="J128" s="69" t="str">
        <f>IF(Hasil!$B118="","",Hasil!J118)</f>
        <v/>
      </c>
      <c r="K128" s="81" t="str">
        <f>IF(Hasil!$B118="","",Hasil!T118)</f>
        <v/>
      </c>
      <c r="L128" s="39" t="str">
        <f>IF(Hasil!$B118="","",Hasil!$V118)</f>
        <v/>
      </c>
      <c r="M128" s="69" t="str">
        <f>IF(Hasil!$B118="","",Hasil!$AU118)</f>
        <v/>
      </c>
      <c r="N128" s="69" t="str">
        <f>IF(Hasil!$B118="","",Hasil!$AV118)</f>
        <v/>
      </c>
    </row>
    <row r="129" spans="1:14">
      <c r="A129" s="38" t="str">
        <f>IF(Hasil!$B119="","",Hasil!A119)</f>
        <v/>
      </c>
      <c r="B129" t="str">
        <f>IF(Hasil!$B119="","",Hasil!B119)</f>
        <v/>
      </c>
      <c r="C129" t="str">
        <f>IF(Hasil!$B119="","",Hasil!C119)</f>
        <v/>
      </c>
      <c r="D129" t="str">
        <f>IF(Hasil!$B119="","",Hasil!D119)</f>
        <v/>
      </c>
      <c r="E129" s="69" t="str">
        <f>IF(Hasil!$B119="","",Hasil!E119)</f>
        <v/>
      </c>
      <c r="F129" s="69" t="str">
        <f>IF(Hasil!$B119="","",Hasil!F119)</f>
        <v/>
      </c>
      <c r="G129" s="69" t="str">
        <f>IF(Hasil!$B119="","",Hasil!G119)</f>
        <v/>
      </c>
      <c r="H129" s="69" t="str">
        <f>IF(Hasil!$B119="","",Hasil!H119)</f>
        <v/>
      </c>
      <c r="I129" s="69" t="str">
        <f>IF(Hasil!$B119="","",Hasil!I119)</f>
        <v/>
      </c>
      <c r="J129" s="69" t="str">
        <f>IF(Hasil!$B119="","",Hasil!J119)</f>
        <v/>
      </c>
      <c r="K129" s="81" t="str">
        <f>IF(Hasil!$B119="","",Hasil!T119)</f>
        <v/>
      </c>
      <c r="L129" s="39" t="str">
        <f>IF(Hasil!$B119="","",Hasil!$V119)</f>
        <v/>
      </c>
      <c r="M129" s="69" t="str">
        <f>IF(Hasil!$B119="","",Hasil!$AU119)</f>
        <v/>
      </c>
      <c r="N129" s="69" t="str">
        <f>IF(Hasil!$B119="","",Hasil!$AV119)</f>
        <v/>
      </c>
    </row>
    <row r="130" spans="1:14">
      <c r="A130" s="38" t="str">
        <f>IF(Hasil!$B120="","",Hasil!A120)</f>
        <v/>
      </c>
      <c r="B130" t="str">
        <f>IF(Hasil!$B120="","",Hasil!B120)</f>
        <v/>
      </c>
      <c r="C130" t="str">
        <f>IF(Hasil!$B120="","",Hasil!C120)</f>
        <v/>
      </c>
      <c r="D130" t="str">
        <f>IF(Hasil!$B120="","",Hasil!D120)</f>
        <v/>
      </c>
      <c r="E130" s="69" t="str">
        <f>IF(Hasil!$B120="","",Hasil!E120)</f>
        <v/>
      </c>
      <c r="F130" s="69" t="str">
        <f>IF(Hasil!$B120="","",Hasil!F120)</f>
        <v/>
      </c>
      <c r="G130" s="69" t="str">
        <f>IF(Hasil!$B120="","",Hasil!G120)</f>
        <v/>
      </c>
      <c r="H130" s="69" t="str">
        <f>IF(Hasil!$B120="","",Hasil!H120)</f>
        <v/>
      </c>
      <c r="I130" s="69" t="str">
        <f>IF(Hasil!$B120="","",Hasil!I120)</f>
        <v/>
      </c>
      <c r="J130" s="69" t="str">
        <f>IF(Hasil!$B120="","",Hasil!J120)</f>
        <v/>
      </c>
      <c r="K130" s="81" t="str">
        <f>IF(Hasil!$B120="","",Hasil!T120)</f>
        <v/>
      </c>
      <c r="L130" s="39" t="str">
        <f>IF(Hasil!$B120="","",Hasil!$V120)</f>
        <v/>
      </c>
      <c r="M130" s="69" t="str">
        <f>IF(Hasil!$B120="","",Hasil!$AU120)</f>
        <v/>
      </c>
      <c r="N130" s="69" t="str">
        <f>IF(Hasil!$B120="","",Hasil!$AV120)</f>
        <v/>
      </c>
    </row>
    <row r="131" spans="1:14">
      <c r="A131" s="38" t="str">
        <f>IF(Hasil!$B121="","",Hasil!A121)</f>
        <v/>
      </c>
      <c r="B131" t="str">
        <f>IF(Hasil!$B121="","",Hasil!B121)</f>
        <v/>
      </c>
      <c r="C131" t="str">
        <f>IF(Hasil!$B121="","",Hasil!C121)</f>
        <v/>
      </c>
      <c r="D131" t="str">
        <f>IF(Hasil!$B121="","",Hasil!D121)</f>
        <v/>
      </c>
      <c r="E131" s="69" t="str">
        <f>IF(Hasil!$B121="","",Hasil!E121)</f>
        <v/>
      </c>
      <c r="F131" s="69" t="str">
        <f>IF(Hasil!$B121="","",Hasil!F121)</f>
        <v/>
      </c>
      <c r="G131" s="69" t="str">
        <f>IF(Hasil!$B121="","",Hasil!G121)</f>
        <v/>
      </c>
      <c r="H131" s="69" t="str">
        <f>IF(Hasil!$B121="","",Hasil!H121)</f>
        <v/>
      </c>
      <c r="I131" s="69" t="str">
        <f>IF(Hasil!$B121="","",Hasil!I121)</f>
        <v/>
      </c>
      <c r="J131" s="69" t="str">
        <f>IF(Hasil!$B121="","",Hasil!J121)</f>
        <v/>
      </c>
      <c r="K131" s="81" t="str">
        <f>IF(Hasil!$B121="","",Hasil!T121)</f>
        <v/>
      </c>
      <c r="L131" s="39" t="str">
        <f>IF(Hasil!$B121="","",Hasil!$V121)</f>
        <v/>
      </c>
      <c r="M131" s="69" t="str">
        <f>IF(Hasil!$B121="","",Hasil!$AU121)</f>
        <v/>
      </c>
      <c r="N131" s="69" t="str">
        <f>IF(Hasil!$B121="","",Hasil!$AV121)</f>
        <v/>
      </c>
    </row>
    <row r="132" spans="1:14">
      <c r="A132" s="38" t="str">
        <f>IF(Hasil!$B122="","",Hasil!A122)</f>
        <v/>
      </c>
      <c r="B132" t="str">
        <f>IF(Hasil!$B122="","",Hasil!B122)</f>
        <v/>
      </c>
      <c r="C132" t="str">
        <f>IF(Hasil!$B122="","",Hasil!C122)</f>
        <v/>
      </c>
      <c r="D132" t="str">
        <f>IF(Hasil!$B122="","",Hasil!D122)</f>
        <v/>
      </c>
      <c r="E132" s="69" t="str">
        <f>IF(Hasil!$B122="","",Hasil!E122)</f>
        <v/>
      </c>
      <c r="F132" s="69" t="str">
        <f>IF(Hasil!$B122="","",Hasil!F122)</f>
        <v/>
      </c>
      <c r="G132" s="69" t="str">
        <f>IF(Hasil!$B122="","",Hasil!G122)</f>
        <v/>
      </c>
      <c r="H132" s="69" t="str">
        <f>IF(Hasil!$B122="","",Hasil!H122)</f>
        <v/>
      </c>
      <c r="I132" s="69" t="str">
        <f>IF(Hasil!$B122="","",Hasil!I122)</f>
        <v/>
      </c>
      <c r="J132" s="69" t="str">
        <f>IF(Hasil!$B122="","",Hasil!J122)</f>
        <v/>
      </c>
      <c r="K132" s="81" t="str">
        <f>IF(Hasil!$B122="","",Hasil!T122)</f>
        <v/>
      </c>
      <c r="L132" s="39" t="str">
        <f>IF(Hasil!$B122="","",Hasil!$V122)</f>
        <v/>
      </c>
      <c r="M132" s="69" t="str">
        <f>IF(Hasil!$B122="","",Hasil!$AU122)</f>
        <v/>
      </c>
      <c r="N132" s="69" t="str">
        <f>IF(Hasil!$B122="","",Hasil!$AV122)</f>
        <v/>
      </c>
    </row>
    <row r="133" spans="1:14">
      <c r="A133" s="38" t="str">
        <f>IF(Hasil!$B123="","",Hasil!A123)</f>
        <v/>
      </c>
      <c r="B133" t="str">
        <f>IF(Hasil!$B123="","",Hasil!B123)</f>
        <v/>
      </c>
      <c r="C133" t="str">
        <f>IF(Hasil!$B123="","",Hasil!C123)</f>
        <v/>
      </c>
      <c r="D133" t="str">
        <f>IF(Hasil!$B123="","",Hasil!D123)</f>
        <v/>
      </c>
      <c r="E133" s="69" t="str">
        <f>IF(Hasil!$B123="","",Hasil!E123)</f>
        <v/>
      </c>
      <c r="F133" s="69" t="str">
        <f>IF(Hasil!$B123="","",Hasil!F123)</f>
        <v/>
      </c>
      <c r="G133" s="69" t="str">
        <f>IF(Hasil!$B123="","",Hasil!G123)</f>
        <v/>
      </c>
      <c r="H133" s="69" t="str">
        <f>IF(Hasil!$B123="","",Hasil!H123)</f>
        <v/>
      </c>
      <c r="I133" s="69" t="str">
        <f>IF(Hasil!$B123="","",Hasil!I123)</f>
        <v/>
      </c>
      <c r="J133" s="69" t="str">
        <f>IF(Hasil!$B123="","",Hasil!J123)</f>
        <v/>
      </c>
      <c r="K133" s="81" t="str">
        <f>IF(Hasil!$B123="","",Hasil!T123)</f>
        <v/>
      </c>
      <c r="L133" s="39" t="str">
        <f>IF(Hasil!$B123="","",Hasil!$V123)</f>
        <v/>
      </c>
      <c r="M133" s="69" t="str">
        <f>IF(Hasil!$B123="","",Hasil!$AU123)</f>
        <v/>
      </c>
      <c r="N133" s="69" t="str">
        <f>IF(Hasil!$B123="","",Hasil!$AV123)</f>
        <v/>
      </c>
    </row>
    <row r="134" spans="1:14">
      <c r="A134" s="38" t="str">
        <f>IF(Hasil!$B124="","",Hasil!A124)</f>
        <v/>
      </c>
      <c r="B134" t="str">
        <f>IF(Hasil!$B124="","",Hasil!B124)</f>
        <v/>
      </c>
      <c r="C134" t="str">
        <f>IF(Hasil!$B124="","",Hasil!C124)</f>
        <v/>
      </c>
      <c r="D134" t="str">
        <f>IF(Hasil!$B124="","",Hasil!D124)</f>
        <v/>
      </c>
      <c r="E134" s="69" t="str">
        <f>IF(Hasil!$B124="","",Hasil!E124)</f>
        <v/>
      </c>
      <c r="F134" s="69" t="str">
        <f>IF(Hasil!$B124="","",Hasil!F124)</f>
        <v/>
      </c>
      <c r="G134" s="69" t="str">
        <f>IF(Hasil!$B124="","",Hasil!G124)</f>
        <v/>
      </c>
      <c r="H134" s="69" t="str">
        <f>IF(Hasil!$B124="","",Hasil!H124)</f>
        <v/>
      </c>
      <c r="I134" s="69" t="str">
        <f>IF(Hasil!$B124="","",Hasil!I124)</f>
        <v/>
      </c>
      <c r="J134" s="69" t="str">
        <f>IF(Hasil!$B124="","",Hasil!J124)</f>
        <v/>
      </c>
      <c r="K134" s="81" t="str">
        <f>IF(Hasil!$B124="","",Hasil!T124)</f>
        <v/>
      </c>
      <c r="L134" s="39" t="str">
        <f>IF(Hasil!$B124="","",Hasil!$V124)</f>
        <v/>
      </c>
      <c r="M134" s="69" t="str">
        <f>IF(Hasil!$B124="","",Hasil!$AU124)</f>
        <v/>
      </c>
      <c r="N134" s="69" t="str">
        <f>IF(Hasil!$B124="","",Hasil!$AV124)</f>
        <v/>
      </c>
    </row>
    <row r="135" spans="1:14">
      <c r="A135" s="38" t="str">
        <f>IF(Hasil!$B125="","",Hasil!A125)</f>
        <v/>
      </c>
      <c r="B135" t="str">
        <f>IF(Hasil!$B125="","",Hasil!B125)</f>
        <v/>
      </c>
      <c r="C135" t="str">
        <f>IF(Hasil!$B125="","",Hasil!C125)</f>
        <v/>
      </c>
      <c r="D135" t="str">
        <f>IF(Hasil!$B125="","",Hasil!D125)</f>
        <v/>
      </c>
      <c r="E135" s="69" t="str">
        <f>IF(Hasil!$B125="","",Hasil!E125)</f>
        <v/>
      </c>
      <c r="F135" s="69" t="str">
        <f>IF(Hasil!$B125="","",Hasil!F125)</f>
        <v/>
      </c>
      <c r="G135" s="69" t="str">
        <f>IF(Hasil!$B125="","",Hasil!G125)</f>
        <v/>
      </c>
      <c r="H135" s="69" t="str">
        <f>IF(Hasil!$B125="","",Hasil!H125)</f>
        <v/>
      </c>
      <c r="I135" s="69" t="str">
        <f>IF(Hasil!$B125="","",Hasil!I125)</f>
        <v/>
      </c>
      <c r="J135" s="69" t="str">
        <f>IF(Hasil!$B125="","",Hasil!J125)</f>
        <v/>
      </c>
      <c r="K135" s="81" t="str">
        <f>IF(Hasil!$B125="","",Hasil!T125)</f>
        <v/>
      </c>
      <c r="L135" s="39" t="str">
        <f>IF(Hasil!$B125="","",Hasil!$V125)</f>
        <v/>
      </c>
      <c r="M135" s="69" t="str">
        <f>IF(Hasil!$B125="","",Hasil!$AU125)</f>
        <v/>
      </c>
      <c r="N135" s="69" t="str">
        <f>IF(Hasil!$B125="","",Hasil!$AV125)</f>
        <v/>
      </c>
    </row>
    <row r="136" spans="1:14">
      <c r="A136" s="38" t="str">
        <f>IF(Hasil!$B126="","",Hasil!A126)</f>
        <v/>
      </c>
      <c r="B136" t="str">
        <f>IF(Hasil!$B126="","",Hasil!B126)</f>
        <v/>
      </c>
      <c r="C136" t="str">
        <f>IF(Hasil!$B126="","",Hasil!C126)</f>
        <v/>
      </c>
      <c r="D136" t="str">
        <f>IF(Hasil!$B126="","",Hasil!D126)</f>
        <v/>
      </c>
      <c r="E136" s="69" t="str">
        <f>IF(Hasil!$B126="","",Hasil!E126)</f>
        <v/>
      </c>
      <c r="F136" s="69" t="str">
        <f>IF(Hasil!$B126="","",Hasil!F126)</f>
        <v/>
      </c>
      <c r="G136" s="69" t="str">
        <f>IF(Hasil!$B126="","",Hasil!G126)</f>
        <v/>
      </c>
      <c r="H136" s="69" t="str">
        <f>IF(Hasil!$B126="","",Hasil!H126)</f>
        <v/>
      </c>
      <c r="I136" s="69" t="str">
        <f>IF(Hasil!$B126="","",Hasil!I126)</f>
        <v/>
      </c>
      <c r="J136" s="69" t="str">
        <f>IF(Hasil!$B126="","",Hasil!J126)</f>
        <v/>
      </c>
      <c r="K136" s="81" t="str">
        <f>IF(Hasil!$B126="","",Hasil!T126)</f>
        <v/>
      </c>
      <c r="L136" s="39" t="str">
        <f>IF(Hasil!$B126="","",Hasil!$V126)</f>
        <v/>
      </c>
      <c r="M136" s="69" t="str">
        <f>IF(Hasil!$B126="","",Hasil!$AU126)</f>
        <v/>
      </c>
      <c r="N136" s="69" t="str">
        <f>IF(Hasil!$B126="","",Hasil!$AV126)</f>
        <v/>
      </c>
    </row>
    <row r="137" spans="1:14">
      <c r="A137" s="38" t="str">
        <f>IF(Hasil!$B127="","",Hasil!A127)</f>
        <v/>
      </c>
      <c r="B137" t="str">
        <f>IF(Hasil!$B127="","",Hasil!B127)</f>
        <v/>
      </c>
      <c r="C137" t="str">
        <f>IF(Hasil!$B127="","",Hasil!C127)</f>
        <v/>
      </c>
      <c r="D137" t="str">
        <f>IF(Hasil!$B127="","",Hasil!D127)</f>
        <v/>
      </c>
      <c r="E137" s="69" t="str">
        <f>IF(Hasil!$B127="","",Hasil!E127)</f>
        <v/>
      </c>
      <c r="F137" s="69" t="str">
        <f>IF(Hasil!$B127="","",Hasil!F127)</f>
        <v/>
      </c>
      <c r="G137" s="69" t="str">
        <f>IF(Hasil!$B127="","",Hasil!G127)</f>
        <v/>
      </c>
      <c r="H137" s="69" t="str">
        <f>IF(Hasil!$B127="","",Hasil!H127)</f>
        <v/>
      </c>
      <c r="I137" s="69" t="str">
        <f>IF(Hasil!$B127="","",Hasil!I127)</f>
        <v/>
      </c>
      <c r="J137" s="69" t="str">
        <f>IF(Hasil!$B127="","",Hasil!J127)</f>
        <v/>
      </c>
      <c r="K137" s="81" t="str">
        <f>IF(Hasil!$B127="","",Hasil!T127)</f>
        <v/>
      </c>
      <c r="L137" s="39" t="str">
        <f>IF(Hasil!$B127="","",Hasil!$V127)</f>
        <v/>
      </c>
      <c r="M137" s="69" t="str">
        <f>IF(Hasil!$B127="","",Hasil!$AU127)</f>
        <v/>
      </c>
      <c r="N137" s="69" t="str">
        <f>IF(Hasil!$B127="","",Hasil!$AV127)</f>
        <v/>
      </c>
    </row>
    <row r="138" spans="1:14">
      <c r="A138" s="38" t="str">
        <f>IF(Hasil!$B128="","",Hasil!A128)</f>
        <v/>
      </c>
      <c r="B138" t="str">
        <f>IF(Hasil!$B128="","",Hasil!B128)</f>
        <v/>
      </c>
      <c r="C138" t="str">
        <f>IF(Hasil!$B128="","",Hasil!C128)</f>
        <v/>
      </c>
      <c r="D138" t="str">
        <f>IF(Hasil!$B128="","",Hasil!D128)</f>
        <v/>
      </c>
      <c r="E138" s="69" t="str">
        <f>IF(Hasil!$B128="","",Hasil!E128)</f>
        <v/>
      </c>
      <c r="F138" s="69" t="str">
        <f>IF(Hasil!$B128="","",Hasil!F128)</f>
        <v/>
      </c>
      <c r="G138" s="69" t="str">
        <f>IF(Hasil!$B128="","",Hasil!G128)</f>
        <v/>
      </c>
      <c r="H138" s="69" t="str">
        <f>IF(Hasil!$B128="","",Hasil!H128)</f>
        <v/>
      </c>
      <c r="I138" s="69" t="str">
        <f>IF(Hasil!$B128="","",Hasil!I128)</f>
        <v/>
      </c>
      <c r="J138" s="69" t="str">
        <f>IF(Hasil!$B128="","",Hasil!J128)</f>
        <v/>
      </c>
      <c r="K138" s="81" t="str">
        <f>IF(Hasil!$B128="","",Hasil!T128)</f>
        <v/>
      </c>
      <c r="L138" s="39" t="str">
        <f>IF(Hasil!$B128="","",Hasil!$V128)</f>
        <v/>
      </c>
      <c r="M138" s="69" t="str">
        <f>IF(Hasil!$B128="","",Hasil!$AU128)</f>
        <v/>
      </c>
      <c r="N138" s="69" t="str">
        <f>IF(Hasil!$B128="","",Hasil!$AV128)</f>
        <v/>
      </c>
    </row>
    <row r="139" spans="1:14">
      <c r="A139" s="38" t="str">
        <f>IF(Hasil!$B129="","",Hasil!A129)</f>
        <v/>
      </c>
      <c r="B139" t="str">
        <f>IF(Hasil!$B129="","",Hasil!B129)</f>
        <v/>
      </c>
      <c r="C139" t="str">
        <f>IF(Hasil!$B129="","",Hasil!C129)</f>
        <v/>
      </c>
      <c r="D139" t="str">
        <f>IF(Hasil!$B129="","",Hasil!D129)</f>
        <v/>
      </c>
      <c r="E139" s="69" t="str">
        <f>IF(Hasil!$B129="","",Hasil!E129)</f>
        <v/>
      </c>
      <c r="F139" s="69" t="str">
        <f>IF(Hasil!$B129="","",Hasil!F129)</f>
        <v/>
      </c>
      <c r="G139" s="69" t="str">
        <f>IF(Hasil!$B129="","",Hasil!G129)</f>
        <v/>
      </c>
      <c r="H139" s="69" t="str">
        <f>IF(Hasil!$B129="","",Hasil!H129)</f>
        <v/>
      </c>
      <c r="I139" s="69" t="str">
        <f>IF(Hasil!$B129="","",Hasil!I129)</f>
        <v/>
      </c>
      <c r="J139" s="69" t="str">
        <f>IF(Hasil!$B129="","",Hasil!J129)</f>
        <v/>
      </c>
      <c r="K139" s="81" t="str">
        <f>IF(Hasil!$B129="","",Hasil!T129)</f>
        <v/>
      </c>
      <c r="L139" s="39" t="str">
        <f>IF(Hasil!$B129="","",Hasil!$V129)</f>
        <v/>
      </c>
      <c r="M139" s="69" t="str">
        <f>IF(Hasil!$B129="","",Hasil!$AU129)</f>
        <v/>
      </c>
      <c r="N139" s="69" t="str">
        <f>IF(Hasil!$B129="","",Hasil!$AV129)</f>
        <v/>
      </c>
    </row>
    <row r="140" spans="1:14">
      <c r="A140" s="38" t="str">
        <f>IF(Hasil!$B130="","",Hasil!A130)</f>
        <v/>
      </c>
      <c r="B140" t="str">
        <f>IF(Hasil!$B130="","",Hasil!B130)</f>
        <v/>
      </c>
      <c r="C140" t="str">
        <f>IF(Hasil!$B130="","",Hasil!C130)</f>
        <v/>
      </c>
      <c r="D140" t="str">
        <f>IF(Hasil!$B130="","",Hasil!D130)</f>
        <v/>
      </c>
      <c r="E140" s="69" t="str">
        <f>IF(Hasil!$B130="","",Hasil!E130)</f>
        <v/>
      </c>
      <c r="F140" s="69" t="str">
        <f>IF(Hasil!$B130="","",Hasil!F130)</f>
        <v/>
      </c>
      <c r="G140" s="69" t="str">
        <f>IF(Hasil!$B130="","",Hasil!G130)</f>
        <v/>
      </c>
      <c r="H140" s="69" t="str">
        <f>IF(Hasil!$B130="","",Hasil!H130)</f>
        <v/>
      </c>
      <c r="I140" s="69" t="str">
        <f>IF(Hasil!$B130="","",Hasil!I130)</f>
        <v/>
      </c>
      <c r="J140" s="69" t="str">
        <f>IF(Hasil!$B130="","",Hasil!J130)</f>
        <v/>
      </c>
      <c r="K140" s="81" t="str">
        <f>IF(Hasil!$B130="","",Hasil!T130)</f>
        <v/>
      </c>
      <c r="L140" s="39" t="str">
        <f>IF(Hasil!$B130="","",Hasil!$V130)</f>
        <v/>
      </c>
      <c r="M140" s="69" t="str">
        <f>IF(Hasil!$B130="","",Hasil!$AU130)</f>
        <v/>
      </c>
      <c r="N140" s="69" t="str">
        <f>IF(Hasil!$B130="","",Hasil!$AV130)</f>
        <v/>
      </c>
    </row>
    <row r="141" spans="1:14">
      <c r="A141" s="38" t="str">
        <f>IF(Hasil!$B131="","",Hasil!A131)</f>
        <v/>
      </c>
      <c r="B141" t="str">
        <f>IF(Hasil!$B131="","",Hasil!B131)</f>
        <v/>
      </c>
      <c r="C141" t="str">
        <f>IF(Hasil!$B131="","",Hasil!C131)</f>
        <v/>
      </c>
      <c r="D141" t="str">
        <f>IF(Hasil!$B131="","",Hasil!D131)</f>
        <v/>
      </c>
      <c r="E141" s="69" t="str">
        <f>IF(Hasil!$B131="","",Hasil!E131)</f>
        <v/>
      </c>
      <c r="F141" s="69" t="str">
        <f>IF(Hasil!$B131="","",Hasil!F131)</f>
        <v/>
      </c>
      <c r="G141" s="69" t="str">
        <f>IF(Hasil!$B131="","",Hasil!G131)</f>
        <v/>
      </c>
      <c r="H141" s="69" t="str">
        <f>IF(Hasil!$B131="","",Hasil!H131)</f>
        <v/>
      </c>
      <c r="I141" s="69" t="str">
        <f>IF(Hasil!$B131="","",Hasil!I131)</f>
        <v/>
      </c>
      <c r="J141" s="69" t="str">
        <f>IF(Hasil!$B131="","",Hasil!J131)</f>
        <v/>
      </c>
      <c r="K141" s="81" t="str">
        <f>IF(Hasil!$B131="","",Hasil!T131)</f>
        <v/>
      </c>
      <c r="L141" s="39" t="str">
        <f>IF(Hasil!$B131="","",Hasil!$V131)</f>
        <v/>
      </c>
      <c r="M141" s="69" t="str">
        <f>IF(Hasil!$B131="","",Hasil!$AU131)</f>
        <v/>
      </c>
      <c r="N141" s="69" t="str">
        <f>IF(Hasil!$B131="","",Hasil!$AV131)</f>
        <v/>
      </c>
    </row>
    <row r="142" spans="1:14">
      <c r="A142" s="38" t="str">
        <f>IF(Hasil!$B132="","",Hasil!A132)</f>
        <v/>
      </c>
      <c r="B142" t="str">
        <f>IF(Hasil!$B132="","",Hasil!B132)</f>
        <v/>
      </c>
      <c r="C142" t="str">
        <f>IF(Hasil!$B132="","",Hasil!C132)</f>
        <v/>
      </c>
      <c r="D142" t="str">
        <f>IF(Hasil!$B132="","",Hasil!D132)</f>
        <v/>
      </c>
      <c r="E142" s="69" t="str">
        <f>IF(Hasil!$B132="","",Hasil!E132)</f>
        <v/>
      </c>
      <c r="F142" s="69" t="str">
        <f>IF(Hasil!$B132="","",Hasil!F132)</f>
        <v/>
      </c>
      <c r="G142" s="69" t="str">
        <f>IF(Hasil!$B132="","",Hasil!G132)</f>
        <v/>
      </c>
      <c r="H142" s="69" t="str">
        <f>IF(Hasil!$B132="","",Hasil!H132)</f>
        <v/>
      </c>
      <c r="I142" s="69" t="str">
        <f>IF(Hasil!$B132="","",Hasil!I132)</f>
        <v/>
      </c>
      <c r="J142" s="69" t="str">
        <f>IF(Hasil!$B132="","",Hasil!J132)</f>
        <v/>
      </c>
      <c r="K142" s="81" t="str">
        <f>IF(Hasil!$B132="","",Hasil!T132)</f>
        <v/>
      </c>
      <c r="L142" s="39" t="str">
        <f>IF(Hasil!$B132="","",Hasil!$V132)</f>
        <v/>
      </c>
      <c r="M142" s="69" t="str">
        <f>IF(Hasil!$B132="","",Hasil!$AU132)</f>
        <v/>
      </c>
      <c r="N142" s="69" t="str">
        <f>IF(Hasil!$B132="","",Hasil!$AV132)</f>
        <v/>
      </c>
    </row>
    <row r="143" spans="1:14">
      <c r="A143" s="38" t="str">
        <f>IF(Hasil!$B133="","",Hasil!A133)</f>
        <v/>
      </c>
      <c r="B143" t="str">
        <f>IF(Hasil!$B133="","",Hasil!B133)</f>
        <v/>
      </c>
      <c r="C143" t="str">
        <f>IF(Hasil!$B133="","",Hasil!C133)</f>
        <v/>
      </c>
      <c r="D143" t="str">
        <f>IF(Hasil!$B133="","",Hasil!D133)</f>
        <v/>
      </c>
      <c r="E143" s="69" t="str">
        <f>IF(Hasil!$B133="","",Hasil!E133)</f>
        <v/>
      </c>
      <c r="F143" s="69" t="str">
        <f>IF(Hasil!$B133="","",Hasil!F133)</f>
        <v/>
      </c>
      <c r="G143" s="69" t="str">
        <f>IF(Hasil!$B133="","",Hasil!G133)</f>
        <v/>
      </c>
      <c r="H143" s="69" t="str">
        <f>IF(Hasil!$B133="","",Hasil!H133)</f>
        <v/>
      </c>
      <c r="I143" s="69" t="str">
        <f>IF(Hasil!$B133="","",Hasil!I133)</f>
        <v/>
      </c>
      <c r="J143" s="69" t="str">
        <f>IF(Hasil!$B133="","",Hasil!J133)</f>
        <v/>
      </c>
      <c r="K143" s="81" t="str">
        <f>IF(Hasil!$B133="","",Hasil!T133)</f>
        <v/>
      </c>
      <c r="L143" s="39" t="str">
        <f>IF(Hasil!$B133="","",Hasil!$V133)</f>
        <v/>
      </c>
      <c r="M143" s="69" t="str">
        <f>IF(Hasil!$B133="","",Hasil!$AU133)</f>
        <v/>
      </c>
      <c r="N143" s="69" t="str">
        <f>IF(Hasil!$B133="","",Hasil!$AV133)</f>
        <v/>
      </c>
    </row>
    <row r="144" spans="1:14">
      <c r="A144" s="38" t="str">
        <f>IF(Hasil!$B134="","",Hasil!A134)</f>
        <v/>
      </c>
      <c r="B144" t="str">
        <f>IF(Hasil!$B134="","",Hasil!B134)</f>
        <v/>
      </c>
      <c r="C144" t="str">
        <f>IF(Hasil!$B134="","",Hasil!C134)</f>
        <v/>
      </c>
      <c r="D144" t="str">
        <f>IF(Hasil!$B134="","",Hasil!D134)</f>
        <v/>
      </c>
      <c r="E144" s="69" t="str">
        <f>IF(Hasil!$B134="","",Hasil!E134)</f>
        <v/>
      </c>
      <c r="F144" s="69" t="str">
        <f>IF(Hasil!$B134="","",Hasil!F134)</f>
        <v/>
      </c>
      <c r="G144" s="69" t="str">
        <f>IF(Hasil!$B134="","",Hasil!G134)</f>
        <v/>
      </c>
      <c r="H144" s="69" t="str">
        <f>IF(Hasil!$B134="","",Hasil!H134)</f>
        <v/>
      </c>
      <c r="I144" s="69" t="str">
        <f>IF(Hasil!$B134="","",Hasil!I134)</f>
        <v/>
      </c>
      <c r="J144" s="69" t="str">
        <f>IF(Hasil!$B134="","",Hasil!J134)</f>
        <v/>
      </c>
      <c r="K144" s="81" t="str">
        <f>IF(Hasil!$B134="","",Hasil!T134)</f>
        <v/>
      </c>
      <c r="L144" s="39" t="str">
        <f>IF(Hasil!$B134="","",Hasil!$V134)</f>
        <v/>
      </c>
      <c r="M144" s="69" t="str">
        <f>IF(Hasil!$B134="","",Hasil!$AU134)</f>
        <v/>
      </c>
      <c r="N144" s="69" t="str">
        <f>IF(Hasil!$B134="","",Hasil!$AV134)</f>
        <v/>
      </c>
    </row>
    <row r="145" spans="1:14">
      <c r="A145" s="38" t="str">
        <f>IF(Hasil!$B135="","",Hasil!A135)</f>
        <v/>
      </c>
      <c r="B145" t="str">
        <f>IF(Hasil!$B135="","",Hasil!B135)</f>
        <v/>
      </c>
      <c r="C145" t="str">
        <f>IF(Hasil!$B135="","",Hasil!C135)</f>
        <v/>
      </c>
      <c r="D145" t="str">
        <f>IF(Hasil!$B135="","",Hasil!D135)</f>
        <v/>
      </c>
      <c r="E145" s="69" t="str">
        <f>IF(Hasil!$B135="","",Hasil!E135)</f>
        <v/>
      </c>
      <c r="F145" s="69" t="str">
        <f>IF(Hasil!$B135="","",Hasil!F135)</f>
        <v/>
      </c>
      <c r="G145" s="69" t="str">
        <f>IF(Hasil!$B135="","",Hasil!G135)</f>
        <v/>
      </c>
      <c r="H145" s="69" t="str">
        <f>IF(Hasil!$B135="","",Hasil!H135)</f>
        <v/>
      </c>
      <c r="I145" s="69" t="str">
        <f>IF(Hasil!$B135="","",Hasil!I135)</f>
        <v/>
      </c>
      <c r="J145" s="69" t="str">
        <f>IF(Hasil!$B135="","",Hasil!J135)</f>
        <v/>
      </c>
      <c r="K145" s="81" t="str">
        <f>IF(Hasil!$B135="","",Hasil!T135)</f>
        <v/>
      </c>
      <c r="L145" s="39" t="str">
        <f>IF(Hasil!$B135="","",Hasil!$V135)</f>
        <v/>
      </c>
      <c r="M145" s="69" t="str">
        <f>IF(Hasil!$B135="","",Hasil!$AU135)</f>
        <v/>
      </c>
      <c r="N145" s="69" t="str">
        <f>IF(Hasil!$B135="","",Hasil!$AV135)</f>
        <v/>
      </c>
    </row>
    <row r="146" spans="1:14">
      <c r="A146" s="38" t="str">
        <f>IF(Hasil!$B136="","",Hasil!A136)</f>
        <v/>
      </c>
      <c r="B146" t="str">
        <f>IF(Hasil!$B136="","",Hasil!B136)</f>
        <v/>
      </c>
      <c r="C146" t="str">
        <f>IF(Hasil!$B136="","",Hasil!C136)</f>
        <v/>
      </c>
      <c r="D146" t="str">
        <f>IF(Hasil!$B136="","",Hasil!D136)</f>
        <v/>
      </c>
      <c r="E146" s="69" t="str">
        <f>IF(Hasil!$B136="","",Hasil!E136)</f>
        <v/>
      </c>
      <c r="F146" s="69" t="str">
        <f>IF(Hasil!$B136="","",Hasil!F136)</f>
        <v/>
      </c>
      <c r="G146" s="69" t="str">
        <f>IF(Hasil!$B136="","",Hasil!G136)</f>
        <v/>
      </c>
      <c r="H146" s="69" t="str">
        <f>IF(Hasil!$B136="","",Hasil!H136)</f>
        <v/>
      </c>
      <c r="I146" s="69" t="str">
        <f>IF(Hasil!$B136="","",Hasil!I136)</f>
        <v/>
      </c>
      <c r="J146" s="69" t="str">
        <f>IF(Hasil!$B136="","",Hasil!J136)</f>
        <v/>
      </c>
      <c r="K146" s="81" t="str">
        <f>IF(Hasil!$B136="","",Hasil!T136)</f>
        <v/>
      </c>
      <c r="L146" s="39" t="str">
        <f>IF(Hasil!$B136="","",Hasil!$V136)</f>
        <v/>
      </c>
      <c r="M146" s="69" t="str">
        <f>IF(Hasil!$B136="","",Hasil!$AU136)</f>
        <v/>
      </c>
      <c r="N146" s="69" t="str">
        <f>IF(Hasil!$B136="","",Hasil!$AV136)</f>
        <v/>
      </c>
    </row>
    <row r="147" spans="1:14">
      <c r="A147" s="38" t="str">
        <f>IF(Hasil!$B137="","",Hasil!A137)</f>
        <v/>
      </c>
      <c r="B147" t="str">
        <f>IF(Hasil!$B137="","",Hasil!B137)</f>
        <v/>
      </c>
      <c r="C147" t="str">
        <f>IF(Hasil!$B137="","",Hasil!C137)</f>
        <v/>
      </c>
      <c r="D147" t="str">
        <f>IF(Hasil!$B137="","",Hasil!D137)</f>
        <v/>
      </c>
      <c r="E147" s="69" t="str">
        <f>IF(Hasil!$B137="","",Hasil!E137)</f>
        <v/>
      </c>
      <c r="F147" s="69" t="str">
        <f>IF(Hasil!$B137="","",Hasil!F137)</f>
        <v/>
      </c>
      <c r="G147" s="69" t="str">
        <f>IF(Hasil!$B137="","",Hasil!G137)</f>
        <v/>
      </c>
      <c r="H147" s="69" t="str">
        <f>IF(Hasil!$B137="","",Hasil!H137)</f>
        <v/>
      </c>
      <c r="I147" s="69" t="str">
        <f>IF(Hasil!$B137="","",Hasil!I137)</f>
        <v/>
      </c>
      <c r="J147" s="69" t="str">
        <f>IF(Hasil!$B137="","",Hasil!J137)</f>
        <v/>
      </c>
      <c r="K147" s="81" t="str">
        <f>IF(Hasil!$B137="","",Hasil!T137)</f>
        <v/>
      </c>
      <c r="L147" s="39" t="str">
        <f>IF(Hasil!$B137="","",Hasil!$V137)</f>
        <v/>
      </c>
      <c r="M147" s="69" t="str">
        <f>IF(Hasil!$B137="","",Hasil!$AU137)</f>
        <v/>
      </c>
      <c r="N147" s="69" t="str">
        <f>IF(Hasil!$B137="","",Hasil!$AV137)</f>
        <v/>
      </c>
    </row>
    <row r="148" spans="1:14">
      <c r="A148" s="38" t="str">
        <f>IF(Hasil!$B138="","",Hasil!A138)</f>
        <v/>
      </c>
      <c r="B148" t="str">
        <f>IF(Hasil!$B138="","",Hasil!B138)</f>
        <v/>
      </c>
      <c r="C148" t="str">
        <f>IF(Hasil!$B138="","",Hasil!C138)</f>
        <v/>
      </c>
      <c r="D148" t="str">
        <f>IF(Hasil!$B138="","",Hasil!D138)</f>
        <v/>
      </c>
      <c r="E148" s="69" t="str">
        <f>IF(Hasil!$B138="","",Hasil!E138)</f>
        <v/>
      </c>
      <c r="F148" s="69" t="str">
        <f>IF(Hasil!$B138="","",Hasil!F138)</f>
        <v/>
      </c>
      <c r="G148" s="69" t="str">
        <f>IF(Hasil!$B138="","",Hasil!G138)</f>
        <v/>
      </c>
      <c r="H148" s="69" t="str">
        <f>IF(Hasil!$B138="","",Hasil!H138)</f>
        <v/>
      </c>
      <c r="I148" s="69" t="str">
        <f>IF(Hasil!$B138="","",Hasil!I138)</f>
        <v/>
      </c>
      <c r="J148" s="69" t="str">
        <f>IF(Hasil!$B138="","",Hasil!J138)</f>
        <v/>
      </c>
      <c r="K148" s="81" t="str">
        <f>IF(Hasil!$B138="","",Hasil!T138)</f>
        <v/>
      </c>
      <c r="L148" s="39" t="str">
        <f>IF(Hasil!$B138="","",Hasil!$V138)</f>
        <v/>
      </c>
      <c r="M148" s="69" t="str">
        <f>IF(Hasil!$B138="","",Hasil!$AU138)</f>
        <v/>
      </c>
      <c r="N148" s="69" t="str">
        <f>IF(Hasil!$B138="","",Hasil!$AV138)</f>
        <v/>
      </c>
    </row>
    <row r="149" spans="1:14">
      <c r="A149" s="38" t="str">
        <f>IF(Hasil!$B139="","",Hasil!A139)</f>
        <v/>
      </c>
      <c r="B149" t="str">
        <f>IF(Hasil!$B139="","",Hasil!B139)</f>
        <v/>
      </c>
      <c r="C149" t="str">
        <f>IF(Hasil!$B139="","",Hasil!C139)</f>
        <v/>
      </c>
      <c r="D149" t="str">
        <f>IF(Hasil!$B139="","",Hasil!D139)</f>
        <v/>
      </c>
      <c r="E149" s="69" t="str">
        <f>IF(Hasil!$B139="","",Hasil!E139)</f>
        <v/>
      </c>
      <c r="F149" s="69" t="str">
        <f>IF(Hasil!$B139="","",Hasil!F139)</f>
        <v/>
      </c>
      <c r="G149" s="69" t="str">
        <f>IF(Hasil!$B139="","",Hasil!G139)</f>
        <v/>
      </c>
      <c r="H149" s="69" t="str">
        <f>IF(Hasil!$B139="","",Hasil!H139)</f>
        <v/>
      </c>
      <c r="I149" s="69" t="str">
        <f>IF(Hasil!$B139="","",Hasil!I139)</f>
        <v/>
      </c>
      <c r="J149" s="69" t="str">
        <f>IF(Hasil!$B139="","",Hasil!J139)</f>
        <v/>
      </c>
      <c r="K149" s="81" t="str">
        <f>IF(Hasil!$B139="","",Hasil!T139)</f>
        <v/>
      </c>
      <c r="L149" s="39" t="str">
        <f>IF(Hasil!$B139="","",Hasil!$V139)</f>
        <v/>
      </c>
      <c r="M149" s="69" t="str">
        <f>IF(Hasil!$B139="","",Hasil!$AU139)</f>
        <v/>
      </c>
      <c r="N149" s="69" t="str">
        <f>IF(Hasil!$B139="","",Hasil!$AV139)</f>
        <v/>
      </c>
    </row>
    <row r="150" spans="1:14">
      <c r="A150" s="38" t="str">
        <f>IF(Hasil!$B140="","",Hasil!A140)</f>
        <v/>
      </c>
      <c r="B150" t="str">
        <f>IF(Hasil!$B140="","",Hasil!B140)</f>
        <v/>
      </c>
      <c r="C150" t="str">
        <f>IF(Hasil!$B140="","",Hasil!C140)</f>
        <v/>
      </c>
      <c r="D150" t="str">
        <f>IF(Hasil!$B140="","",Hasil!D140)</f>
        <v/>
      </c>
      <c r="E150" s="69" t="str">
        <f>IF(Hasil!$B140="","",Hasil!E140)</f>
        <v/>
      </c>
      <c r="F150" s="69" t="str">
        <f>IF(Hasil!$B140="","",Hasil!F140)</f>
        <v/>
      </c>
      <c r="G150" s="69" t="str">
        <f>IF(Hasil!$B140="","",Hasil!G140)</f>
        <v/>
      </c>
      <c r="H150" s="69" t="str">
        <f>IF(Hasil!$B140="","",Hasil!H140)</f>
        <v/>
      </c>
      <c r="I150" s="69" t="str">
        <f>IF(Hasil!$B140="","",Hasil!I140)</f>
        <v/>
      </c>
      <c r="J150" s="69" t="str">
        <f>IF(Hasil!$B140="","",Hasil!J140)</f>
        <v/>
      </c>
      <c r="K150" s="81" t="str">
        <f>IF(Hasil!$B140="","",Hasil!T140)</f>
        <v/>
      </c>
      <c r="L150" s="39" t="str">
        <f>IF(Hasil!$B140="","",Hasil!$V140)</f>
        <v/>
      </c>
      <c r="M150" s="69" t="str">
        <f>IF(Hasil!$B140="","",Hasil!$AU140)</f>
        <v/>
      </c>
      <c r="N150" s="69" t="str">
        <f>IF(Hasil!$B140="","",Hasil!$AV140)</f>
        <v/>
      </c>
    </row>
    <row r="151" spans="1:14">
      <c r="A151" s="38" t="str">
        <f>IF(Hasil!$B141="","",Hasil!A141)</f>
        <v/>
      </c>
      <c r="B151" t="str">
        <f>IF(Hasil!$B141="","",Hasil!B141)</f>
        <v/>
      </c>
      <c r="C151" t="str">
        <f>IF(Hasil!$B141="","",Hasil!C141)</f>
        <v/>
      </c>
      <c r="D151" t="str">
        <f>IF(Hasil!$B141="","",Hasil!D141)</f>
        <v/>
      </c>
      <c r="E151" s="69" t="str">
        <f>IF(Hasil!$B141="","",Hasil!E141)</f>
        <v/>
      </c>
      <c r="F151" s="69" t="str">
        <f>IF(Hasil!$B141="","",Hasil!F141)</f>
        <v/>
      </c>
      <c r="G151" s="69" t="str">
        <f>IF(Hasil!$B141="","",Hasil!G141)</f>
        <v/>
      </c>
      <c r="H151" s="69" t="str">
        <f>IF(Hasil!$B141="","",Hasil!H141)</f>
        <v/>
      </c>
      <c r="I151" s="69" t="str">
        <f>IF(Hasil!$B141="","",Hasil!I141)</f>
        <v/>
      </c>
      <c r="J151" s="69" t="str">
        <f>IF(Hasil!$B141="","",Hasil!J141)</f>
        <v/>
      </c>
      <c r="K151" s="81" t="str">
        <f>IF(Hasil!$B141="","",Hasil!T141)</f>
        <v/>
      </c>
      <c r="L151" s="39" t="str">
        <f>IF(Hasil!$B141="","",Hasil!$V141)</f>
        <v/>
      </c>
      <c r="M151" s="69" t="str">
        <f>IF(Hasil!$B141="","",Hasil!$AU141)</f>
        <v/>
      </c>
      <c r="N151" s="69" t="str">
        <f>IF(Hasil!$B141="","",Hasil!$AV141)</f>
        <v/>
      </c>
    </row>
    <row r="152" spans="1:14">
      <c r="A152" s="38" t="str">
        <f>IF(Hasil!$B142="","",Hasil!A142)</f>
        <v/>
      </c>
      <c r="B152" t="str">
        <f>IF(Hasil!$B142="","",Hasil!B142)</f>
        <v/>
      </c>
      <c r="C152" t="str">
        <f>IF(Hasil!$B142="","",Hasil!C142)</f>
        <v/>
      </c>
      <c r="D152" t="str">
        <f>IF(Hasil!$B142="","",Hasil!D142)</f>
        <v/>
      </c>
      <c r="E152" s="69" t="str">
        <f>IF(Hasil!$B142="","",Hasil!E142)</f>
        <v/>
      </c>
      <c r="F152" s="69" t="str">
        <f>IF(Hasil!$B142="","",Hasil!F142)</f>
        <v/>
      </c>
      <c r="G152" s="69" t="str">
        <f>IF(Hasil!$B142="","",Hasil!G142)</f>
        <v/>
      </c>
      <c r="H152" s="69" t="str">
        <f>IF(Hasil!$B142="","",Hasil!H142)</f>
        <v/>
      </c>
      <c r="I152" s="69" t="str">
        <f>IF(Hasil!$B142="","",Hasil!I142)</f>
        <v/>
      </c>
      <c r="J152" s="69" t="str">
        <f>IF(Hasil!$B142="","",Hasil!J142)</f>
        <v/>
      </c>
      <c r="K152" s="81" t="str">
        <f>IF(Hasil!$B142="","",Hasil!T142)</f>
        <v/>
      </c>
      <c r="L152" s="39" t="str">
        <f>IF(Hasil!$B142="","",Hasil!$V142)</f>
        <v/>
      </c>
      <c r="M152" s="69" t="str">
        <f>IF(Hasil!$B142="","",Hasil!$AU142)</f>
        <v/>
      </c>
      <c r="N152" s="69" t="str">
        <f>IF(Hasil!$B142="","",Hasil!$AV142)</f>
        <v/>
      </c>
    </row>
    <row r="153" spans="1:14">
      <c r="A153" s="38" t="str">
        <f>IF(Hasil!$B143="","",Hasil!A143)</f>
        <v/>
      </c>
      <c r="B153" t="str">
        <f>IF(Hasil!$B143="","",Hasil!B143)</f>
        <v/>
      </c>
      <c r="C153" t="str">
        <f>IF(Hasil!$B143="","",Hasil!C143)</f>
        <v/>
      </c>
      <c r="D153" t="str">
        <f>IF(Hasil!$B143="","",Hasil!D143)</f>
        <v/>
      </c>
      <c r="E153" s="69" t="str">
        <f>IF(Hasil!$B143="","",Hasil!E143)</f>
        <v/>
      </c>
      <c r="F153" s="69" t="str">
        <f>IF(Hasil!$B143="","",Hasil!F143)</f>
        <v/>
      </c>
      <c r="G153" s="69" t="str">
        <f>IF(Hasil!$B143="","",Hasil!G143)</f>
        <v/>
      </c>
      <c r="H153" s="69" t="str">
        <f>IF(Hasil!$B143="","",Hasil!H143)</f>
        <v/>
      </c>
      <c r="I153" s="69" t="str">
        <f>IF(Hasil!$B143="","",Hasil!I143)</f>
        <v/>
      </c>
      <c r="J153" s="69" t="str">
        <f>IF(Hasil!$B143="","",Hasil!J143)</f>
        <v/>
      </c>
      <c r="K153" s="81" t="str">
        <f>IF(Hasil!$B143="","",Hasil!T143)</f>
        <v/>
      </c>
      <c r="L153" s="39" t="str">
        <f>IF(Hasil!$B143="","",Hasil!$V143)</f>
        <v/>
      </c>
      <c r="M153" s="69" t="str">
        <f>IF(Hasil!$B143="","",Hasil!$AU143)</f>
        <v/>
      </c>
      <c r="N153" s="69" t="str">
        <f>IF(Hasil!$B143="","",Hasil!$AV143)</f>
        <v/>
      </c>
    </row>
    <row r="154" spans="1:14">
      <c r="A154" s="38" t="str">
        <f>IF(Hasil!$B144="","",Hasil!A144)</f>
        <v/>
      </c>
      <c r="B154" t="str">
        <f>IF(Hasil!$B144="","",Hasil!B144)</f>
        <v/>
      </c>
      <c r="C154" t="str">
        <f>IF(Hasil!$B144="","",Hasil!C144)</f>
        <v/>
      </c>
      <c r="D154" t="str">
        <f>IF(Hasil!$B144="","",Hasil!D144)</f>
        <v/>
      </c>
      <c r="E154" s="69" t="str">
        <f>IF(Hasil!$B144="","",Hasil!E144)</f>
        <v/>
      </c>
      <c r="F154" s="69" t="str">
        <f>IF(Hasil!$B144="","",Hasil!F144)</f>
        <v/>
      </c>
      <c r="G154" s="69" t="str">
        <f>IF(Hasil!$B144="","",Hasil!G144)</f>
        <v/>
      </c>
      <c r="H154" s="69" t="str">
        <f>IF(Hasil!$B144="","",Hasil!H144)</f>
        <v/>
      </c>
      <c r="I154" s="69" t="str">
        <f>IF(Hasil!$B144="","",Hasil!I144)</f>
        <v/>
      </c>
      <c r="J154" s="69" t="str">
        <f>IF(Hasil!$B144="","",Hasil!J144)</f>
        <v/>
      </c>
      <c r="K154" s="81" t="str">
        <f>IF(Hasil!$B144="","",Hasil!T144)</f>
        <v/>
      </c>
      <c r="L154" s="39" t="str">
        <f>IF(Hasil!$B144="","",Hasil!$V144)</f>
        <v/>
      </c>
      <c r="M154" s="69" t="str">
        <f>IF(Hasil!$B144="","",Hasil!$AU144)</f>
        <v/>
      </c>
      <c r="N154" s="69" t="str">
        <f>IF(Hasil!$B144="","",Hasil!$AV144)</f>
        <v/>
      </c>
    </row>
    <row r="155" spans="1:14">
      <c r="A155" s="38" t="str">
        <f>IF(Hasil!$B145="","",Hasil!A145)</f>
        <v/>
      </c>
      <c r="B155" t="str">
        <f>IF(Hasil!$B145="","",Hasil!B145)</f>
        <v/>
      </c>
      <c r="C155" t="str">
        <f>IF(Hasil!$B145="","",Hasil!C145)</f>
        <v/>
      </c>
      <c r="D155" t="str">
        <f>IF(Hasil!$B145="","",Hasil!D145)</f>
        <v/>
      </c>
      <c r="E155" s="69" t="str">
        <f>IF(Hasil!$B145="","",Hasil!E145)</f>
        <v/>
      </c>
      <c r="F155" s="69" t="str">
        <f>IF(Hasil!$B145="","",Hasil!F145)</f>
        <v/>
      </c>
      <c r="G155" s="69" t="str">
        <f>IF(Hasil!$B145="","",Hasil!G145)</f>
        <v/>
      </c>
      <c r="H155" s="69" t="str">
        <f>IF(Hasil!$B145="","",Hasil!H145)</f>
        <v/>
      </c>
      <c r="I155" s="69" t="str">
        <f>IF(Hasil!$B145="","",Hasil!I145)</f>
        <v/>
      </c>
      <c r="J155" s="69" t="str">
        <f>IF(Hasil!$B145="","",Hasil!J145)</f>
        <v/>
      </c>
      <c r="K155" s="81" t="str">
        <f>IF(Hasil!$B145="","",Hasil!T145)</f>
        <v/>
      </c>
      <c r="L155" s="39" t="str">
        <f>IF(Hasil!$B145="","",Hasil!$V145)</f>
        <v/>
      </c>
      <c r="M155" s="69" t="str">
        <f>IF(Hasil!$B145="","",Hasil!$AU145)</f>
        <v/>
      </c>
      <c r="N155" s="69" t="str">
        <f>IF(Hasil!$B145="","",Hasil!$AV145)</f>
        <v/>
      </c>
    </row>
    <row r="156" spans="1:14">
      <c r="A156" s="38" t="str">
        <f>IF(Hasil!$B146="","",Hasil!A146)</f>
        <v/>
      </c>
      <c r="B156" t="str">
        <f>IF(Hasil!$B146="","",Hasil!B146)</f>
        <v/>
      </c>
      <c r="C156" t="str">
        <f>IF(Hasil!$B146="","",Hasil!C146)</f>
        <v/>
      </c>
      <c r="D156" t="str">
        <f>IF(Hasil!$B146="","",Hasil!D146)</f>
        <v/>
      </c>
      <c r="E156" s="69" t="str">
        <f>IF(Hasil!$B146="","",Hasil!E146)</f>
        <v/>
      </c>
      <c r="F156" s="69" t="str">
        <f>IF(Hasil!$B146="","",Hasil!F146)</f>
        <v/>
      </c>
      <c r="G156" s="69" t="str">
        <f>IF(Hasil!$B146="","",Hasil!G146)</f>
        <v/>
      </c>
      <c r="H156" s="69" t="str">
        <f>IF(Hasil!$B146="","",Hasil!H146)</f>
        <v/>
      </c>
      <c r="I156" s="69" t="str">
        <f>IF(Hasil!$B146="","",Hasil!I146)</f>
        <v/>
      </c>
      <c r="J156" s="69" t="str">
        <f>IF(Hasil!$B146="","",Hasil!J146)</f>
        <v/>
      </c>
      <c r="K156" s="81" t="str">
        <f>IF(Hasil!$B146="","",Hasil!T146)</f>
        <v/>
      </c>
      <c r="L156" s="39" t="str">
        <f>IF(Hasil!$B146="","",Hasil!$V146)</f>
        <v/>
      </c>
      <c r="M156" s="69" t="str">
        <f>IF(Hasil!$B146="","",Hasil!$AU146)</f>
        <v/>
      </c>
      <c r="N156" s="69" t="str">
        <f>IF(Hasil!$B146="","",Hasil!$AV146)</f>
        <v/>
      </c>
    </row>
    <row r="157" spans="1:14">
      <c r="A157" s="38" t="str">
        <f>IF(Hasil!$B147="","",Hasil!A147)</f>
        <v/>
      </c>
      <c r="B157" t="str">
        <f>IF(Hasil!$B147="","",Hasil!B147)</f>
        <v/>
      </c>
      <c r="C157" t="str">
        <f>IF(Hasil!$B147="","",Hasil!C147)</f>
        <v/>
      </c>
      <c r="D157" t="str">
        <f>IF(Hasil!$B147="","",Hasil!D147)</f>
        <v/>
      </c>
      <c r="E157" s="69" t="str">
        <f>IF(Hasil!$B147="","",Hasil!E147)</f>
        <v/>
      </c>
      <c r="F157" s="69" t="str">
        <f>IF(Hasil!$B147="","",Hasil!F147)</f>
        <v/>
      </c>
      <c r="G157" s="69" t="str">
        <f>IF(Hasil!$B147="","",Hasil!G147)</f>
        <v/>
      </c>
      <c r="H157" s="69" t="str">
        <f>IF(Hasil!$B147="","",Hasil!H147)</f>
        <v/>
      </c>
      <c r="I157" s="69" t="str">
        <f>IF(Hasil!$B147="","",Hasil!I147)</f>
        <v/>
      </c>
      <c r="J157" s="69" t="str">
        <f>IF(Hasil!$B147="","",Hasil!J147)</f>
        <v/>
      </c>
      <c r="K157" s="81" t="str">
        <f>IF(Hasil!$B147="","",Hasil!T147)</f>
        <v/>
      </c>
      <c r="L157" s="39" t="str">
        <f>IF(Hasil!$B147="","",Hasil!$V147)</f>
        <v/>
      </c>
      <c r="M157" s="69" t="str">
        <f>IF(Hasil!$B147="","",Hasil!$AU147)</f>
        <v/>
      </c>
      <c r="N157" s="69" t="str">
        <f>IF(Hasil!$B147="","",Hasil!$AV147)</f>
        <v/>
      </c>
    </row>
    <row r="158" spans="1:14">
      <c r="A158" s="38" t="str">
        <f>IF(Hasil!$B148="","",Hasil!A148)</f>
        <v/>
      </c>
      <c r="B158" t="str">
        <f>IF(Hasil!$B148="","",Hasil!B148)</f>
        <v/>
      </c>
      <c r="C158" t="str">
        <f>IF(Hasil!$B148="","",Hasil!C148)</f>
        <v/>
      </c>
      <c r="D158" t="str">
        <f>IF(Hasil!$B148="","",Hasil!D148)</f>
        <v/>
      </c>
      <c r="E158" s="69" t="str">
        <f>IF(Hasil!$B148="","",Hasil!E148)</f>
        <v/>
      </c>
      <c r="F158" s="69" t="str">
        <f>IF(Hasil!$B148="","",Hasil!F148)</f>
        <v/>
      </c>
      <c r="G158" s="69" t="str">
        <f>IF(Hasil!$B148="","",Hasil!G148)</f>
        <v/>
      </c>
      <c r="H158" s="69" t="str">
        <f>IF(Hasil!$B148="","",Hasil!H148)</f>
        <v/>
      </c>
      <c r="I158" s="69" t="str">
        <f>IF(Hasil!$B148="","",Hasil!I148)</f>
        <v/>
      </c>
      <c r="J158" s="69" t="str">
        <f>IF(Hasil!$B148="","",Hasil!J148)</f>
        <v/>
      </c>
      <c r="K158" s="81" t="str">
        <f>IF(Hasil!$B148="","",Hasil!T148)</f>
        <v/>
      </c>
      <c r="L158" s="39" t="str">
        <f>IF(Hasil!$B148="","",Hasil!$V148)</f>
        <v/>
      </c>
      <c r="M158" s="69" t="str">
        <f>IF(Hasil!$B148="","",Hasil!$AU148)</f>
        <v/>
      </c>
      <c r="N158" s="69" t="str">
        <f>IF(Hasil!$B148="","",Hasil!$AV148)</f>
        <v/>
      </c>
    </row>
    <row r="159" spans="1:14">
      <c r="A159" s="38" t="str">
        <f>IF(Hasil!$B149="","",Hasil!A149)</f>
        <v/>
      </c>
      <c r="B159" t="str">
        <f>IF(Hasil!$B149="","",Hasil!B149)</f>
        <v/>
      </c>
      <c r="C159" t="str">
        <f>IF(Hasil!$B149="","",Hasil!C149)</f>
        <v/>
      </c>
      <c r="D159" t="str">
        <f>IF(Hasil!$B149="","",Hasil!D149)</f>
        <v/>
      </c>
      <c r="E159" s="69" t="str">
        <f>IF(Hasil!$B149="","",Hasil!E149)</f>
        <v/>
      </c>
      <c r="F159" s="69" t="str">
        <f>IF(Hasil!$B149="","",Hasil!F149)</f>
        <v/>
      </c>
      <c r="G159" s="69" t="str">
        <f>IF(Hasil!$B149="","",Hasil!G149)</f>
        <v/>
      </c>
      <c r="H159" s="69" t="str">
        <f>IF(Hasil!$B149="","",Hasil!H149)</f>
        <v/>
      </c>
      <c r="I159" s="69" t="str">
        <f>IF(Hasil!$B149="","",Hasil!I149)</f>
        <v/>
      </c>
      <c r="J159" s="69" t="str">
        <f>IF(Hasil!$B149="","",Hasil!J149)</f>
        <v/>
      </c>
      <c r="K159" s="81" t="str">
        <f>IF(Hasil!$B149="","",Hasil!T149)</f>
        <v/>
      </c>
      <c r="L159" s="39" t="str">
        <f>IF(Hasil!$B149="","",Hasil!$V149)</f>
        <v/>
      </c>
      <c r="M159" s="69" t="str">
        <f>IF(Hasil!$B149="","",Hasil!$AU149)</f>
        <v/>
      </c>
      <c r="N159" s="69" t="str">
        <f>IF(Hasil!$B149="","",Hasil!$AV149)</f>
        <v/>
      </c>
    </row>
    <row r="160" spans="1:14">
      <c r="A160" s="38" t="str">
        <f>IF(Hasil!$B150="","",Hasil!A150)</f>
        <v/>
      </c>
      <c r="B160" t="str">
        <f>IF(Hasil!$B150="","",Hasil!B150)</f>
        <v/>
      </c>
      <c r="C160" t="str">
        <f>IF(Hasil!$B150="","",Hasil!C150)</f>
        <v/>
      </c>
      <c r="D160" t="str">
        <f>IF(Hasil!$B150="","",Hasil!D150)</f>
        <v/>
      </c>
      <c r="E160" s="69" t="str">
        <f>IF(Hasil!$B150="","",Hasil!E150)</f>
        <v/>
      </c>
      <c r="F160" s="69" t="str">
        <f>IF(Hasil!$B150="","",Hasil!F150)</f>
        <v/>
      </c>
      <c r="G160" s="69" t="str">
        <f>IF(Hasil!$B150="","",Hasil!G150)</f>
        <v/>
      </c>
      <c r="H160" s="69" t="str">
        <f>IF(Hasil!$B150="","",Hasil!H150)</f>
        <v/>
      </c>
      <c r="I160" s="69" t="str">
        <f>IF(Hasil!$B150="","",Hasil!I150)</f>
        <v/>
      </c>
      <c r="J160" s="69" t="str">
        <f>IF(Hasil!$B150="","",Hasil!J150)</f>
        <v/>
      </c>
      <c r="K160" s="81" t="str">
        <f>IF(Hasil!$B150="","",Hasil!T150)</f>
        <v/>
      </c>
      <c r="L160" s="39" t="str">
        <f>IF(Hasil!$B150="","",Hasil!$V150)</f>
        <v/>
      </c>
      <c r="M160" s="69" t="str">
        <f>IF(Hasil!$B150="","",Hasil!$AU150)</f>
        <v/>
      </c>
      <c r="N160" s="69" t="str">
        <f>IF(Hasil!$B150="","",Hasil!$AV150)</f>
        <v/>
      </c>
    </row>
    <row r="161" spans="1:14">
      <c r="A161" s="38" t="str">
        <f>IF(Hasil!$B151="","",Hasil!A151)</f>
        <v/>
      </c>
      <c r="B161" t="str">
        <f>IF(Hasil!$B151="","",Hasil!B151)</f>
        <v/>
      </c>
      <c r="C161" t="str">
        <f>IF(Hasil!$B151="","",Hasil!C151)</f>
        <v/>
      </c>
      <c r="D161" t="str">
        <f>IF(Hasil!$B151="","",Hasil!D151)</f>
        <v/>
      </c>
      <c r="E161" s="69" t="str">
        <f>IF(Hasil!$B151="","",Hasil!E151)</f>
        <v/>
      </c>
      <c r="F161" s="69" t="str">
        <f>IF(Hasil!$B151="","",Hasil!F151)</f>
        <v/>
      </c>
      <c r="G161" s="69" t="str">
        <f>IF(Hasil!$B151="","",Hasil!G151)</f>
        <v/>
      </c>
      <c r="H161" s="69" t="str">
        <f>IF(Hasil!$B151="","",Hasil!H151)</f>
        <v/>
      </c>
      <c r="I161" s="69" t="str">
        <f>IF(Hasil!$B151="","",Hasil!I151)</f>
        <v/>
      </c>
      <c r="J161" s="69" t="str">
        <f>IF(Hasil!$B151="","",Hasil!J151)</f>
        <v/>
      </c>
      <c r="K161" s="81" t="str">
        <f>IF(Hasil!$B151="","",Hasil!T151)</f>
        <v/>
      </c>
      <c r="L161" s="39" t="str">
        <f>IF(Hasil!$B151="","",Hasil!$V151)</f>
        <v/>
      </c>
      <c r="M161" s="69" t="str">
        <f>IF(Hasil!$B151="","",Hasil!$AU151)</f>
        <v/>
      </c>
      <c r="N161" s="69" t="str">
        <f>IF(Hasil!$B151="","",Hasil!$AV151)</f>
        <v/>
      </c>
    </row>
    <row r="162" spans="1:14">
      <c r="A162" s="38" t="str">
        <f>IF(Hasil!$B152="","",Hasil!A152)</f>
        <v/>
      </c>
      <c r="B162" t="str">
        <f>IF(Hasil!$B152="","",Hasil!B152)</f>
        <v/>
      </c>
      <c r="C162" t="str">
        <f>IF(Hasil!$B152="","",Hasil!C152)</f>
        <v/>
      </c>
      <c r="D162" t="str">
        <f>IF(Hasil!$B152="","",Hasil!D152)</f>
        <v/>
      </c>
      <c r="E162" s="69" t="str">
        <f>IF(Hasil!$B152="","",Hasil!E152)</f>
        <v/>
      </c>
      <c r="F162" s="69" t="str">
        <f>IF(Hasil!$B152="","",Hasil!F152)</f>
        <v/>
      </c>
      <c r="G162" s="69" t="str">
        <f>IF(Hasil!$B152="","",Hasil!G152)</f>
        <v/>
      </c>
      <c r="H162" s="69" t="str">
        <f>IF(Hasil!$B152="","",Hasil!H152)</f>
        <v/>
      </c>
      <c r="I162" s="69" t="str">
        <f>IF(Hasil!$B152="","",Hasil!I152)</f>
        <v/>
      </c>
      <c r="J162" s="69" t="str">
        <f>IF(Hasil!$B152="","",Hasil!J152)</f>
        <v/>
      </c>
      <c r="K162" s="81" t="str">
        <f>IF(Hasil!$B152="","",Hasil!T152)</f>
        <v/>
      </c>
      <c r="L162" s="39" t="str">
        <f>IF(Hasil!$B152="","",Hasil!$V152)</f>
        <v/>
      </c>
      <c r="M162" s="69" t="str">
        <f>IF(Hasil!$B152="","",Hasil!$AU152)</f>
        <v/>
      </c>
      <c r="N162" s="69" t="str">
        <f>IF(Hasil!$B152="","",Hasil!$AV152)</f>
        <v/>
      </c>
    </row>
    <row r="163" spans="1:14">
      <c r="A163" s="38" t="str">
        <f>IF(Hasil!$B153="","",Hasil!A153)</f>
        <v/>
      </c>
      <c r="B163" t="str">
        <f>IF(Hasil!$B153="","",Hasil!B153)</f>
        <v/>
      </c>
      <c r="C163" t="str">
        <f>IF(Hasil!$B153="","",Hasil!C153)</f>
        <v/>
      </c>
      <c r="D163" t="str">
        <f>IF(Hasil!$B153="","",Hasil!D153)</f>
        <v/>
      </c>
      <c r="E163" s="69" t="str">
        <f>IF(Hasil!$B153="","",Hasil!E153)</f>
        <v/>
      </c>
      <c r="F163" s="69" t="str">
        <f>IF(Hasil!$B153="","",Hasil!F153)</f>
        <v/>
      </c>
      <c r="G163" s="69" t="str">
        <f>IF(Hasil!$B153="","",Hasil!G153)</f>
        <v/>
      </c>
      <c r="H163" s="69" t="str">
        <f>IF(Hasil!$B153="","",Hasil!H153)</f>
        <v/>
      </c>
      <c r="I163" s="69" t="str">
        <f>IF(Hasil!$B153="","",Hasil!I153)</f>
        <v/>
      </c>
      <c r="J163" s="69" t="str">
        <f>IF(Hasil!$B153="","",Hasil!J153)</f>
        <v/>
      </c>
      <c r="K163" s="81" t="str">
        <f>IF(Hasil!$B153="","",Hasil!T153)</f>
        <v/>
      </c>
      <c r="L163" s="39" t="str">
        <f>IF(Hasil!$B153="","",Hasil!$V153)</f>
        <v/>
      </c>
      <c r="M163" s="69" t="str">
        <f>IF(Hasil!$B153="","",Hasil!$AU153)</f>
        <v/>
      </c>
      <c r="N163" s="69" t="str">
        <f>IF(Hasil!$B153="","",Hasil!$AV153)</f>
        <v/>
      </c>
    </row>
    <row r="164" spans="1:14">
      <c r="A164" s="38" t="str">
        <f>IF(Hasil!$B154="","",Hasil!A154)</f>
        <v/>
      </c>
      <c r="B164" t="str">
        <f>IF(Hasil!$B154="","",Hasil!B154)</f>
        <v/>
      </c>
      <c r="C164" t="str">
        <f>IF(Hasil!$B154="","",Hasil!C154)</f>
        <v/>
      </c>
      <c r="D164" t="str">
        <f>IF(Hasil!$B154="","",Hasil!D154)</f>
        <v/>
      </c>
      <c r="E164" s="69" t="str">
        <f>IF(Hasil!$B154="","",Hasil!E154)</f>
        <v/>
      </c>
      <c r="F164" s="69" t="str">
        <f>IF(Hasil!$B154="","",Hasil!F154)</f>
        <v/>
      </c>
      <c r="G164" s="69" t="str">
        <f>IF(Hasil!$B154="","",Hasil!G154)</f>
        <v/>
      </c>
      <c r="H164" s="69" t="str">
        <f>IF(Hasil!$B154="","",Hasil!H154)</f>
        <v/>
      </c>
      <c r="I164" s="69" t="str">
        <f>IF(Hasil!$B154="","",Hasil!I154)</f>
        <v/>
      </c>
      <c r="J164" s="69" t="str">
        <f>IF(Hasil!$B154="","",Hasil!J154)</f>
        <v/>
      </c>
      <c r="K164" s="81" t="str">
        <f>IF(Hasil!$B154="","",Hasil!T154)</f>
        <v/>
      </c>
      <c r="L164" s="39" t="str">
        <f>IF(Hasil!$B154="","",Hasil!$V154)</f>
        <v/>
      </c>
      <c r="M164" s="69" t="str">
        <f>IF(Hasil!$B154="","",Hasil!$AU154)</f>
        <v/>
      </c>
      <c r="N164" s="69" t="str">
        <f>IF(Hasil!$B154="","",Hasil!$AV154)</f>
        <v/>
      </c>
    </row>
    <row r="165" spans="1:14">
      <c r="A165" s="38" t="str">
        <f>IF(Hasil!$B155="","",Hasil!A155)</f>
        <v/>
      </c>
      <c r="B165" t="str">
        <f>IF(Hasil!$B155="","",Hasil!B155)</f>
        <v/>
      </c>
      <c r="C165" t="str">
        <f>IF(Hasil!$B155="","",Hasil!C155)</f>
        <v/>
      </c>
      <c r="D165" t="str">
        <f>IF(Hasil!$B155="","",Hasil!D155)</f>
        <v/>
      </c>
      <c r="E165" s="69" t="str">
        <f>IF(Hasil!$B155="","",Hasil!E155)</f>
        <v/>
      </c>
      <c r="F165" s="69" t="str">
        <f>IF(Hasil!$B155="","",Hasil!F155)</f>
        <v/>
      </c>
      <c r="G165" s="69" t="str">
        <f>IF(Hasil!$B155="","",Hasil!G155)</f>
        <v/>
      </c>
      <c r="H165" s="69" t="str">
        <f>IF(Hasil!$B155="","",Hasil!H155)</f>
        <v/>
      </c>
      <c r="I165" s="69" t="str">
        <f>IF(Hasil!$B155="","",Hasil!I155)</f>
        <v/>
      </c>
      <c r="J165" s="69" t="str">
        <f>IF(Hasil!$B155="","",Hasil!J155)</f>
        <v/>
      </c>
      <c r="K165" s="81" t="str">
        <f>IF(Hasil!$B155="","",Hasil!T155)</f>
        <v/>
      </c>
      <c r="L165" s="39" t="str">
        <f>IF(Hasil!$B155="","",Hasil!$V155)</f>
        <v/>
      </c>
      <c r="M165" s="69" t="str">
        <f>IF(Hasil!$B155="","",Hasil!$AU155)</f>
        <v/>
      </c>
      <c r="N165" s="69" t="str">
        <f>IF(Hasil!$B155="","",Hasil!$AV155)</f>
        <v/>
      </c>
    </row>
    <row r="166" spans="1:14">
      <c r="A166" s="38" t="str">
        <f>IF(Hasil!$B156="","",Hasil!A156)</f>
        <v/>
      </c>
      <c r="B166" t="str">
        <f>IF(Hasil!$B156="","",Hasil!B156)</f>
        <v/>
      </c>
      <c r="C166" t="str">
        <f>IF(Hasil!$B156="","",Hasil!C156)</f>
        <v/>
      </c>
      <c r="D166" t="str">
        <f>IF(Hasil!$B156="","",Hasil!D156)</f>
        <v/>
      </c>
      <c r="E166" s="69" t="str">
        <f>IF(Hasil!$B156="","",Hasil!E156)</f>
        <v/>
      </c>
      <c r="F166" s="69" t="str">
        <f>IF(Hasil!$B156="","",Hasil!F156)</f>
        <v/>
      </c>
      <c r="G166" s="69" t="str">
        <f>IF(Hasil!$B156="","",Hasil!G156)</f>
        <v/>
      </c>
      <c r="H166" s="69" t="str">
        <f>IF(Hasil!$B156="","",Hasil!H156)</f>
        <v/>
      </c>
      <c r="I166" s="69" t="str">
        <f>IF(Hasil!$B156="","",Hasil!I156)</f>
        <v/>
      </c>
      <c r="J166" s="69" t="str">
        <f>IF(Hasil!$B156="","",Hasil!J156)</f>
        <v/>
      </c>
      <c r="K166" s="81" t="str">
        <f>IF(Hasil!$B156="","",Hasil!T156)</f>
        <v/>
      </c>
      <c r="L166" s="39" t="str">
        <f>IF(Hasil!$B156="","",Hasil!$V156)</f>
        <v/>
      </c>
      <c r="M166" s="69" t="str">
        <f>IF(Hasil!$B156="","",Hasil!$AU156)</f>
        <v/>
      </c>
      <c r="N166" s="69" t="str">
        <f>IF(Hasil!$B156="","",Hasil!$AV156)</f>
        <v/>
      </c>
    </row>
    <row r="167" spans="1:14">
      <c r="A167" s="38" t="str">
        <f>IF(Hasil!$B157="","",Hasil!A157)</f>
        <v/>
      </c>
      <c r="B167" t="str">
        <f>IF(Hasil!$B157="","",Hasil!B157)</f>
        <v/>
      </c>
      <c r="C167" t="str">
        <f>IF(Hasil!$B157="","",Hasil!C157)</f>
        <v/>
      </c>
      <c r="D167" t="str">
        <f>IF(Hasil!$B157="","",Hasil!D157)</f>
        <v/>
      </c>
      <c r="E167" s="69" t="str">
        <f>IF(Hasil!$B157="","",Hasil!E157)</f>
        <v/>
      </c>
      <c r="F167" s="69" t="str">
        <f>IF(Hasil!$B157="","",Hasil!F157)</f>
        <v/>
      </c>
      <c r="G167" s="69" t="str">
        <f>IF(Hasil!$B157="","",Hasil!G157)</f>
        <v/>
      </c>
      <c r="H167" s="69" t="str">
        <f>IF(Hasil!$B157="","",Hasil!H157)</f>
        <v/>
      </c>
      <c r="I167" s="69" t="str">
        <f>IF(Hasil!$B157="","",Hasil!I157)</f>
        <v/>
      </c>
      <c r="J167" s="69" t="str">
        <f>IF(Hasil!$B157="","",Hasil!J157)</f>
        <v/>
      </c>
      <c r="K167" s="81" t="str">
        <f>IF(Hasil!$B157="","",Hasil!T157)</f>
        <v/>
      </c>
      <c r="L167" s="39" t="str">
        <f>IF(Hasil!$B157="","",Hasil!$V157)</f>
        <v/>
      </c>
      <c r="M167" s="69" t="str">
        <f>IF(Hasil!$B157="","",Hasil!$AU157)</f>
        <v/>
      </c>
      <c r="N167" s="69" t="str">
        <f>IF(Hasil!$B157="","",Hasil!$AV157)</f>
        <v/>
      </c>
    </row>
    <row r="168" spans="1:14">
      <c r="A168" s="38" t="str">
        <f>IF(Hasil!$B158="","",Hasil!A158)</f>
        <v/>
      </c>
      <c r="B168" t="str">
        <f>IF(Hasil!$B158="","",Hasil!B158)</f>
        <v/>
      </c>
      <c r="C168" t="str">
        <f>IF(Hasil!$B158="","",Hasil!C158)</f>
        <v/>
      </c>
      <c r="D168" t="str">
        <f>IF(Hasil!$B158="","",Hasil!D158)</f>
        <v/>
      </c>
      <c r="E168" s="69" t="str">
        <f>IF(Hasil!$B158="","",Hasil!E158)</f>
        <v/>
      </c>
      <c r="F168" s="69" t="str">
        <f>IF(Hasil!$B158="","",Hasil!F158)</f>
        <v/>
      </c>
      <c r="G168" s="69" t="str">
        <f>IF(Hasil!$B158="","",Hasil!G158)</f>
        <v/>
      </c>
      <c r="H168" s="69" t="str">
        <f>IF(Hasil!$B158="","",Hasil!H158)</f>
        <v/>
      </c>
      <c r="I168" s="69" t="str">
        <f>IF(Hasil!$B158="","",Hasil!I158)</f>
        <v/>
      </c>
      <c r="J168" s="69" t="str">
        <f>IF(Hasil!$B158="","",Hasil!J158)</f>
        <v/>
      </c>
      <c r="K168" s="81" t="str">
        <f>IF(Hasil!$B158="","",Hasil!T158)</f>
        <v/>
      </c>
      <c r="L168" s="39" t="str">
        <f>IF(Hasil!$B158="","",Hasil!$V158)</f>
        <v/>
      </c>
      <c r="M168" s="69" t="str">
        <f>IF(Hasil!$B158="","",Hasil!$AU158)</f>
        <v/>
      </c>
      <c r="N168" s="69" t="str">
        <f>IF(Hasil!$B158="","",Hasil!$AV158)</f>
        <v/>
      </c>
    </row>
    <row r="169" spans="1:14">
      <c r="A169" s="38" t="str">
        <f>IF(Hasil!$B159="","",Hasil!A159)</f>
        <v/>
      </c>
      <c r="B169" t="str">
        <f>IF(Hasil!$B159="","",Hasil!B159)</f>
        <v/>
      </c>
      <c r="C169" t="str">
        <f>IF(Hasil!$B159="","",Hasil!C159)</f>
        <v/>
      </c>
      <c r="D169" t="str">
        <f>IF(Hasil!$B159="","",Hasil!D159)</f>
        <v/>
      </c>
      <c r="E169" s="69" t="str">
        <f>IF(Hasil!$B159="","",Hasil!E159)</f>
        <v/>
      </c>
      <c r="F169" s="69" t="str">
        <f>IF(Hasil!$B159="","",Hasil!F159)</f>
        <v/>
      </c>
      <c r="G169" s="69" t="str">
        <f>IF(Hasil!$B159="","",Hasil!G159)</f>
        <v/>
      </c>
      <c r="H169" s="69" t="str">
        <f>IF(Hasil!$B159="","",Hasil!H159)</f>
        <v/>
      </c>
      <c r="I169" s="69" t="str">
        <f>IF(Hasil!$B159="","",Hasil!I159)</f>
        <v/>
      </c>
      <c r="J169" s="69" t="str">
        <f>IF(Hasil!$B159="","",Hasil!J159)</f>
        <v/>
      </c>
      <c r="K169" s="81" t="str">
        <f>IF(Hasil!$B159="","",Hasil!T159)</f>
        <v/>
      </c>
      <c r="L169" s="39" t="str">
        <f>IF(Hasil!$B159="","",Hasil!$V159)</f>
        <v/>
      </c>
      <c r="M169" s="69" t="str">
        <f>IF(Hasil!$B159="","",Hasil!$AU159)</f>
        <v/>
      </c>
      <c r="N169" s="69" t="str">
        <f>IF(Hasil!$B159="","",Hasil!$AV159)</f>
        <v/>
      </c>
    </row>
    <row r="170" spans="1:14">
      <c r="A170" s="38" t="str">
        <f>IF(Hasil!$B160="","",Hasil!A160)</f>
        <v/>
      </c>
      <c r="B170" t="str">
        <f>IF(Hasil!$B160="","",Hasil!B160)</f>
        <v/>
      </c>
      <c r="C170" t="str">
        <f>IF(Hasil!$B160="","",Hasil!C160)</f>
        <v/>
      </c>
      <c r="D170" t="str">
        <f>IF(Hasil!$B160="","",Hasil!D160)</f>
        <v/>
      </c>
      <c r="E170" s="69" t="str">
        <f>IF(Hasil!$B160="","",Hasil!E160)</f>
        <v/>
      </c>
      <c r="F170" s="69" t="str">
        <f>IF(Hasil!$B160="","",Hasil!F160)</f>
        <v/>
      </c>
      <c r="G170" s="69" t="str">
        <f>IF(Hasil!$B160="","",Hasil!G160)</f>
        <v/>
      </c>
      <c r="H170" s="69" t="str">
        <f>IF(Hasil!$B160="","",Hasil!H160)</f>
        <v/>
      </c>
      <c r="I170" s="69" t="str">
        <f>IF(Hasil!$B160="","",Hasil!I160)</f>
        <v/>
      </c>
      <c r="J170" s="69" t="str">
        <f>IF(Hasil!$B160="","",Hasil!J160)</f>
        <v/>
      </c>
      <c r="K170" s="81" t="str">
        <f>IF(Hasil!$B160="","",Hasil!T160)</f>
        <v/>
      </c>
      <c r="L170" s="39" t="str">
        <f>IF(Hasil!$B160="","",Hasil!$V160)</f>
        <v/>
      </c>
      <c r="M170" s="69" t="str">
        <f>IF(Hasil!$B160="","",Hasil!$AU160)</f>
        <v/>
      </c>
      <c r="N170" s="69" t="str">
        <f>IF(Hasil!$B160="","",Hasil!$AV160)</f>
        <v/>
      </c>
    </row>
    <row r="171" spans="1:14">
      <c r="A171" s="38" t="str">
        <f>IF(Hasil!$B161="","",Hasil!A161)</f>
        <v/>
      </c>
      <c r="B171" t="str">
        <f>IF(Hasil!$B161="","",Hasil!B161)</f>
        <v/>
      </c>
      <c r="C171" t="str">
        <f>IF(Hasil!$B161="","",Hasil!C161)</f>
        <v/>
      </c>
      <c r="D171" t="str">
        <f>IF(Hasil!$B161="","",Hasil!D161)</f>
        <v/>
      </c>
      <c r="E171" s="69" t="str">
        <f>IF(Hasil!$B161="","",Hasil!E161)</f>
        <v/>
      </c>
      <c r="F171" s="69" t="str">
        <f>IF(Hasil!$B161="","",Hasil!F161)</f>
        <v/>
      </c>
      <c r="G171" s="69" t="str">
        <f>IF(Hasil!$B161="","",Hasil!G161)</f>
        <v/>
      </c>
      <c r="H171" s="69" t="str">
        <f>IF(Hasil!$B161="","",Hasil!H161)</f>
        <v/>
      </c>
      <c r="I171" s="69" t="str">
        <f>IF(Hasil!$B161="","",Hasil!I161)</f>
        <v/>
      </c>
      <c r="J171" s="69" t="str">
        <f>IF(Hasil!$B161="","",Hasil!J161)</f>
        <v/>
      </c>
      <c r="K171" s="81" t="str">
        <f>IF(Hasil!$B161="","",Hasil!T161)</f>
        <v/>
      </c>
      <c r="L171" s="39" t="str">
        <f>IF(Hasil!$B161="","",Hasil!$V161)</f>
        <v/>
      </c>
      <c r="M171" s="69" t="str">
        <f>IF(Hasil!$B161="","",Hasil!$AU161)</f>
        <v/>
      </c>
      <c r="N171" s="69" t="str">
        <f>IF(Hasil!$B161="","",Hasil!$AV161)</f>
        <v/>
      </c>
    </row>
    <row r="172" spans="1:14">
      <c r="A172" s="38" t="str">
        <f>IF(Hasil!$B162="","",Hasil!A162)</f>
        <v/>
      </c>
      <c r="B172" t="str">
        <f>IF(Hasil!$B162="","",Hasil!B162)</f>
        <v/>
      </c>
      <c r="C172" t="str">
        <f>IF(Hasil!$B162="","",Hasil!C162)</f>
        <v/>
      </c>
      <c r="D172" t="str">
        <f>IF(Hasil!$B162="","",Hasil!D162)</f>
        <v/>
      </c>
      <c r="E172" s="69" t="str">
        <f>IF(Hasil!$B162="","",Hasil!E162)</f>
        <v/>
      </c>
      <c r="F172" s="69" t="str">
        <f>IF(Hasil!$B162="","",Hasil!F162)</f>
        <v/>
      </c>
      <c r="G172" s="69" t="str">
        <f>IF(Hasil!$B162="","",Hasil!G162)</f>
        <v/>
      </c>
      <c r="H172" s="69" t="str">
        <f>IF(Hasil!$B162="","",Hasil!H162)</f>
        <v/>
      </c>
      <c r="I172" s="69" t="str">
        <f>IF(Hasil!$B162="","",Hasil!I162)</f>
        <v/>
      </c>
      <c r="J172" s="69" t="str">
        <f>IF(Hasil!$B162="","",Hasil!J162)</f>
        <v/>
      </c>
      <c r="K172" s="81" t="str">
        <f>IF(Hasil!$B162="","",Hasil!T162)</f>
        <v/>
      </c>
      <c r="L172" s="39" t="str">
        <f>IF(Hasil!$B162="","",Hasil!$V162)</f>
        <v/>
      </c>
      <c r="M172" s="69" t="str">
        <f>IF(Hasil!$B162="","",Hasil!$AU162)</f>
        <v/>
      </c>
      <c r="N172" s="69" t="str">
        <f>IF(Hasil!$B162="","",Hasil!$AV162)</f>
        <v/>
      </c>
    </row>
    <row r="173" spans="1:14">
      <c r="A173" s="38" t="str">
        <f>IF(Hasil!$B163="","",Hasil!A163)</f>
        <v/>
      </c>
      <c r="B173" t="str">
        <f>IF(Hasil!$B163="","",Hasil!B163)</f>
        <v/>
      </c>
      <c r="C173" t="str">
        <f>IF(Hasil!$B163="","",Hasil!C163)</f>
        <v/>
      </c>
      <c r="D173" t="str">
        <f>IF(Hasil!$B163="","",Hasil!D163)</f>
        <v/>
      </c>
      <c r="E173" s="69" t="str">
        <f>IF(Hasil!$B163="","",Hasil!E163)</f>
        <v/>
      </c>
      <c r="F173" s="69" t="str">
        <f>IF(Hasil!$B163="","",Hasil!F163)</f>
        <v/>
      </c>
      <c r="G173" s="69" t="str">
        <f>IF(Hasil!$B163="","",Hasil!G163)</f>
        <v/>
      </c>
      <c r="H173" s="69" t="str">
        <f>IF(Hasil!$B163="","",Hasil!H163)</f>
        <v/>
      </c>
      <c r="I173" s="69" t="str">
        <f>IF(Hasil!$B163="","",Hasil!I163)</f>
        <v/>
      </c>
      <c r="J173" s="69" t="str">
        <f>IF(Hasil!$B163="","",Hasil!J163)</f>
        <v/>
      </c>
      <c r="K173" s="81" t="str">
        <f>IF(Hasil!$B163="","",Hasil!T163)</f>
        <v/>
      </c>
      <c r="L173" s="39" t="str">
        <f>IF(Hasil!$B163="","",Hasil!$V163)</f>
        <v/>
      </c>
      <c r="M173" s="69" t="str">
        <f>IF(Hasil!$B163="","",Hasil!$AU163)</f>
        <v/>
      </c>
      <c r="N173" s="69" t="str">
        <f>IF(Hasil!$B163="","",Hasil!$AV163)</f>
        <v/>
      </c>
    </row>
    <row r="174" spans="1:14">
      <c r="A174" s="38" t="str">
        <f>IF(Hasil!$B164="","",Hasil!A164)</f>
        <v/>
      </c>
      <c r="B174" t="str">
        <f>IF(Hasil!$B164="","",Hasil!B164)</f>
        <v/>
      </c>
      <c r="C174" t="str">
        <f>IF(Hasil!$B164="","",Hasil!C164)</f>
        <v/>
      </c>
      <c r="D174" t="str">
        <f>IF(Hasil!$B164="","",Hasil!D164)</f>
        <v/>
      </c>
      <c r="E174" s="69" t="str">
        <f>IF(Hasil!$B164="","",Hasil!E164)</f>
        <v/>
      </c>
      <c r="F174" s="69" t="str">
        <f>IF(Hasil!$B164="","",Hasil!F164)</f>
        <v/>
      </c>
      <c r="G174" s="69" t="str">
        <f>IF(Hasil!$B164="","",Hasil!G164)</f>
        <v/>
      </c>
      <c r="H174" s="69" t="str">
        <f>IF(Hasil!$B164="","",Hasil!H164)</f>
        <v/>
      </c>
      <c r="I174" s="69" t="str">
        <f>IF(Hasil!$B164="","",Hasil!I164)</f>
        <v/>
      </c>
      <c r="J174" s="69" t="str">
        <f>IF(Hasil!$B164="","",Hasil!J164)</f>
        <v/>
      </c>
      <c r="K174" s="81" t="str">
        <f>IF(Hasil!$B164="","",Hasil!T164)</f>
        <v/>
      </c>
      <c r="L174" s="39" t="str">
        <f>IF(Hasil!$B164="","",Hasil!$V164)</f>
        <v/>
      </c>
      <c r="M174" s="69" t="str">
        <f>IF(Hasil!$B164="","",Hasil!$AU164)</f>
        <v/>
      </c>
      <c r="N174" s="69" t="str">
        <f>IF(Hasil!$B164="","",Hasil!$AV164)</f>
        <v/>
      </c>
    </row>
    <row r="175" spans="1:14">
      <c r="A175" s="38" t="str">
        <f>IF(Hasil!$B165="","",Hasil!A165)</f>
        <v/>
      </c>
      <c r="B175" t="str">
        <f>IF(Hasil!$B165="","",Hasil!B165)</f>
        <v/>
      </c>
      <c r="C175" t="str">
        <f>IF(Hasil!$B165="","",Hasil!C165)</f>
        <v/>
      </c>
      <c r="D175" t="str">
        <f>IF(Hasil!$B165="","",Hasil!D165)</f>
        <v/>
      </c>
      <c r="E175" s="69" t="str">
        <f>IF(Hasil!$B165="","",Hasil!E165)</f>
        <v/>
      </c>
      <c r="F175" s="69" t="str">
        <f>IF(Hasil!$B165="","",Hasil!F165)</f>
        <v/>
      </c>
      <c r="G175" s="69" t="str">
        <f>IF(Hasil!$B165="","",Hasil!G165)</f>
        <v/>
      </c>
      <c r="H175" s="69" t="str">
        <f>IF(Hasil!$B165="","",Hasil!H165)</f>
        <v/>
      </c>
      <c r="I175" s="69" t="str">
        <f>IF(Hasil!$B165="","",Hasil!I165)</f>
        <v/>
      </c>
      <c r="J175" s="69" t="str">
        <f>IF(Hasil!$B165="","",Hasil!J165)</f>
        <v/>
      </c>
      <c r="K175" s="81" t="str">
        <f>IF(Hasil!$B165="","",Hasil!T165)</f>
        <v/>
      </c>
      <c r="L175" s="39" t="str">
        <f>IF(Hasil!$B165="","",Hasil!$V165)</f>
        <v/>
      </c>
      <c r="M175" s="69" t="str">
        <f>IF(Hasil!$B165="","",Hasil!$AU165)</f>
        <v/>
      </c>
      <c r="N175" s="69" t="str">
        <f>IF(Hasil!$B165="","",Hasil!$AV165)</f>
        <v/>
      </c>
    </row>
    <row r="176" spans="1:14">
      <c r="A176" s="38" t="str">
        <f>IF(Hasil!$B166="","",Hasil!A166)</f>
        <v/>
      </c>
      <c r="B176" t="str">
        <f>IF(Hasil!$B166="","",Hasil!B166)</f>
        <v/>
      </c>
      <c r="C176" t="str">
        <f>IF(Hasil!$B166="","",Hasil!C166)</f>
        <v/>
      </c>
      <c r="D176" t="str">
        <f>IF(Hasil!$B166="","",Hasil!D166)</f>
        <v/>
      </c>
      <c r="E176" s="69" t="str">
        <f>IF(Hasil!$B166="","",Hasil!E166)</f>
        <v/>
      </c>
      <c r="F176" s="69" t="str">
        <f>IF(Hasil!$B166="","",Hasil!F166)</f>
        <v/>
      </c>
      <c r="G176" s="69" t="str">
        <f>IF(Hasil!$B166="","",Hasil!G166)</f>
        <v/>
      </c>
      <c r="H176" s="69" t="str">
        <f>IF(Hasil!$B166="","",Hasil!H166)</f>
        <v/>
      </c>
      <c r="I176" s="69" t="str">
        <f>IF(Hasil!$B166="","",Hasil!I166)</f>
        <v/>
      </c>
      <c r="J176" s="69" t="str">
        <f>IF(Hasil!$B166="","",Hasil!J166)</f>
        <v/>
      </c>
      <c r="K176" s="81" t="str">
        <f>IF(Hasil!$B166="","",Hasil!T166)</f>
        <v/>
      </c>
      <c r="L176" s="39" t="str">
        <f>IF(Hasil!$B166="","",Hasil!$V166)</f>
        <v/>
      </c>
      <c r="M176" s="69" t="str">
        <f>IF(Hasil!$B166="","",Hasil!$AU166)</f>
        <v/>
      </c>
      <c r="N176" s="69" t="str">
        <f>IF(Hasil!$B166="","",Hasil!$AV166)</f>
        <v/>
      </c>
    </row>
    <row r="177" spans="1:14">
      <c r="A177" s="38" t="str">
        <f>IF(Hasil!$B167="","",Hasil!A167)</f>
        <v/>
      </c>
      <c r="B177" t="str">
        <f>IF(Hasil!$B167="","",Hasil!B167)</f>
        <v/>
      </c>
      <c r="C177" t="str">
        <f>IF(Hasil!$B167="","",Hasil!C167)</f>
        <v/>
      </c>
      <c r="D177" t="str">
        <f>IF(Hasil!$B167="","",Hasil!D167)</f>
        <v/>
      </c>
      <c r="E177" s="69" t="str">
        <f>IF(Hasil!$B167="","",Hasil!E167)</f>
        <v/>
      </c>
      <c r="F177" s="69" t="str">
        <f>IF(Hasil!$B167="","",Hasil!F167)</f>
        <v/>
      </c>
      <c r="G177" s="69" t="str">
        <f>IF(Hasil!$B167="","",Hasil!G167)</f>
        <v/>
      </c>
      <c r="H177" s="69" t="str">
        <f>IF(Hasil!$B167="","",Hasil!H167)</f>
        <v/>
      </c>
      <c r="I177" s="69" t="str">
        <f>IF(Hasil!$B167="","",Hasil!I167)</f>
        <v/>
      </c>
      <c r="J177" s="69" t="str">
        <f>IF(Hasil!$B167="","",Hasil!J167)</f>
        <v/>
      </c>
      <c r="K177" s="81" t="str">
        <f>IF(Hasil!$B167="","",Hasil!T167)</f>
        <v/>
      </c>
      <c r="L177" s="39" t="str">
        <f>IF(Hasil!$B167="","",Hasil!$V167)</f>
        <v/>
      </c>
      <c r="M177" s="69" t="str">
        <f>IF(Hasil!$B167="","",Hasil!$AU167)</f>
        <v/>
      </c>
      <c r="N177" s="69" t="str">
        <f>IF(Hasil!$B167="","",Hasil!$AV167)</f>
        <v/>
      </c>
    </row>
    <row r="178" spans="1:14">
      <c r="A178" s="38" t="str">
        <f>IF(Hasil!$B168="","",Hasil!A168)</f>
        <v/>
      </c>
      <c r="B178" t="str">
        <f>IF(Hasil!$B168="","",Hasil!B168)</f>
        <v/>
      </c>
      <c r="C178" t="str">
        <f>IF(Hasil!$B168="","",Hasil!C168)</f>
        <v/>
      </c>
      <c r="D178" t="str">
        <f>IF(Hasil!$B168="","",Hasil!D168)</f>
        <v/>
      </c>
      <c r="E178" s="69" t="str">
        <f>IF(Hasil!$B168="","",Hasil!E168)</f>
        <v/>
      </c>
      <c r="F178" s="69" t="str">
        <f>IF(Hasil!$B168="","",Hasil!F168)</f>
        <v/>
      </c>
      <c r="G178" s="69" t="str">
        <f>IF(Hasil!$B168="","",Hasil!G168)</f>
        <v/>
      </c>
      <c r="H178" s="69" t="str">
        <f>IF(Hasil!$B168="","",Hasil!H168)</f>
        <v/>
      </c>
      <c r="I178" s="69" t="str">
        <f>IF(Hasil!$B168="","",Hasil!I168)</f>
        <v/>
      </c>
      <c r="J178" s="69" t="str">
        <f>IF(Hasil!$B168="","",Hasil!J168)</f>
        <v/>
      </c>
      <c r="K178" s="81" t="str">
        <f>IF(Hasil!$B168="","",Hasil!T168)</f>
        <v/>
      </c>
      <c r="L178" s="39" t="str">
        <f>IF(Hasil!$B168="","",Hasil!$V168)</f>
        <v/>
      </c>
      <c r="M178" s="69" t="str">
        <f>IF(Hasil!$B168="","",Hasil!$AU168)</f>
        <v/>
      </c>
      <c r="N178" s="69" t="str">
        <f>IF(Hasil!$B168="","",Hasil!$AV168)</f>
        <v/>
      </c>
    </row>
    <row r="179" spans="1:14">
      <c r="A179" s="38" t="str">
        <f>IF(Hasil!$B169="","",Hasil!A169)</f>
        <v/>
      </c>
      <c r="B179" t="str">
        <f>IF(Hasil!$B169="","",Hasil!B169)</f>
        <v/>
      </c>
      <c r="C179" t="str">
        <f>IF(Hasil!$B169="","",Hasil!C169)</f>
        <v/>
      </c>
      <c r="D179" t="str">
        <f>IF(Hasil!$B169="","",Hasil!D169)</f>
        <v/>
      </c>
      <c r="E179" s="69" t="str">
        <f>IF(Hasil!$B169="","",Hasil!E169)</f>
        <v/>
      </c>
      <c r="F179" s="69" t="str">
        <f>IF(Hasil!$B169="","",Hasil!F169)</f>
        <v/>
      </c>
      <c r="G179" s="69" t="str">
        <f>IF(Hasil!$B169="","",Hasil!G169)</f>
        <v/>
      </c>
      <c r="H179" s="69" t="str">
        <f>IF(Hasil!$B169="","",Hasil!H169)</f>
        <v/>
      </c>
      <c r="I179" s="69" t="str">
        <f>IF(Hasil!$B169="","",Hasil!I169)</f>
        <v/>
      </c>
      <c r="J179" s="69" t="str">
        <f>IF(Hasil!$B169="","",Hasil!J169)</f>
        <v/>
      </c>
      <c r="K179" s="81" t="str">
        <f>IF(Hasil!$B169="","",Hasil!T169)</f>
        <v/>
      </c>
      <c r="L179" s="39" t="str">
        <f>IF(Hasil!$B169="","",Hasil!$V169)</f>
        <v/>
      </c>
      <c r="M179" s="69" t="str">
        <f>IF(Hasil!$B169="","",Hasil!$AU169)</f>
        <v/>
      </c>
      <c r="N179" s="69" t="str">
        <f>IF(Hasil!$B169="","",Hasil!$AV169)</f>
        <v/>
      </c>
    </row>
    <row r="180" spans="1:14">
      <c r="A180" s="38" t="str">
        <f>IF(Hasil!$B170="","",Hasil!A170)</f>
        <v/>
      </c>
      <c r="B180" t="str">
        <f>IF(Hasil!$B170="","",Hasil!B170)</f>
        <v/>
      </c>
      <c r="C180" t="str">
        <f>IF(Hasil!$B170="","",Hasil!C170)</f>
        <v/>
      </c>
      <c r="D180" t="str">
        <f>IF(Hasil!$B170="","",Hasil!D170)</f>
        <v/>
      </c>
      <c r="E180" s="69" t="str">
        <f>IF(Hasil!$B170="","",Hasil!E170)</f>
        <v/>
      </c>
      <c r="F180" s="69" t="str">
        <f>IF(Hasil!$B170="","",Hasil!F170)</f>
        <v/>
      </c>
      <c r="G180" s="69" t="str">
        <f>IF(Hasil!$B170="","",Hasil!G170)</f>
        <v/>
      </c>
      <c r="H180" s="69" t="str">
        <f>IF(Hasil!$B170="","",Hasil!H170)</f>
        <v/>
      </c>
      <c r="I180" s="69" t="str">
        <f>IF(Hasil!$B170="","",Hasil!I170)</f>
        <v/>
      </c>
      <c r="J180" s="69" t="str">
        <f>IF(Hasil!$B170="","",Hasil!J170)</f>
        <v/>
      </c>
      <c r="K180" s="81" t="str">
        <f>IF(Hasil!$B170="","",Hasil!T170)</f>
        <v/>
      </c>
      <c r="L180" s="39" t="str">
        <f>IF(Hasil!$B170="","",Hasil!$V170)</f>
        <v/>
      </c>
      <c r="M180" s="69" t="str">
        <f>IF(Hasil!$B170="","",Hasil!$AU170)</f>
        <v/>
      </c>
      <c r="N180" s="69" t="str">
        <f>IF(Hasil!$B170="","",Hasil!$AV170)</f>
        <v/>
      </c>
    </row>
    <row r="181" spans="1:14">
      <c r="A181" s="38" t="str">
        <f>IF(Hasil!$B171="","",Hasil!A171)</f>
        <v/>
      </c>
      <c r="B181" t="str">
        <f>IF(Hasil!$B171="","",Hasil!B171)</f>
        <v/>
      </c>
      <c r="C181" t="str">
        <f>IF(Hasil!$B171="","",Hasil!C171)</f>
        <v/>
      </c>
      <c r="D181" t="str">
        <f>IF(Hasil!$B171="","",Hasil!D171)</f>
        <v/>
      </c>
      <c r="E181" s="69" t="str">
        <f>IF(Hasil!$B171="","",Hasil!E171)</f>
        <v/>
      </c>
      <c r="F181" s="69" t="str">
        <f>IF(Hasil!$B171="","",Hasil!F171)</f>
        <v/>
      </c>
      <c r="G181" s="69" t="str">
        <f>IF(Hasil!$B171="","",Hasil!G171)</f>
        <v/>
      </c>
      <c r="H181" s="69" t="str">
        <f>IF(Hasil!$B171="","",Hasil!H171)</f>
        <v/>
      </c>
      <c r="I181" s="69" t="str">
        <f>IF(Hasil!$B171="","",Hasil!I171)</f>
        <v/>
      </c>
      <c r="J181" s="69" t="str">
        <f>IF(Hasil!$B171="","",Hasil!J171)</f>
        <v/>
      </c>
      <c r="K181" s="81" t="str">
        <f>IF(Hasil!$B171="","",Hasil!T171)</f>
        <v/>
      </c>
      <c r="L181" s="39" t="str">
        <f>IF(Hasil!$B171="","",Hasil!$V171)</f>
        <v/>
      </c>
      <c r="M181" s="69" t="str">
        <f>IF(Hasil!$B171="","",Hasil!$AU171)</f>
        <v/>
      </c>
      <c r="N181" s="69" t="str">
        <f>IF(Hasil!$B171="","",Hasil!$AV171)</f>
        <v/>
      </c>
    </row>
    <row r="182" spans="1:14">
      <c r="A182" s="38" t="str">
        <f>IF(Hasil!$B172="","",Hasil!A172)</f>
        <v/>
      </c>
      <c r="B182" t="str">
        <f>IF(Hasil!$B172="","",Hasil!B172)</f>
        <v/>
      </c>
      <c r="C182" t="str">
        <f>IF(Hasil!$B172="","",Hasil!C172)</f>
        <v/>
      </c>
      <c r="D182" t="str">
        <f>IF(Hasil!$B172="","",Hasil!D172)</f>
        <v/>
      </c>
      <c r="E182" s="69" t="str">
        <f>IF(Hasil!$B172="","",Hasil!E172)</f>
        <v/>
      </c>
      <c r="F182" s="69" t="str">
        <f>IF(Hasil!$B172="","",Hasil!F172)</f>
        <v/>
      </c>
      <c r="G182" s="69" t="str">
        <f>IF(Hasil!$B172="","",Hasil!G172)</f>
        <v/>
      </c>
      <c r="H182" s="69" t="str">
        <f>IF(Hasil!$B172="","",Hasil!H172)</f>
        <v/>
      </c>
      <c r="I182" s="69" t="str">
        <f>IF(Hasil!$B172="","",Hasil!I172)</f>
        <v/>
      </c>
      <c r="J182" s="69" t="str">
        <f>IF(Hasil!$B172="","",Hasil!J172)</f>
        <v/>
      </c>
      <c r="K182" s="81" t="str">
        <f>IF(Hasil!$B172="","",Hasil!T172)</f>
        <v/>
      </c>
      <c r="L182" s="39" t="str">
        <f>IF(Hasil!$B172="","",Hasil!$V172)</f>
        <v/>
      </c>
      <c r="M182" s="69" t="str">
        <f>IF(Hasil!$B172="","",Hasil!$AU172)</f>
        <v/>
      </c>
      <c r="N182" s="69" t="str">
        <f>IF(Hasil!$B172="","",Hasil!$AV172)</f>
        <v/>
      </c>
    </row>
    <row r="183" spans="1:14">
      <c r="A183" s="38" t="str">
        <f>IF(Hasil!$B173="","",Hasil!A173)</f>
        <v/>
      </c>
      <c r="B183" t="str">
        <f>IF(Hasil!$B173="","",Hasil!B173)</f>
        <v/>
      </c>
      <c r="C183" t="str">
        <f>IF(Hasil!$B173="","",Hasil!C173)</f>
        <v/>
      </c>
      <c r="D183" t="str">
        <f>IF(Hasil!$B173="","",Hasil!D173)</f>
        <v/>
      </c>
      <c r="E183" s="69" t="str">
        <f>IF(Hasil!$B173="","",Hasil!E173)</f>
        <v/>
      </c>
      <c r="F183" s="69" t="str">
        <f>IF(Hasil!$B173="","",Hasil!F173)</f>
        <v/>
      </c>
      <c r="G183" s="69" t="str">
        <f>IF(Hasil!$B173="","",Hasil!G173)</f>
        <v/>
      </c>
      <c r="H183" s="69" t="str">
        <f>IF(Hasil!$B173="","",Hasil!H173)</f>
        <v/>
      </c>
      <c r="I183" s="69" t="str">
        <f>IF(Hasil!$B173="","",Hasil!I173)</f>
        <v/>
      </c>
      <c r="J183" s="69" t="str">
        <f>IF(Hasil!$B173="","",Hasil!J173)</f>
        <v/>
      </c>
      <c r="K183" s="81" t="str">
        <f>IF(Hasil!$B173="","",Hasil!T173)</f>
        <v/>
      </c>
      <c r="L183" s="39" t="str">
        <f>IF(Hasil!$B173="","",Hasil!$V173)</f>
        <v/>
      </c>
      <c r="M183" s="69" t="str">
        <f>IF(Hasil!$B173="","",Hasil!$AU173)</f>
        <v/>
      </c>
      <c r="N183" s="69" t="str">
        <f>IF(Hasil!$B173="","",Hasil!$AV173)</f>
        <v/>
      </c>
    </row>
    <row r="184" spans="1:14">
      <c r="A184" s="38" t="str">
        <f>IF(Hasil!$B174="","",Hasil!A174)</f>
        <v/>
      </c>
      <c r="B184" t="str">
        <f>IF(Hasil!$B174="","",Hasil!B174)</f>
        <v/>
      </c>
      <c r="C184" t="str">
        <f>IF(Hasil!$B174="","",Hasil!C174)</f>
        <v/>
      </c>
      <c r="D184" t="str">
        <f>IF(Hasil!$B174="","",Hasil!D174)</f>
        <v/>
      </c>
      <c r="E184" s="69" t="str">
        <f>IF(Hasil!$B174="","",Hasil!E174)</f>
        <v/>
      </c>
      <c r="F184" s="69" t="str">
        <f>IF(Hasil!$B174="","",Hasil!F174)</f>
        <v/>
      </c>
      <c r="G184" s="69" t="str">
        <f>IF(Hasil!$B174="","",Hasil!G174)</f>
        <v/>
      </c>
      <c r="H184" s="69" t="str">
        <f>IF(Hasil!$B174="","",Hasil!H174)</f>
        <v/>
      </c>
      <c r="I184" s="69" t="str">
        <f>IF(Hasil!$B174="","",Hasil!I174)</f>
        <v/>
      </c>
      <c r="J184" s="69" t="str">
        <f>IF(Hasil!$B174="","",Hasil!J174)</f>
        <v/>
      </c>
      <c r="K184" s="81" t="str">
        <f>IF(Hasil!$B174="","",Hasil!T174)</f>
        <v/>
      </c>
      <c r="L184" s="39" t="str">
        <f>IF(Hasil!$B174="","",Hasil!$V174)</f>
        <v/>
      </c>
      <c r="M184" s="69" t="str">
        <f>IF(Hasil!$B174="","",Hasil!$AU174)</f>
        <v/>
      </c>
      <c r="N184" s="69" t="str">
        <f>IF(Hasil!$B174="","",Hasil!$AV174)</f>
        <v/>
      </c>
    </row>
    <row r="185" spans="1:14">
      <c r="A185" s="38" t="str">
        <f>IF(Hasil!$B175="","",Hasil!A175)</f>
        <v/>
      </c>
      <c r="B185" t="str">
        <f>IF(Hasil!$B175="","",Hasil!B175)</f>
        <v/>
      </c>
      <c r="C185" t="str">
        <f>IF(Hasil!$B175="","",Hasil!C175)</f>
        <v/>
      </c>
      <c r="D185" t="str">
        <f>IF(Hasil!$B175="","",Hasil!D175)</f>
        <v/>
      </c>
      <c r="E185" s="69" t="str">
        <f>IF(Hasil!$B175="","",Hasil!E175)</f>
        <v/>
      </c>
      <c r="F185" s="69" t="str">
        <f>IF(Hasil!$B175="","",Hasil!F175)</f>
        <v/>
      </c>
      <c r="G185" s="69" t="str">
        <f>IF(Hasil!$B175="","",Hasil!G175)</f>
        <v/>
      </c>
      <c r="H185" s="69" t="str">
        <f>IF(Hasil!$B175="","",Hasil!H175)</f>
        <v/>
      </c>
      <c r="I185" s="69" t="str">
        <f>IF(Hasil!$B175="","",Hasil!I175)</f>
        <v/>
      </c>
      <c r="J185" s="69" t="str">
        <f>IF(Hasil!$B175="","",Hasil!J175)</f>
        <v/>
      </c>
      <c r="K185" s="81" t="str">
        <f>IF(Hasil!$B175="","",Hasil!T175)</f>
        <v/>
      </c>
      <c r="L185" s="39" t="str">
        <f>IF(Hasil!$B175="","",Hasil!$V175)</f>
        <v/>
      </c>
      <c r="M185" s="69" t="str">
        <f>IF(Hasil!$B175="","",Hasil!$AU175)</f>
        <v/>
      </c>
      <c r="N185" s="69" t="str">
        <f>IF(Hasil!$B175="","",Hasil!$AV175)</f>
        <v/>
      </c>
    </row>
    <row r="186" spans="1:14">
      <c r="A186" s="38" t="str">
        <f>IF(Hasil!$B176="","",Hasil!A176)</f>
        <v/>
      </c>
      <c r="B186" t="str">
        <f>IF(Hasil!$B176="","",Hasil!B176)</f>
        <v/>
      </c>
      <c r="C186" t="str">
        <f>IF(Hasil!$B176="","",Hasil!C176)</f>
        <v/>
      </c>
      <c r="D186" t="str">
        <f>IF(Hasil!$B176="","",Hasil!D176)</f>
        <v/>
      </c>
      <c r="E186" s="69" t="str">
        <f>IF(Hasil!$B176="","",Hasil!E176)</f>
        <v/>
      </c>
      <c r="F186" s="69" t="str">
        <f>IF(Hasil!$B176="","",Hasil!F176)</f>
        <v/>
      </c>
      <c r="G186" s="69" t="str">
        <f>IF(Hasil!$B176="","",Hasil!G176)</f>
        <v/>
      </c>
      <c r="H186" s="69" t="str">
        <f>IF(Hasil!$B176="","",Hasil!H176)</f>
        <v/>
      </c>
      <c r="I186" s="69" t="str">
        <f>IF(Hasil!$B176="","",Hasil!I176)</f>
        <v/>
      </c>
      <c r="J186" s="69" t="str">
        <f>IF(Hasil!$B176="","",Hasil!J176)</f>
        <v/>
      </c>
      <c r="K186" s="81" t="str">
        <f>IF(Hasil!$B176="","",Hasil!T176)</f>
        <v/>
      </c>
      <c r="L186" s="39" t="str">
        <f>IF(Hasil!$B176="","",Hasil!$V176)</f>
        <v/>
      </c>
      <c r="M186" s="69" t="str">
        <f>IF(Hasil!$B176="","",Hasil!$AU176)</f>
        <v/>
      </c>
      <c r="N186" s="69" t="str">
        <f>IF(Hasil!$B176="","",Hasil!$AV176)</f>
        <v/>
      </c>
    </row>
    <row r="187" spans="1:14">
      <c r="A187" s="38" t="str">
        <f>IF(Hasil!$B177="","",Hasil!A177)</f>
        <v/>
      </c>
      <c r="B187" t="str">
        <f>IF(Hasil!$B177="","",Hasil!B177)</f>
        <v/>
      </c>
      <c r="C187" t="str">
        <f>IF(Hasil!$B177="","",Hasil!C177)</f>
        <v/>
      </c>
      <c r="D187" t="str">
        <f>IF(Hasil!$B177="","",Hasil!D177)</f>
        <v/>
      </c>
      <c r="E187" s="69" t="str">
        <f>IF(Hasil!$B177="","",Hasil!E177)</f>
        <v/>
      </c>
      <c r="F187" s="69" t="str">
        <f>IF(Hasil!$B177="","",Hasil!F177)</f>
        <v/>
      </c>
      <c r="G187" s="69" t="str">
        <f>IF(Hasil!$B177="","",Hasil!G177)</f>
        <v/>
      </c>
      <c r="H187" s="69" t="str">
        <f>IF(Hasil!$B177="","",Hasil!H177)</f>
        <v/>
      </c>
      <c r="I187" s="69" t="str">
        <f>IF(Hasil!$B177="","",Hasil!I177)</f>
        <v/>
      </c>
      <c r="J187" s="69" t="str">
        <f>IF(Hasil!$B177="","",Hasil!J177)</f>
        <v/>
      </c>
      <c r="K187" s="81" t="str">
        <f>IF(Hasil!$B177="","",Hasil!T177)</f>
        <v/>
      </c>
      <c r="L187" s="39" t="str">
        <f>IF(Hasil!$B177="","",Hasil!$V177)</f>
        <v/>
      </c>
      <c r="M187" s="69" t="str">
        <f>IF(Hasil!$B177="","",Hasil!$AU177)</f>
        <v/>
      </c>
      <c r="N187" s="69" t="str">
        <f>IF(Hasil!$B177="","",Hasil!$AV177)</f>
        <v/>
      </c>
    </row>
    <row r="188" spans="1:14">
      <c r="A188" s="38" t="str">
        <f>IF(Hasil!$B178="","",Hasil!A178)</f>
        <v/>
      </c>
      <c r="B188" t="str">
        <f>IF(Hasil!$B178="","",Hasil!B178)</f>
        <v/>
      </c>
      <c r="C188" t="str">
        <f>IF(Hasil!$B178="","",Hasil!C178)</f>
        <v/>
      </c>
      <c r="D188" t="str">
        <f>IF(Hasil!$B178="","",Hasil!D178)</f>
        <v/>
      </c>
      <c r="E188" s="69" t="str">
        <f>IF(Hasil!$B178="","",Hasil!E178)</f>
        <v/>
      </c>
      <c r="F188" s="69" t="str">
        <f>IF(Hasil!$B178="","",Hasil!F178)</f>
        <v/>
      </c>
      <c r="G188" s="69" t="str">
        <f>IF(Hasil!$B178="","",Hasil!G178)</f>
        <v/>
      </c>
      <c r="H188" s="69" t="str">
        <f>IF(Hasil!$B178="","",Hasil!H178)</f>
        <v/>
      </c>
      <c r="I188" s="69" t="str">
        <f>IF(Hasil!$B178="","",Hasil!I178)</f>
        <v/>
      </c>
      <c r="J188" s="69" t="str">
        <f>IF(Hasil!$B178="","",Hasil!J178)</f>
        <v/>
      </c>
      <c r="K188" s="81" t="str">
        <f>IF(Hasil!$B178="","",Hasil!T178)</f>
        <v/>
      </c>
      <c r="L188" s="39" t="str">
        <f>IF(Hasil!$B178="","",Hasil!$V178)</f>
        <v/>
      </c>
      <c r="M188" s="69" t="str">
        <f>IF(Hasil!$B178="","",Hasil!$AU178)</f>
        <v/>
      </c>
      <c r="N188" s="69" t="str">
        <f>IF(Hasil!$B178="","",Hasil!$AV178)</f>
        <v/>
      </c>
    </row>
    <row r="189" spans="1:14">
      <c r="A189" s="38" t="str">
        <f>IF(Hasil!$B179="","",Hasil!A179)</f>
        <v/>
      </c>
      <c r="B189" t="str">
        <f>IF(Hasil!$B179="","",Hasil!B179)</f>
        <v/>
      </c>
      <c r="C189" t="str">
        <f>IF(Hasil!$B179="","",Hasil!C179)</f>
        <v/>
      </c>
      <c r="D189" t="str">
        <f>IF(Hasil!$B179="","",Hasil!D179)</f>
        <v/>
      </c>
      <c r="E189" s="69" t="str">
        <f>IF(Hasil!$B179="","",Hasil!E179)</f>
        <v/>
      </c>
      <c r="F189" s="69" t="str">
        <f>IF(Hasil!$B179="","",Hasil!F179)</f>
        <v/>
      </c>
      <c r="G189" s="69" t="str">
        <f>IF(Hasil!$B179="","",Hasil!G179)</f>
        <v/>
      </c>
      <c r="H189" s="69" t="str">
        <f>IF(Hasil!$B179="","",Hasil!H179)</f>
        <v/>
      </c>
      <c r="I189" s="69" t="str">
        <f>IF(Hasil!$B179="","",Hasil!I179)</f>
        <v/>
      </c>
      <c r="J189" s="69" t="str">
        <f>IF(Hasil!$B179="","",Hasil!J179)</f>
        <v/>
      </c>
      <c r="K189" s="81" t="str">
        <f>IF(Hasil!$B179="","",Hasil!T179)</f>
        <v/>
      </c>
      <c r="L189" s="39" t="str">
        <f>IF(Hasil!$B179="","",Hasil!$V179)</f>
        <v/>
      </c>
      <c r="M189" s="69" t="str">
        <f>IF(Hasil!$B179="","",Hasil!$AU179)</f>
        <v/>
      </c>
      <c r="N189" s="69" t="str">
        <f>IF(Hasil!$B179="","",Hasil!$AV179)</f>
        <v/>
      </c>
    </row>
    <row r="190" spans="1:14">
      <c r="A190" s="38" t="str">
        <f>IF(Hasil!$B180="","",Hasil!A180)</f>
        <v/>
      </c>
      <c r="B190" t="str">
        <f>IF(Hasil!$B180="","",Hasil!B180)</f>
        <v/>
      </c>
      <c r="C190" t="str">
        <f>IF(Hasil!$B180="","",Hasil!C180)</f>
        <v/>
      </c>
      <c r="D190" t="str">
        <f>IF(Hasil!$B180="","",Hasil!D180)</f>
        <v/>
      </c>
      <c r="E190" s="69" t="str">
        <f>IF(Hasil!$B180="","",Hasil!E180)</f>
        <v/>
      </c>
      <c r="F190" s="69" t="str">
        <f>IF(Hasil!$B180="","",Hasil!F180)</f>
        <v/>
      </c>
      <c r="G190" s="69" t="str">
        <f>IF(Hasil!$B180="","",Hasil!G180)</f>
        <v/>
      </c>
      <c r="H190" s="69" t="str">
        <f>IF(Hasil!$B180="","",Hasil!H180)</f>
        <v/>
      </c>
      <c r="I190" s="69" t="str">
        <f>IF(Hasil!$B180="","",Hasil!I180)</f>
        <v/>
      </c>
      <c r="J190" s="69" t="str">
        <f>IF(Hasil!$B180="","",Hasil!J180)</f>
        <v/>
      </c>
      <c r="K190" s="81" t="str">
        <f>IF(Hasil!$B180="","",Hasil!T180)</f>
        <v/>
      </c>
      <c r="L190" s="39" t="str">
        <f>IF(Hasil!$B180="","",Hasil!$V180)</f>
        <v/>
      </c>
      <c r="M190" s="69" t="str">
        <f>IF(Hasil!$B180="","",Hasil!$AU180)</f>
        <v/>
      </c>
      <c r="N190" s="69" t="str">
        <f>IF(Hasil!$B180="","",Hasil!$AV180)</f>
        <v/>
      </c>
    </row>
    <row r="191" spans="1:14">
      <c r="A191" s="38" t="str">
        <f>IF(Hasil!$B181="","",Hasil!A181)</f>
        <v/>
      </c>
      <c r="B191" t="str">
        <f>IF(Hasil!$B181="","",Hasil!B181)</f>
        <v/>
      </c>
      <c r="C191" t="str">
        <f>IF(Hasil!$B181="","",Hasil!C181)</f>
        <v/>
      </c>
      <c r="D191" t="str">
        <f>IF(Hasil!$B181="","",Hasil!D181)</f>
        <v/>
      </c>
      <c r="E191" s="69" t="str">
        <f>IF(Hasil!$B181="","",Hasil!E181)</f>
        <v/>
      </c>
      <c r="F191" s="69" t="str">
        <f>IF(Hasil!$B181="","",Hasil!F181)</f>
        <v/>
      </c>
      <c r="G191" s="69" t="str">
        <f>IF(Hasil!$B181="","",Hasil!G181)</f>
        <v/>
      </c>
      <c r="H191" s="69" t="str">
        <f>IF(Hasil!$B181="","",Hasil!H181)</f>
        <v/>
      </c>
      <c r="I191" s="69" t="str">
        <f>IF(Hasil!$B181="","",Hasil!I181)</f>
        <v/>
      </c>
      <c r="J191" s="69" t="str">
        <f>IF(Hasil!$B181="","",Hasil!J181)</f>
        <v/>
      </c>
      <c r="K191" s="81" t="str">
        <f>IF(Hasil!$B181="","",Hasil!T181)</f>
        <v/>
      </c>
      <c r="L191" s="39" t="str">
        <f>IF(Hasil!$B181="","",Hasil!$V181)</f>
        <v/>
      </c>
      <c r="M191" s="69" t="str">
        <f>IF(Hasil!$B181="","",Hasil!$AU181)</f>
        <v/>
      </c>
      <c r="N191" s="69" t="str">
        <f>IF(Hasil!$B181="","",Hasil!$AV181)</f>
        <v/>
      </c>
    </row>
    <row r="192" spans="1:14">
      <c r="A192" s="38" t="str">
        <f>IF(Hasil!$B182="","",Hasil!A182)</f>
        <v/>
      </c>
      <c r="B192" t="str">
        <f>IF(Hasil!$B182="","",Hasil!B182)</f>
        <v/>
      </c>
      <c r="C192" t="str">
        <f>IF(Hasil!$B182="","",Hasil!C182)</f>
        <v/>
      </c>
      <c r="D192" t="str">
        <f>IF(Hasil!$B182="","",Hasil!D182)</f>
        <v/>
      </c>
      <c r="E192" s="69" t="str">
        <f>IF(Hasil!$B182="","",Hasil!E182)</f>
        <v/>
      </c>
      <c r="F192" s="69" t="str">
        <f>IF(Hasil!$B182="","",Hasil!F182)</f>
        <v/>
      </c>
      <c r="G192" s="69" t="str">
        <f>IF(Hasil!$B182="","",Hasil!G182)</f>
        <v/>
      </c>
      <c r="H192" s="69" t="str">
        <f>IF(Hasil!$B182="","",Hasil!H182)</f>
        <v/>
      </c>
      <c r="I192" s="69" t="str">
        <f>IF(Hasil!$B182="","",Hasil!I182)</f>
        <v/>
      </c>
      <c r="J192" s="69" t="str">
        <f>IF(Hasil!$B182="","",Hasil!J182)</f>
        <v/>
      </c>
      <c r="K192" s="81" t="str">
        <f>IF(Hasil!$B182="","",Hasil!T182)</f>
        <v/>
      </c>
      <c r="L192" s="39" t="str">
        <f>IF(Hasil!$B182="","",Hasil!$V182)</f>
        <v/>
      </c>
      <c r="M192" s="69" t="str">
        <f>IF(Hasil!$B182="","",Hasil!$AU182)</f>
        <v/>
      </c>
      <c r="N192" s="69" t="str">
        <f>IF(Hasil!$B182="","",Hasil!$AV182)</f>
        <v/>
      </c>
    </row>
    <row r="193" spans="1:14">
      <c r="A193" s="38" t="str">
        <f>IF(Hasil!$B183="","",Hasil!A183)</f>
        <v/>
      </c>
      <c r="B193" t="str">
        <f>IF(Hasil!$B183="","",Hasil!B183)</f>
        <v/>
      </c>
      <c r="C193" t="str">
        <f>IF(Hasil!$B183="","",Hasil!C183)</f>
        <v/>
      </c>
      <c r="D193" t="str">
        <f>IF(Hasil!$B183="","",Hasil!D183)</f>
        <v/>
      </c>
      <c r="E193" s="69" t="str">
        <f>IF(Hasil!$B183="","",Hasil!E183)</f>
        <v/>
      </c>
      <c r="F193" s="69" t="str">
        <f>IF(Hasil!$B183="","",Hasil!F183)</f>
        <v/>
      </c>
      <c r="G193" s="69" t="str">
        <f>IF(Hasil!$B183="","",Hasil!G183)</f>
        <v/>
      </c>
      <c r="H193" s="69" t="str">
        <f>IF(Hasil!$B183="","",Hasil!H183)</f>
        <v/>
      </c>
      <c r="I193" s="69" t="str">
        <f>IF(Hasil!$B183="","",Hasil!I183)</f>
        <v/>
      </c>
      <c r="J193" s="69" t="str">
        <f>IF(Hasil!$B183="","",Hasil!J183)</f>
        <v/>
      </c>
      <c r="K193" s="81" t="str">
        <f>IF(Hasil!$B183="","",Hasil!T183)</f>
        <v/>
      </c>
      <c r="L193" s="39" t="str">
        <f>IF(Hasil!$B183="","",Hasil!$V183)</f>
        <v/>
      </c>
      <c r="M193" s="69" t="str">
        <f>IF(Hasil!$B183="","",Hasil!$AU183)</f>
        <v/>
      </c>
      <c r="N193" s="69" t="str">
        <f>IF(Hasil!$B183="","",Hasil!$AV183)</f>
        <v/>
      </c>
    </row>
    <row r="194" spans="1:14">
      <c r="A194" s="38" t="str">
        <f>IF(Hasil!$B184="","",Hasil!A184)</f>
        <v/>
      </c>
      <c r="B194" t="str">
        <f>IF(Hasil!$B184="","",Hasil!B184)</f>
        <v/>
      </c>
      <c r="C194" t="str">
        <f>IF(Hasil!$B184="","",Hasil!C184)</f>
        <v/>
      </c>
      <c r="D194" t="str">
        <f>IF(Hasil!$B184="","",Hasil!D184)</f>
        <v/>
      </c>
      <c r="E194" s="69" t="str">
        <f>IF(Hasil!$B184="","",Hasil!E184)</f>
        <v/>
      </c>
      <c r="F194" s="69" t="str">
        <f>IF(Hasil!$B184="","",Hasil!F184)</f>
        <v/>
      </c>
      <c r="G194" s="69" t="str">
        <f>IF(Hasil!$B184="","",Hasil!G184)</f>
        <v/>
      </c>
      <c r="H194" s="69" t="str">
        <f>IF(Hasil!$B184="","",Hasil!H184)</f>
        <v/>
      </c>
      <c r="I194" s="69" t="str">
        <f>IF(Hasil!$B184="","",Hasil!I184)</f>
        <v/>
      </c>
      <c r="J194" s="69" t="str">
        <f>IF(Hasil!$B184="","",Hasil!J184)</f>
        <v/>
      </c>
      <c r="K194" s="81" t="str">
        <f>IF(Hasil!$B184="","",Hasil!T184)</f>
        <v/>
      </c>
      <c r="L194" s="39" t="str">
        <f>IF(Hasil!$B184="","",Hasil!$V184)</f>
        <v/>
      </c>
      <c r="M194" s="69" t="str">
        <f>IF(Hasil!$B184="","",Hasil!$AU184)</f>
        <v/>
      </c>
      <c r="N194" s="69" t="str">
        <f>IF(Hasil!$B184="","",Hasil!$AV184)</f>
        <v/>
      </c>
    </row>
    <row r="195" spans="1:14">
      <c r="A195" s="38" t="str">
        <f>IF(Hasil!$B185="","",Hasil!A185)</f>
        <v/>
      </c>
      <c r="B195" t="str">
        <f>IF(Hasil!$B185="","",Hasil!B185)</f>
        <v/>
      </c>
      <c r="C195" t="str">
        <f>IF(Hasil!$B185="","",Hasil!C185)</f>
        <v/>
      </c>
      <c r="D195" t="str">
        <f>IF(Hasil!$B185="","",Hasil!D185)</f>
        <v/>
      </c>
      <c r="E195" s="69" t="str">
        <f>IF(Hasil!$B185="","",Hasil!E185)</f>
        <v/>
      </c>
      <c r="F195" s="69" t="str">
        <f>IF(Hasil!$B185="","",Hasil!F185)</f>
        <v/>
      </c>
      <c r="G195" s="69" t="str">
        <f>IF(Hasil!$B185="","",Hasil!G185)</f>
        <v/>
      </c>
      <c r="H195" s="69" t="str">
        <f>IF(Hasil!$B185="","",Hasil!H185)</f>
        <v/>
      </c>
      <c r="I195" s="69" t="str">
        <f>IF(Hasil!$B185="","",Hasil!I185)</f>
        <v/>
      </c>
      <c r="J195" s="69" t="str">
        <f>IF(Hasil!$B185="","",Hasil!J185)</f>
        <v/>
      </c>
      <c r="K195" s="81" t="str">
        <f>IF(Hasil!$B185="","",Hasil!T185)</f>
        <v/>
      </c>
      <c r="L195" s="39" t="str">
        <f>IF(Hasil!$B185="","",Hasil!$V185)</f>
        <v/>
      </c>
      <c r="M195" s="69" t="str">
        <f>IF(Hasil!$B185="","",Hasil!$AU185)</f>
        <v/>
      </c>
      <c r="N195" s="69" t="str">
        <f>IF(Hasil!$B185="","",Hasil!$AV185)</f>
        <v/>
      </c>
    </row>
    <row r="196" spans="1:14">
      <c r="A196" s="38" t="str">
        <f>IF(Hasil!$B186="","",Hasil!A186)</f>
        <v/>
      </c>
      <c r="B196" t="str">
        <f>IF(Hasil!$B186="","",Hasil!B186)</f>
        <v/>
      </c>
      <c r="C196" t="str">
        <f>IF(Hasil!$B186="","",Hasil!C186)</f>
        <v/>
      </c>
      <c r="D196" t="str">
        <f>IF(Hasil!$B186="","",Hasil!D186)</f>
        <v/>
      </c>
      <c r="E196" s="69" t="str">
        <f>IF(Hasil!$B186="","",Hasil!E186)</f>
        <v/>
      </c>
      <c r="F196" s="69" t="str">
        <f>IF(Hasil!$B186="","",Hasil!F186)</f>
        <v/>
      </c>
      <c r="G196" s="69" t="str">
        <f>IF(Hasil!$B186="","",Hasil!G186)</f>
        <v/>
      </c>
      <c r="H196" s="69" t="str">
        <f>IF(Hasil!$B186="","",Hasil!H186)</f>
        <v/>
      </c>
      <c r="I196" s="69" t="str">
        <f>IF(Hasil!$B186="","",Hasil!I186)</f>
        <v/>
      </c>
      <c r="J196" s="69" t="str">
        <f>IF(Hasil!$B186="","",Hasil!J186)</f>
        <v/>
      </c>
      <c r="K196" s="81" t="str">
        <f>IF(Hasil!$B186="","",Hasil!T186)</f>
        <v/>
      </c>
      <c r="L196" s="39" t="str">
        <f>IF(Hasil!$B186="","",Hasil!$V186)</f>
        <v/>
      </c>
      <c r="M196" s="69" t="str">
        <f>IF(Hasil!$B186="","",Hasil!$AU186)</f>
        <v/>
      </c>
      <c r="N196" s="69" t="str">
        <f>IF(Hasil!$B186="","",Hasil!$AV186)</f>
        <v/>
      </c>
    </row>
    <row r="197" spans="1:14">
      <c r="A197" s="38" t="str">
        <f>IF(Hasil!$B187="","",Hasil!A187)</f>
        <v/>
      </c>
      <c r="B197" t="str">
        <f>IF(Hasil!$B187="","",Hasil!B187)</f>
        <v/>
      </c>
      <c r="C197" t="str">
        <f>IF(Hasil!$B187="","",Hasil!C187)</f>
        <v/>
      </c>
      <c r="D197" t="str">
        <f>IF(Hasil!$B187="","",Hasil!D187)</f>
        <v/>
      </c>
      <c r="E197" s="69" t="str">
        <f>IF(Hasil!$B187="","",Hasil!E187)</f>
        <v/>
      </c>
      <c r="F197" s="69" t="str">
        <f>IF(Hasil!$B187="","",Hasil!F187)</f>
        <v/>
      </c>
      <c r="G197" s="69" t="str">
        <f>IF(Hasil!$B187="","",Hasil!G187)</f>
        <v/>
      </c>
      <c r="H197" s="69" t="str">
        <f>IF(Hasil!$B187="","",Hasil!H187)</f>
        <v/>
      </c>
      <c r="I197" s="69" t="str">
        <f>IF(Hasil!$B187="","",Hasil!I187)</f>
        <v/>
      </c>
      <c r="J197" s="69" t="str">
        <f>IF(Hasil!$B187="","",Hasil!J187)</f>
        <v/>
      </c>
      <c r="K197" s="81" t="str">
        <f>IF(Hasil!$B187="","",Hasil!T187)</f>
        <v/>
      </c>
      <c r="L197" s="39" t="str">
        <f>IF(Hasil!$B187="","",Hasil!$V187)</f>
        <v/>
      </c>
      <c r="M197" s="69" t="str">
        <f>IF(Hasil!$B187="","",Hasil!$AU187)</f>
        <v/>
      </c>
      <c r="N197" s="69" t="str">
        <f>IF(Hasil!$B187="","",Hasil!$AV187)</f>
        <v/>
      </c>
    </row>
    <row r="198" spans="1:14">
      <c r="A198" s="38" t="str">
        <f>IF(Hasil!$B188="","",Hasil!A188)</f>
        <v/>
      </c>
      <c r="B198" t="str">
        <f>IF(Hasil!$B188="","",Hasil!B188)</f>
        <v/>
      </c>
      <c r="C198" t="str">
        <f>IF(Hasil!$B188="","",Hasil!C188)</f>
        <v/>
      </c>
      <c r="D198" t="str">
        <f>IF(Hasil!$B188="","",Hasil!D188)</f>
        <v/>
      </c>
      <c r="E198" s="69" t="str">
        <f>IF(Hasil!$B188="","",Hasil!E188)</f>
        <v/>
      </c>
      <c r="F198" s="69" t="str">
        <f>IF(Hasil!$B188="","",Hasil!F188)</f>
        <v/>
      </c>
      <c r="G198" s="69" t="str">
        <f>IF(Hasil!$B188="","",Hasil!G188)</f>
        <v/>
      </c>
      <c r="H198" s="69" t="str">
        <f>IF(Hasil!$B188="","",Hasil!H188)</f>
        <v/>
      </c>
      <c r="I198" s="69" t="str">
        <f>IF(Hasil!$B188="","",Hasil!I188)</f>
        <v/>
      </c>
      <c r="J198" s="69" t="str">
        <f>IF(Hasil!$B188="","",Hasil!J188)</f>
        <v/>
      </c>
      <c r="K198" s="81" t="str">
        <f>IF(Hasil!$B188="","",Hasil!T188)</f>
        <v/>
      </c>
      <c r="L198" s="39" t="str">
        <f>IF(Hasil!$B188="","",Hasil!$V188)</f>
        <v/>
      </c>
      <c r="M198" s="69" t="str">
        <f>IF(Hasil!$B188="","",Hasil!$AU188)</f>
        <v/>
      </c>
      <c r="N198" s="69" t="str">
        <f>IF(Hasil!$B188="","",Hasil!$AV188)</f>
        <v/>
      </c>
    </row>
    <row r="199" spans="1:14">
      <c r="A199" s="38" t="str">
        <f>IF(Hasil!$B189="","",Hasil!A189)</f>
        <v/>
      </c>
      <c r="B199" t="str">
        <f>IF(Hasil!$B189="","",Hasil!B189)</f>
        <v/>
      </c>
      <c r="C199" t="str">
        <f>IF(Hasil!$B189="","",Hasil!C189)</f>
        <v/>
      </c>
      <c r="D199" t="str">
        <f>IF(Hasil!$B189="","",Hasil!D189)</f>
        <v/>
      </c>
      <c r="E199" s="69" t="str">
        <f>IF(Hasil!$B189="","",Hasil!E189)</f>
        <v/>
      </c>
      <c r="F199" s="69" t="str">
        <f>IF(Hasil!$B189="","",Hasil!F189)</f>
        <v/>
      </c>
      <c r="G199" s="69" t="str">
        <f>IF(Hasil!$B189="","",Hasil!G189)</f>
        <v/>
      </c>
      <c r="H199" s="69" t="str">
        <f>IF(Hasil!$B189="","",Hasil!H189)</f>
        <v/>
      </c>
      <c r="I199" s="69" t="str">
        <f>IF(Hasil!$B189="","",Hasil!I189)</f>
        <v/>
      </c>
      <c r="J199" s="69" t="str">
        <f>IF(Hasil!$B189="","",Hasil!J189)</f>
        <v/>
      </c>
      <c r="K199" s="81" t="str">
        <f>IF(Hasil!$B189="","",Hasil!T189)</f>
        <v/>
      </c>
      <c r="L199" s="39" t="str">
        <f>IF(Hasil!$B189="","",Hasil!$V189)</f>
        <v/>
      </c>
      <c r="M199" s="69" t="str">
        <f>IF(Hasil!$B189="","",Hasil!$AU189)</f>
        <v/>
      </c>
      <c r="N199" s="69" t="str">
        <f>IF(Hasil!$B189="","",Hasil!$AV189)</f>
        <v/>
      </c>
    </row>
    <row r="200" spans="1:14">
      <c r="A200" s="38" t="str">
        <f>IF(Hasil!$B190="","",Hasil!A190)</f>
        <v/>
      </c>
      <c r="B200" t="str">
        <f>IF(Hasil!$B190="","",Hasil!B190)</f>
        <v/>
      </c>
      <c r="C200" t="str">
        <f>IF(Hasil!$B190="","",Hasil!C190)</f>
        <v/>
      </c>
      <c r="D200" t="str">
        <f>IF(Hasil!$B190="","",Hasil!D190)</f>
        <v/>
      </c>
      <c r="E200" s="69" t="str">
        <f>IF(Hasil!$B190="","",Hasil!E190)</f>
        <v/>
      </c>
      <c r="F200" s="69" t="str">
        <f>IF(Hasil!$B190="","",Hasil!F190)</f>
        <v/>
      </c>
      <c r="G200" s="69" t="str">
        <f>IF(Hasil!$B190="","",Hasil!G190)</f>
        <v/>
      </c>
      <c r="H200" s="69" t="str">
        <f>IF(Hasil!$B190="","",Hasil!H190)</f>
        <v/>
      </c>
      <c r="I200" s="69" t="str">
        <f>IF(Hasil!$B190="","",Hasil!I190)</f>
        <v/>
      </c>
      <c r="J200" s="69" t="str">
        <f>IF(Hasil!$B190="","",Hasil!J190)</f>
        <v/>
      </c>
      <c r="K200" s="81" t="str">
        <f>IF(Hasil!$B190="","",Hasil!T190)</f>
        <v/>
      </c>
      <c r="L200" s="39" t="str">
        <f>IF(Hasil!$B190="","",Hasil!$V190)</f>
        <v/>
      </c>
      <c r="M200" s="69" t="str">
        <f>IF(Hasil!$B190="","",Hasil!$AU190)</f>
        <v/>
      </c>
      <c r="N200" s="69" t="str">
        <f>IF(Hasil!$B190="","",Hasil!$AV190)</f>
        <v/>
      </c>
    </row>
    <row r="201" spans="1:14">
      <c r="A201" s="38" t="str">
        <f>IF(Hasil!$B191="","",Hasil!A191)</f>
        <v/>
      </c>
      <c r="B201" t="str">
        <f>IF(Hasil!$B191="","",Hasil!B191)</f>
        <v/>
      </c>
      <c r="C201" t="str">
        <f>IF(Hasil!$B191="","",Hasil!C191)</f>
        <v/>
      </c>
      <c r="D201" t="str">
        <f>IF(Hasil!$B191="","",Hasil!D191)</f>
        <v/>
      </c>
      <c r="E201" s="69" t="str">
        <f>IF(Hasil!$B191="","",Hasil!E191)</f>
        <v/>
      </c>
      <c r="F201" s="69" t="str">
        <f>IF(Hasil!$B191="","",Hasil!F191)</f>
        <v/>
      </c>
      <c r="G201" s="69" t="str">
        <f>IF(Hasil!$B191="","",Hasil!G191)</f>
        <v/>
      </c>
      <c r="H201" s="69" t="str">
        <f>IF(Hasil!$B191="","",Hasil!H191)</f>
        <v/>
      </c>
      <c r="I201" s="69" t="str">
        <f>IF(Hasil!$B191="","",Hasil!I191)</f>
        <v/>
      </c>
      <c r="J201" s="69" t="str">
        <f>IF(Hasil!$B191="","",Hasil!J191)</f>
        <v/>
      </c>
      <c r="K201" s="81" t="str">
        <f>IF(Hasil!$B191="","",Hasil!T191)</f>
        <v/>
      </c>
      <c r="L201" s="39" t="str">
        <f>IF(Hasil!$B191="","",Hasil!$V191)</f>
        <v/>
      </c>
      <c r="M201" s="69" t="str">
        <f>IF(Hasil!$B191="","",Hasil!$AU191)</f>
        <v/>
      </c>
      <c r="N201" s="69" t="str">
        <f>IF(Hasil!$B191="","",Hasil!$AV191)</f>
        <v/>
      </c>
    </row>
    <row r="202" spans="1:14">
      <c r="A202" s="38" t="str">
        <f>IF(Hasil!$B192="","",Hasil!A192)</f>
        <v/>
      </c>
      <c r="B202" t="str">
        <f>IF(Hasil!$B192="","",Hasil!B192)</f>
        <v/>
      </c>
      <c r="C202" t="str">
        <f>IF(Hasil!$B192="","",Hasil!C192)</f>
        <v/>
      </c>
      <c r="D202" t="str">
        <f>IF(Hasil!$B192="","",Hasil!D192)</f>
        <v/>
      </c>
      <c r="E202" s="69" t="str">
        <f>IF(Hasil!$B192="","",Hasil!E192)</f>
        <v/>
      </c>
      <c r="F202" s="69" t="str">
        <f>IF(Hasil!$B192="","",Hasil!F192)</f>
        <v/>
      </c>
      <c r="G202" s="69" t="str">
        <f>IF(Hasil!$B192="","",Hasil!G192)</f>
        <v/>
      </c>
      <c r="H202" s="69" t="str">
        <f>IF(Hasil!$B192="","",Hasil!H192)</f>
        <v/>
      </c>
      <c r="I202" s="69" t="str">
        <f>IF(Hasil!$B192="","",Hasil!I192)</f>
        <v/>
      </c>
      <c r="J202" s="69" t="str">
        <f>IF(Hasil!$B192="","",Hasil!J192)</f>
        <v/>
      </c>
      <c r="K202" s="81" t="str">
        <f>IF(Hasil!$B192="","",Hasil!T192)</f>
        <v/>
      </c>
      <c r="L202" s="39" t="str">
        <f>IF(Hasil!$B192="","",Hasil!$V192)</f>
        <v/>
      </c>
      <c r="M202" s="69" t="str">
        <f>IF(Hasil!$B192="","",Hasil!$AU192)</f>
        <v/>
      </c>
      <c r="N202" s="69" t="str">
        <f>IF(Hasil!$B192="","",Hasil!$AV192)</f>
        <v/>
      </c>
    </row>
    <row r="203" spans="1:14">
      <c r="A203" s="38" t="str">
        <f>IF(Hasil!$B193="","",Hasil!A193)</f>
        <v/>
      </c>
      <c r="B203" t="str">
        <f>IF(Hasil!$B193="","",Hasil!B193)</f>
        <v/>
      </c>
      <c r="C203" t="str">
        <f>IF(Hasil!$B193="","",Hasil!C193)</f>
        <v/>
      </c>
      <c r="D203" t="str">
        <f>IF(Hasil!$B193="","",Hasil!D193)</f>
        <v/>
      </c>
      <c r="E203" s="69" t="str">
        <f>IF(Hasil!$B193="","",Hasil!E193)</f>
        <v/>
      </c>
      <c r="F203" s="69" t="str">
        <f>IF(Hasil!$B193="","",Hasil!F193)</f>
        <v/>
      </c>
      <c r="G203" s="69" t="str">
        <f>IF(Hasil!$B193="","",Hasil!G193)</f>
        <v/>
      </c>
      <c r="H203" s="69" t="str">
        <f>IF(Hasil!$B193="","",Hasil!H193)</f>
        <v/>
      </c>
      <c r="I203" s="69" t="str">
        <f>IF(Hasil!$B193="","",Hasil!I193)</f>
        <v/>
      </c>
      <c r="J203" s="69" t="str">
        <f>IF(Hasil!$B193="","",Hasil!J193)</f>
        <v/>
      </c>
      <c r="K203" s="81" t="str">
        <f>IF(Hasil!$B193="","",Hasil!T193)</f>
        <v/>
      </c>
      <c r="L203" s="39" t="str">
        <f>IF(Hasil!$B193="","",Hasil!$V193)</f>
        <v/>
      </c>
      <c r="M203" s="69" t="str">
        <f>IF(Hasil!$B193="","",Hasil!$AU193)</f>
        <v/>
      </c>
      <c r="N203" s="69" t="str">
        <f>IF(Hasil!$B193="","",Hasil!$AV193)</f>
        <v/>
      </c>
    </row>
    <row r="204" spans="1:14">
      <c r="A204" s="38" t="str">
        <f>IF(Hasil!$B194="","",Hasil!A194)</f>
        <v/>
      </c>
      <c r="B204" t="str">
        <f>IF(Hasil!$B194="","",Hasil!B194)</f>
        <v/>
      </c>
      <c r="C204" t="str">
        <f>IF(Hasil!$B194="","",Hasil!C194)</f>
        <v/>
      </c>
      <c r="D204" t="str">
        <f>IF(Hasil!$B194="","",Hasil!D194)</f>
        <v/>
      </c>
      <c r="E204" s="69" t="str">
        <f>IF(Hasil!$B194="","",Hasil!E194)</f>
        <v/>
      </c>
      <c r="F204" s="69" t="str">
        <f>IF(Hasil!$B194="","",Hasil!F194)</f>
        <v/>
      </c>
      <c r="G204" s="69" t="str">
        <f>IF(Hasil!$B194="","",Hasil!G194)</f>
        <v/>
      </c>
      <c r="H204" s="69" t="str">
        <f>IF(Hasil!$B194="","",Hasil!H194)</f>
        <v/>
      </c>
      <c r="I204" s="69" t="str">
        <f>IF(Hasil!$B194="","",Hasil!I194)</f>
        <v/>
      </c>
      <c r="J204" s="69" t="str">
        <f>IF(Hasil!$B194="","",Hasil!J194)</f>
        <v/>
      </c>
      <c r="K204" s="81" t="str">
        <f>IF(Hasil!$B194="","",Hasil!T194)</f>
        <v/>
      </c>
      <c r="L204" s="39" t="str">
        <f>IF(Hasil!$B194="","",Hasil!$V194)</f>
        <v/>
      </c>
      <c r="M204" s="69" t="str">
        <f>IF(Hasil!$B194="","",Hasil!$AU194)</f>
        <v/>
      </c>
      <c r="N204" s="69" t="str">
        <f>IF(Hasil!$B194="","",Hasil!$AV194)</f>
        <v/>
      </c>
    </row>
    <row r="205" spans="1:14">
      <c r="A205" s="38" t="str">
        <f>IF(Hasil!$B195="","",Hasil!A195)</f>
        <v/>
      </c>
      <c r="B205" t="str">
        <f>IF(Hasil!$B195="","",Hasil!B195)</f>
        <v/>
      </c>
      <c r="C205" t="str">
        <f>IF(Hasil!$B195="","",Hasil!C195)</f>
        <v/>
      </c>
      <c r="D205" t="str">
        <f>IF(Hasil!$B195="","",Hasil!D195)</f>
        <v/>
      </c>
      <c r="E205" s="69" t="str">
        <f>IF(Hasil!$B195="","",Hasil!E195)</f>
        <v/>
      </c>
      <c r="F205" s="69" t="str">
        <f>IF(Hasil!$B195="","",Hasil!F195)</f>
        <v/>
      </c>
      <c r="G205" s="69" t="str">
        <f>IF(Hasil!$B195="","",Hasil!G195)</f>
        <v/>
      </c>
      <c r="H205" s="69" t="str">
        <f>IF(Hasil!$B195="","",Hasil!H195)</f>
        <v/>
      </c>
      <c r="I205" s="69" t="str">
        <f>IF(Hasil!$B195="","",Hasil!I195)</f>
        <v/>
      </c>
      <c r="J205" s="69" t="str">
        <f>IF(Hasil!$B195="","",Hasil!J195)</f>
        <v/>
      </c>
      <c r="K205" s="81" t="str">
        <f>IF(Hasil!$B195="","",Hasil!T195)</f>
        <v/>
      </c>
      <c r="L205" s="39" t="str">
        <f>IF(Hasil!$B195="","",Hasil!$V195)</f>
        <v/>
      </c>
    </row>
    <row r="206" spans="1:14">
      <c r="A206" s="38" t="str">
        <f>IF(Hasil!$B196="","",Hasil!A196)</f>
        <v/>
      </c>
      <c r="B206" t="str">
        <f>IF(Hasil!$B196="","",Hasil!B196)</f>
        <v/>
      </c>
      <c r="C206" t="str">
        <f>IF(Hasil!$B196="","",Hasil!C196)</f>
        <v/>
      </c>
      <c r="D206" t="str">
        <f>IF(Hasil!$B196="","",Hasil!D196)</f>
        <v/>
      </c>
      <c r="E206" s="69" t="str">
        <f>IF(Hasil!$B196="","",Hasil!E196)</f>
        <v/>
      </c>
      <c r="F206" s="69" t="str">
        <f>IF(Hasil!$B196="","",Hasil!F196)</f>
        <v/>
      </c>
      <c r="G206" s="69" t="str">
        <f>IF(Hasil!$B196="","",Hasil!G196)</f>
        <v/>
      </c>
      <c r="H206" s="69" t="str">
        <f>IF(Hasil!$B196="","",Hasil!H196)</f>
        <v/>
      </c>
      <c r="I206" s="69" t="str">
        <f>IF(Hasil!$B196="","",Hasil!I196)</f>
        <v/>
      </c>
      <c r="J206" s="69" t="str">
        <f>IF(Hasil!$B196="","",Hasil!J196)</f>
        <v/>
      </c>
      <c r="K206" s="81" t="str">
        <f>IF(Hasil!$B196="","",Hasil!T196)</f>
        <v/>
      </c>
      <c r="L206" s="39" t="str">
        <f>IF(Hasil!$B196="","",Hasil!$V196)</f>
        <v/>
      </c>
    </row>
    <row r="207" spans="1:14">
      <c r="A207" s="38" t="str">
        <f>IF(Hasil!$B197="","",Hasil!A197)</f>
        <v/>
      </c>
      <c r="B207" t="str">
        <f>IF(Hasil!$B197="","",Hasil!B197)</f>
        <v/>
      </c>
      <c r="C207" t="str">
        <f>IF(Hasil!$B197="","",Hasil!C197)</f>
        <v/>
      </c>
      <c r="D207" t="str">
        <f>IF(Hasil!$B197="","",Hasil!D197)</f>
        <v/>
      </c>
      <c r="E207" s="69" t="str">
        <f>IF(Hasil!$B197="","",Hasil!E197)</f>
        <v/>
      </c>
      <c r="F207" s="69" t="str">
        <f>IF(Hasil!$B197="","",Hasil!F197)</f>
        <v/>
      </c>
      <c r="G207" s="69" t="str">
        <f>IF(Hasil!$B197="","",Hasil!G197)</f>
        <v/>
      </c>
      <c r="H207" s="69" t="str">
        <f>IF(Hasil!$B197="","",Hasil!H197)</f>
        <v/>
      </c>
      <c r="I207" s="69" t="str">
        <f>IF(Hasil!$B197="","",Hasil!I197)</f>
        <v/>
      </c>
      <c r="J207" s="69" t="str">
        <f>IF(Hasil!$B197="","",Hasil!J197)</f>
        <v/>
      </c>
      <c r="K207" s="81" t="str">
        <f>IF(Hasil!$B197="","",Hasil!T197)</f>
        <v/>
      </c>
      <c r="L207" s="39" t="str">
        <f>IF(Hasil!$B197="","",Hasil!$V197)</f>
        <v/>
      </c>
    </row>
    <row r="208" spans="1:14">
      <c r="A208" s="38" t="str">
        <f>IF(Hasil!$B198="","",Hasil!A198)</f>
        <v/>
      </c>
      <c r="B208" t="str">
        <f>IF(Hasil!$B198="","",Hasil!B198)</f>
        <v/>
      </c>
      <c r="C208" t="str">
        <f>IF(Hasil!$B198="","",Hasil!C198)</f>
        <v/>
      </c>
      <c r="D208" t="str">
        <f>IF(Hasil!$B198="","",Hasil!D198)</f>
        <v/>
      </c>
      <c r="E208" s="69" t="str">
        <f>IF(Hasil!$B198="","",Hasil!E198)</f>
        <v/>
      </c>
      <c r="F208" s="69" t="str">
        <f>IF(Hasil!$B198="","",Hasil!F198)</f>
        <v/>
      </c>
      <c r="G208" s="69" t="str">
        <f>IF(Hasil!$B198="","",Hasil!G198)</f>
        <v/>
      </c>
      <c r="H208" s="69" t="str">
        <f>IF(Hasil!$B198="","",Hasil!H198)</f>
        <v/>
      </c>
      <c r="I208" s="69" t="str">
        <f>IF(Hasil!$B198="","",Hasil!I198)</f>
        <v/>
      </c>
      <c r="J208" s="69" t="str">
        <f>IF(Hasil!$B198="","",Hasil!J198)</f>
        <v/>
      </c>
      <c r="K208" s="81" t="str">
        <f>IF(Hasil!$B198="","",Hasil!T198)</f>
        <v/>
      </c>
      <c r="L208" s="39" t="str">
        <f>IF(Hasil!$B198="","",Hasil!$V198)</f>
        <v/>
      </c>
    </row>
    <row r="209" spans="1:12">
      <c r="A209" s="38" t="str">
        <f>IF(Hasil!$B199="","",Hasil!A199)</f>
        <v/>
      </c>
      <c r="B209" t="str">
        <f>IF(Hasil!$B199="","",Hasil!B199)</f>
        <v/>
      </c>
      <c r="C209" t="str">
        <f>IF(Hasil!$B199="","",Hasil!C199)</f>
        <v/>
      </c>
      <c r="D209" t="str">
        <f>IF(Hasil!$B199="","",Hasil!D199)</f>
        <v/>
      </c>
      <c r="E209" s="69" t="str">
        <f>IF(Hasil!$B199="","",Hasil!E199)</f>
        <v/>
      </c>
      <c r="F209" s="69" t="str">
        <f>IF(Hasil!$B199="","",Hasil!F199)</f>
        <v/>
      </c>
      <c r="G209" s="69" t="str">
        <f>IF(Hasil!$B199="","",Hasil!G199)</f>
        <v/>
      </c>
      <c r="H209" s="69" t="str">
        <f>IF(Hasil!$B199="","",Hasil!H199)</f>
        <v/>
      </c>
      <c r="I209" s="69" t="str">
        <f>IF(Hasil!$B199="","",Hasil!I199)</f>
        <v/>
      </c>
      <c r="J209" s="69" t="str">
        <f>IF(Hasil!$B199="","",Hasil!J199)</f>
        <v/>
      </c>
      <c r="K209" s="81" t="str">
        <f>IF(Hasil!$B199="","",Hasil!T199)</f>
        <v/>
      </c>
      <c r="L209" s="39" t="str">
        <f>IF(Hasil!$B199="","",Hasil!$V199)</f>
        <v/>
      </c>
    </row>
    <row r="210" spans="1:12">
      <c r="A210" s="38" t="str">
        <f>IF(Hasil!$B200="","",Hasil!A200)</f>
        <v/>
      </c>
      <c r="B210" t="str">
        <f>IF(Hasil!$B200="","",Hasil!B200)</f>
        <v/>
      </c>
      <c r="C210" t="str">
        <f>IF(Hasil!$B200="","",Hasil!C200)</f>
        <v/>
      </c>
      <c r="D210" t="str">
        <f>IF(Hasil!$B200="","",Hasil!D200)</f>
        <v/>
      </c>
      <c r="E210" s="69" t="str">
        <f>IF(Hasil!$B200="","",Hasil!E200)</f>
        <v/>
      </c>
      <c r="F210" s="69" t="str">
        <f>IF(Hasil!$B200="","",Hasil!F200)</f>
        <v/>
      </c>
      <c r="G210" s="69" t="str">
        <f>IF(Hasil!$B200="","",Hasil!G200)</f>
        <v/>
      </c>
      <c r="H210" s="69" t="str">
        <f>IF(Hasil!$B200="","",Hasil!H200)</f>
        <v/>
      </c>
      <c r="I210" s="69" t="str">
        <f>IF(Hasil!$B200="","",Hasil!I200)</f>
        <v/>
      </c>
      <c r="J210" s="69" t="str">
        <f>IF(Hasil!$B200="","",Hasil!J200)</f>
        <v/>
      </c>
      <c r="K210" s="81" t="str">
        <f>IF(Hasil!$B200="","",Hasil!T200)</f>
        <v/>
      </c>
      <c r="L210" s="39" t="str">
        <f>IF(Hasil!$B200="","",Hasil!$V200)</f>
        <v/>
      </c>
    </row>
    <row r="211" spans="1:12">
      <c r="A211" s="38" t="str">
        <f>IF(Hasil!$B201="","",Hasil!A201)</f>
        <v/>
      </c>
      <c r="B211" t="str">
        <f>IF(Hasil!$B201="","",Hasil!B201)</f>
        <v/>
      </c>
      <c r="C211" t="str">
        <f>IF(Hasil!$B201="","",Hasil!C201)</f>
        <v/>
      </c>
      <c r="D211" t="str">
        <f>IF(Hasil!$B201="","",Hasil!D201)</f>
        <v/>
      </c>
      <c r="E211" s="69" t="str">
        <f>IF(Hasil!$B201="","",Hasil!E201)</f>
        <v/>
      </c>
      <c r="F211" s="69" t="str">
        <f>IF(Hasil!$B201="","",Hasil!F201)</f>
        <v/>
      </c>
      <c r="G211" s="69" t="str">
        <f>IF(Hasil!$B201="","",Hasil!G201)</f>
        <v/>
      </c>
      <c r="H211" s="69" t="str">
        <f>IF(Hasil!$B201="","",Hasil!H201)</f>
        <v/>
      </c>
      <c r="I211" s="69" t="str">
        <f>IF(Hasil!$B201="","",Hasil!I201)</f>
        <v/>
      </c>
      <c r="J211" s="69" t="str">
        <f>IF(Hasil!$B201="","",Hasil!J201)</f>
        <v/>
      </c>
      <c r="K211" s="81" t="str">
        <f>IF(Hasil!$B201="","",Hasil!T201)</f>
        <v/>
      </c>
      <c r="L211" s="39" t="str">
        <f>IF(Hasil!$B201="","",Hasil!$V201)</f>
        <v/>
      </c>
    </row>
    <row r="212" spans="1:12">
      <c r="A212" s="38" t="str">
        <f>IF(Hasil!$B202="","",Hasil!A202)</f>
        <v/>
      </c>
      <c r="B212" t="str">
        <f>IF(Hasil!$B202="","",Hasil!B202)</f>
        <v/>
      </c>
      <c r="C212" t="str">
        <f>IF(Hasil!$B202="","",Hasil!C202)</f>
        <v/>
      </c>
      <c r="D212" t="str">
        <f>IF(Hasil!$B202="","",Hasil!D202)</f>
        <v/>
      </c>
      <c r="E212" s="69" t="str">
        <f>IF(Hasil!$B202="","",Hasil!E202)</f>
        <v/>
      </c>
      <c r="F212" s="69" t="str">
        <f>IF(Hasil!$B202="","",Hasil!F202)</f>
        <v/>
      </c>
      <c r="G212" s="69" t="str">
        <f>IF(Hasil!$B202="","",Hasil!G202)</f>
        <v/>
      </c>
      <c r="H212" s="69" t="str">
        <f>IF(Hasil!$B202="","",Hasil!H202)</f>
        <v/>
      </c>
      <c r="I212" s="69" t="str">
        <f>IF(Hasil!$B202="","",Hasil!I202)</f>
        <v/>
      </c>
      <c r="J212" s="69" t="str">
        <f>IF(Hasil!$B202="","",Hasil!J202)</f>
        <v/>
      </c>
      <c r="K212" s="81" t="str">
        <f>IF(Hasil!$B202="","",Hasil!T202)</f>
        <v/>
      </c>
      <c r="L212" s="39" t="str">
        <f>IF(Hasil!$B202="","",Hasil!$V202)</f>
        <v/>
      </c>
    </row>
    <row r="213" spans="1:12">
      <c r="A213" s="38" t="str">
        <f>IF(Hasil!$B203="","",Hasil!A203)</f>
        <v/>
      </c>
      <c r="B213" t="str">
        <f>IF(Hasil!$B203="","",Hasil!B203)</f>
        <v/>
      </c>
      <c r="C213" t="str">
        <f>IF(Hasil!$B203="","",Hasil!C203)</f>
        <v/>
      </c>
      <c r="D213" t="str">
        <f>IF(Hasil!$B203="","",Hasil!D203)</f>
        <v/>
      </c>
      <c r="E213" s="69" t="str">
        <f>IF(Hasil!$B203="","",Hasil!E203)</f>
        <v/>
      </c>
      <c r="F213" s="69" t="str">
        <f>IF(Hasil!$B203="","",Hasil!F203)</f>
        <v/>
      </c>
      <c r="G213" s="69" t="str">
        <f>IF(Hasil!$B203="","",Hasil!G203)</f>
        <v/>
      </c>
      <c r="H213" s="69" t="str">
        <f>IF(Hasil!$B203="","",Hasil!H203)</f>
        <v/>
      </c>
      <c r="I213" s="69" t="str">
        <f>IF(Hasil!$B203="","",Hasil!I203)</f>
        <v/>
      </c>
      <c r="J213" s="69" t="str">
        <f>IF(Hasil!$B203="","",Hasil!J203)</f>
        <v/>
      </c>
      <c r="K213" s="81" t="str">
        <f>IF(Hasil!$B203="","",Hasil!T203)</f>
        <v/>
      </c>
      <c r="L213" s="39" t="str">
        <f>IF(Hasil!$B203="","",Hasil!$V203)</f>
        <v/>
      </c>
    </row>
    <row r="214" spans="1:12">
      <c r="A214" s="40" t="str">
        <f>IF(Hasil!$B204="","",Hasil!A204)</f>
        <v/>
      </c>
      <c r="B214" s="66" t="str">
        <f>IF(Hasil!$B204="","",Hasil!B204)</f>
        <v/>
      </c>
      <c r="C214" s="66" t="str">
        <f>IF(Hasil!$B204="","",Hasil!C204)</f>
        <v/>
      </c>
      <c r="D214" s="66" t="str">
        <f>IF(Hasil!$B204="","",Hasil!D204)</f>
        <v/>
      </c>
      <c r="E214" s="71" t="str">
        <f>IF(Hasil!$B204="","",Hasil!E204)</f>
        <v/>
      </c>
      <c r="F214" s="71" t="str">
        <f>IF(Hasil!$B204="","",Hasil!F204)</f>
        <v/>
      </c>
      <c r="G214" s="71" t="str">
        <f>IF(Hasil!$B204="","",Hasil!G204)</f>
        <v/>
      </c>
      <c r="H214" s="71" t="str">
        <f>IF(Hasil!$B204="","",Hasil!H204)</f>
        <v/>
      </c>
      <c r="I214" s="71" t="str">
        <f>IF(Hasil!$B204="","",Hasil!I204)</f>
        <v/>
      </c>
      <c r="J214" s="71" t="str">
        <f>IF(Hasil!$B204="","",Hasil!J204)</f>
        <v/>
      </c>
      <c r="K214" s="82" t="str">
        <f>IF(Hasil!$B204="","",Hasil!T204)</f>
        <v/>
      </c>
      <c r="L214" s="41" t="str">
        <f>IF(Hasil!$B204="","",Hasil!$V204)</f>
        <v/>
      </c>
    </row>
  </sheetData>
  <mergeCells count="1">
    <mergeCell ref="A1:K1"/>
  </mergeCells>
  <conditionalFormatting sqref="L15:L214">
    <cfRule type="expression" dxfId="13" priority="1">
      <formula>L15="OK"</formula>
    </cfRule>
    <cfRule type="expression" dxfId="12" priority="2">
      <formula>AND(L15&lt;&gt;"",L15&lt;&gt;"OK")</formula>
    </cfRule>
  </conditionalFormatting>
  <conditionalFormatting sqref="N15:N204">
    <cfRule type="expression" dxfId="11" priority="3">
      <formula>N15="Tinggi"</formula>
    </cfRule>
    <cfRule type="expression" dxfId="10" priority="4">
      <formula>N15="Sedang"</formula>
    </cfRule>
    <cfRule type="expression" dxfId="9" priority="5">
      <formula>N15="Rendah"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04"/>
  <sheetViews>
    <sheetView topLeftCell="A13" workbookViewId="0">
      <selection sqref="A1:AV1"/>
    </sheetView>
  </sheetViews>
  <sheetFormatPr defaultRowHeight="14"/>
  <cols>
    <col min="1" max="1" width="6" customWidth="1"/>
    <col min="2" max="2" width="13" customWidth="1"/>
    <col min="3" max="3" width="28" customWidth="1"/>
    <col min="4" max="4" width="7" customWidth="1"/>
    <col min="5" max="19" width="8" customWidth="1"/>
    <col min="20" max="20" width="13" customWidth="1"/>
    <col min="21" max="21" width="65" customWidth="1"/>
    <col min="22" max="22" width="15" customWidth="1"/>
    <col min="23" max="46" width="9" customWidth="1"/>
    <col min="47" max="47" width="18" customWidth="1"/>
    <col min="48" max="48" width="20" customWidth="1"/>
  </cols>
  <sheetData>
    <row r="1" spans="1:48" ht="20">
      <c r="A1" s="146" t="s">
        <v>389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17"/>
      <c r="AV1" s="117"/>
    </row>
    <row r="2" spans="1:48" ht="14.5">
      <c r="A2" s="147" t="s">
        <v>390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17"/>
      <c r="AV2" s="117"/>
    </row>
    <row r="4" spans="1:48">
      <c r="A4" s="2" t="s">
        <v>51</v>
      </c>
      <c r="B4" s="2" t="s">
        <v>52</v>
      </c>
      <c r="C4" s="2" t="s">
        <v>53</v>
      </c>
      <c r="D4" s="2" t="s">
        <v>54</v>
      </c>
      <c r="E4" s="2" t="s">
        <v>271</v>
      </c>
      <c r="F4" s="2" t="s">
        <v>272</v>
      </c>
      <c r="G4" s="2" t="s">
        <v>273</v>
      </c>
      <c r="H4" s="2" t="s">
        <v>274</v>
      </c>
      <c r="I4" s="2" t="s">
        <v>275</v>
      </c>
      <c r="J4" s="2" t="s">
        <v>276</v>
      </c>
      <c r="K4" s="2" t="s">
        <v>391</v>
      </c>
      <c r="L4" s="2" t="s">
        <v>392</v>
      </c>
      <c r="M4" s="2" t="s">
        <v>393</v>
      </c>
      <c r="N4" s="2" t="s">
        <v>394</v>
      </c>
      <c r="O4" s="2" t="s">
        <v>395</v>
      </c>
      <c r="P4" s="2" t="s">
        <v>396</v>
      </c>
      <c r="Q4" s="2" t="s">
        <v>397</v>
      </c>
      <c r="R4" s="2" t="s">
        <v>398</v>
      </c>
      <c r="S4" s="2" t="s">
        <v>399</v>
      </c>
      <c r="T4" s="2" t="s">
        <v>359</v>
      </c>
      <c r="U4" s="2" t="s">
        <v>360</v>
      </c>
      <c r="V4" s="2" t="s">
        <v>277</v>
      </c>
      <c r="W4" s="2" t="s">
        <v>400</v>
      </c>
      <c r="X4" s="2" t="s">
        <v>401</v>
      </c>
      <c r="Y4" s="2" t="s">
        <v>402</v>
      </c>
      <c r="Z4" s="2" t="s">
        <v>403</v>
      </c>
      <c r="AA4" s="2" t="s">
        <v>404</v>
      </c>
      <c r="AB4" s="2" t="s">
        <v>405</v>
      </c>
      <c r="AC4" s="2" t="s">
        <v>406</v>
      </c>
      <c r="AD4" s="2" t="s">
        <v>407</v>
      </c>
      <c r="AE4" s="2" t="s">
        <v>408</v>
      </c>
      <c r="AF4" s="2" t="s">
        <v>409</v>
      </c>
      <c r="AG4" s="2" t="s">
        <v>410</v>
      </c>
      <c r="AH4" s="2" t="s">
        <v>411</v>
      </c>
      <c r="AI4" s="2" t="s">
        <v>412</v>
      </c>
      <c r="AJ4" s="2" t="s">
        <v>413</v>
      </c>
      <c r="AK4" s="2" t="s">
        <v>414</v>
      </c>
      <c r="AL4" s="2" t="s">
        <v>415</v>
      </c>
      <c r="AM4" s="2" t="s">
        <v>416</v>
      </c>
      <c r="AN4" s="2" t="s">
        <v>417</v>
      </c>
      <c r="AO4" s="2" t="s">
        <v>418</v>
      </c>
      <c r="AP4" s="2" t="s">
        <v>419</v>
      </c>
      <c r="AQ4" s="2" t="s">
        <v>420</v>
      </c>
      <c r="AR4" s="2" t="s">
        <v>421</v>
      </c>
      <c r="AS4" s="2" t="s">
        <v>422</v>
      </c>
      <c r="AT4" s="2" t="s">
        <v>423</v>
      </c>
      <c r="AU4" s="86" t="s">
        <v>278</v>
      </c>
      <c r="AV4" s="86" t="s">
        <v>279</v>
      </c>
    </row>
    <row r="5" spans="1:48" ht="56">
      <c r="A5">
        <f t="shared" ref="A5:A36" si="0">ROW()-4</f>
        <v>1</v>
      </c>
      <c r="B5" t="str">
        <f>IF('entri hasil dari isian siswa'!B5="","",'entri hasil dari isian siswa'!B5)</f>
        <v>22001</v>
      </c>
      <c r="C5" t="str">
        <f>IF('entri hasil dari isian siswa'!C5="","",'entri hasil dari isian siswa'!C5)</f>
        <v>Selly Aljannah</v>
      </c>
      <c r="D5" t="str">
        <f>IF('entri hasil dari isian siswa'!D5="","",'entri hasil dari isian siswa'!D5)</f>
        <v>L</v>
      </c>
      <c r="E5">
        <f t="shared" ref="E5:E36" si="1">IF($B5="","",W5+AC5+AI5+AO5)</f>
        <v>27</v>
      </c>
      <c r="F5">
        <f t="shared" ref="F5:F36" si="2">IF($B5="","",X5+AD5+AJ5+AP5)</f>
        <v>4</v>
      </c>
      <c r="G5">
        <f t="shared" ref="G5:G36" si="3">IF($B5="","",Y5+AE5+AK5+AQ5)</f>
        <v>8</v>
      </c>
      <c r="H5">
        <f t="shared" ref="H5:H36" si="4">IF($B5="","",Z5+AF5+AL5+AR5)</f>
        <v>10</v>
      </c>
      <c r="I5">
        <f t="shared" ref="I5:I36" si="5">IF($B5="","",AA5+AG5+AM5+AS5)</f>
        <v>6</v>
      </c>
      <c r="J5">
        <f t="shared" ref="J5:J36" si="6">IF($B5="","",AB5+AH5+AN5+AT5)</f>
        <v>12</v>
      </c>
      <c r="K5">
        <f>IF($V5&lt;&gt;"OK","",RANK(E5,$E5:$J5,0)+COUNTIF($E5:E5,E5)-1)</f>
        <v>1</v>
      </c>
      <c r="L5">
        <f>IF($V5&lt;&gt;"OK","",RANK(F5,$E5:$J5,0)+COUNTIF($E5:F5,F5)-1)</f>
        <v>6</v>
      </c>
      <c r="M5">
        <f>IF($V5&lt;&gt;"OK","",RANK(G5,$E5:$J5,0)+COUNTIF($E5:G5,G5)-1)</f>
        <v>4</v>
      </c>
      <c r="N5">
        <f>IF($V5&lt;&gt;"OK","",RANK(H5,$E5:$J5,0)+COUNTIF($E5:H5,H5)-1)</f>
        <v>3</v>
      </c>
      <c r="O5">
        <f>IF($V5&lt;&gt;"OK","",RANK(I5,$E5:$J5,0)+COUNTIF($E5:I5,I5)-1)</f>
        <v>5</v>
      </c>
      <c r="P5">
        <f>IF($V5&lt;&gt;"OK","",RANK(J5,$E5:$J5,0)+COUNTIF($E5:J5,J5)-1)</f>
        <v>2</v>
      </c>
      <c r="Q5" t="str">
        <f t="shared" ref="Q5:Q36" si="7">IF($V5&lt;&gt;"OK","",INDEX($E$4:$J$4,1,MATCH(1,$K5:$P5,0)))</f>
        <v>R</v>
      </c>
      <c r="R5" t="str">
        <f t="shared" ref="R5:R36" si="8">IF($V5&lt;&gt;"OK","",INDEX($E$4:$J$4,1,MATCH(2,$K5:$P5,0)))</f>
        <v>C</v>
      </c>
      <c r="S5" t="str">
        <f t="shared" ref="S5:S36" si="9">IF($V5&lt;&gt;"OK","",INDEX($E$4:$J$4,1,MATCH(3,$K5:$P5,0)))</f>
        <v>S</v>
      </c>
      <c r="T5" t="str">
        <f t="shared" ref="T5:T36" si="10">IF($V5&lt;&gt;"OK","",Q5&amp;R5&amp;S5)</f>
        <v>RCS</v>
      </c>
      <c r="U5" s="1" t="str">
        <f>IF($T5="","",IFERROR(VLOOKUP($T5,'Kunci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5" t="str">
        <f>IF('entri hasil dari isian siswa'!B5="","",'entri hasil dari isian siswa'!HY5)</f>
        <v>OK</v>
      </c>
      <c r="W5">
        <f>IF($B5="","",SUM('entri hasil dari isian siswa'!E5:O5))</f>
        <v>7</v>
      </c>
      <c r="X5">
        <f>IF($B5="","",SUM('entri hasil dari isian siswa'!P5:Z5))</f>
        <v>0</v>
      </c>
      <c r="Y5">
        <f>IF($B5="","",SUM('entri hasil dari isian siswa'!AA5:AK5))</f>
        <v>0</v>
      </c>
      <c r="Z5">
        <f>IF($B5="","",SUM('entri hasil dari isian siswa'!AL5:AV5))</f>
        <v>0</v>
      </c>
      <c r="AA5">
        <f>IF($B5="","",SUM('entri hasil dari isian siswa'!AW5:BG5))</f>
        <v>0</v>
      </c>
      <c r="AB5">
        <f>IF($B5="","",SUM('entri hasil dari isian siswa'!BH5:BR5))</f>
        <v>0</v>
      </c>
      <c r="AC5">
        <f>IF($B5="","",SUM('entri hasil dari isian siswa'!BS5:CC5))</f>
        <v>7</v>
      </c>
      <c r="AD5">
        <f>IF($B5="","",SUM('entri hasil dari isian siswa'!CD5:CN5))</f>
        <v>0</v>
      </c>
      <c r="AE5">
        <f>IF($B5="","",SUM('entri hasil dari isian siswa'!CO5:CY5))</f>
        <v>0</v>
      </c>
      <c r="AF5">
        <f>IF($B5="","",SUM('entri hasil dari isian siswa'!CZ5:DJ5))</f>
        <v>0</v>
      </c>
      <c r="AG5">
        <f>IF($B5="","",SUM('entri hasil dari isian siswa'!DK5:DU5))</f>
        <v>0</v>
      </c>
      <c r="AH5">
        <f>IF($B5="","",SUM('entri hasil dari isian siswa'!DV5:EF5))</f>
        <v>0</v>
      </c>
      <c r="AI5">
        <f>IF($B5="","",SUM('entri hasil dari isian siswa'!EG5:ET5))</f>
        <v>7</v>
      </c>
      <c r="AJ5">
        <f>IF($B5="","",SUM('entri hasil dari isian siswa'!EU5:FH5))</f>
        <v>0</v>
      </c>
      <c r="AK5">
        <f>IF($B5="","",SUM('entri hasil dari isian siswa'!FI5:FV5))</f>
        <v>0</v>
      </c>
      <c r="AL5">
        <f>IF($B5="","",SUM('entri hasil dari isian siswa'!FW5:GJ5))</f>
        <v>0</v>
      </c>
      <c r="AM5">
        <f>IF($B5="","",SUM('entri hasil dari isian siswa'!GK5:GX5))</f>
        <v>0</v>
      </c>
      <c r="AN5">
        <f>IF($B5="","",SUM('entri hasil dari isian siswa'!GY5:HL5))</f>
        <v>0</v>
      </c>
      <c r="AO5">
        <f>IF($B5="","",'entri hasil dari isian siswa'!HM5+'entri hasil dari isian siswa'!HS5)</f>
        <v>6</v>
      </c>
      <c r="AP5">
        <f>IF($B5="","",'entri hasil dari isian siswa'!HN5+'entri hasil dari isian siswa'!HT5)</f>
        <v>4</v>
      </c>
      <c r="AQ5">
        <f>IF($B5="","",'entri hasil dari isian siswa'!HO5+'entri hasil dari isian siswa'!HU5)</f>
        <v>8</v>
      </c>
      <c r="AR5">
        <f>IF($B5="","",'entri hasil dari isian siswa'!HP5+'entri hasil dari isian siswa'!HV5)</f>
        <v>10</v>
      </c>
      <c r="AS5">
        <f>IF($B5="","",'entri hasil dari isian siswa'!HQ5+'entri hasil dari isian siswa'!HW5)</f>
        <v>6</v>
      </c>
      <c r="AT5">
        <f>IF($B5="","",'entri hasil dari isian siswa'!HR5+'entri hasil dari isian siswa'!HX5)</f>
        <v>12</v>
      </c>
      <c r="AU5" s="69" t="str">
        <f t="shared" ref="AU5:AU36" si="11">IF($T5="","",LEFT($T5,2))</f>
        <v>RC</v>
      </c>
      <c r="AV5" s="69" t="str">
        <f>IF($AU5="","",IFERROR(VLOOKUP($AU5,'Kunci dari RIASEC'!$J$4:$K$33,2,FALSE),""))</f>
        <v>Tinggi</v>
      </c>
    </row>
    <row r="6" spans="1:48" ht="56">
      <c r="A6">
        <f t="shared" si="0"/>
        <v>2</v>
      </c>
      <c r="B6" t="str">
        <f>IF('entri hasil dari isian siswa'!B6="","",'entri hasil dari isian siswa'!B6)</f>
        <v>22002</v>
      </c>
      <c r="C6" t="str">
        <f>IF('entri hasil dari isian siswa'!C6="","",'entri hasil dari isian siswa'!C6)</f>
        <v>Siti Solekha</v>
      </c>
      <c r="D6" t="str">
        <f>IF('entri hasil dari isian siswa'!D6="","",'entri hasil dari isian siswa'!D6)</f>
        <v>L</v>
      </c>
      <c r="E6">
        <f t="shared" si="1"/>
        <v>27</v>
      </c>
      <c r="F6">
        <f t="shared" si="2"/>
        <v>4</v>
      </c>
      <c r="G6">
        <f t="shared" si="3"/>
        <v>8</v>
      </c>
      <c r="H6">
        <f t="shared" si="4"/>
        <v>10</v>
      </c>
      <c r="I6">
        <f t="shared" si="5"/>
        <v>6</v>
      </c>
      <c r="J6">
        <f t="shared" si="6"/>
        <v>12</v>
      </c>
      <c r="K6">
        <f>IF($V6&lt;&gt;"OK","",RANK(E6,$E6:$J6,0)+COUNTIF($E6:E6,E6)-1)</f>
        <v>1</v>
      </c>
      <c r="L6">
        <f>IF($V6&lt;&gt;"OK","",RANK(F6,$E6:$J6,0)+COUNTIF($E6:F6,F6)-1)</f>
        <v>6</v>
      </c>
      <c r="M6">
        <f>IF($V6&lt;&gt;"OK","",RANK(G6,$E6:$J6,0)+COUNTIF($E6:G6,G6)-1)</f>
        <v>4</v>
      </c>
      <c r="N6">
        <f>IF($V6&lt;&gt;"OK","",RANK(H6,$E6:$J6,0)+COUNTIF($E6:H6,H6)-1)</f>
        <v>3</v>
      </c>
      <c r="O6">
        <f>IF($V6&lt;&gt;"OK","",RANK(I6,$E6:$J6,0)+COUNTIF($E6:I6,I6)-1)</f>
        <v>5</v>
      </c>
      <c r="P6">
        <f>IF($V6&lt;&gt;"OK","",RANK(J6,$E6:$J6,0)+COUNTIF($E6:J6,J6)-1)</f>
        <v>2</v>
      </c>
      <c r="Q6" t="str">
        <f t="shared" si="7"/>
        <v>R</v>
      </c>
      <c r="R6" t="str">
        <f t="shared" si="8"/>
        <v>C</v>
      </c>
      <c r="S6" t="str">
        <f t="shared" si="9"/>
        <v>S</v>
      </c>
      <c r="T6" t="str">
        <f t="shared" si="10"/>
        <v>RCS</v>
      </c>
      <c r="U6" s="1" t="str">
        <f>IF($T6="","",IFERROR(VLOOKUP($T6,'Kunci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6" t="str">
        <f>IF('entri hasil dari isian siswa'!B6="","",'entri hasil dari isian siswa'!HY6)</f>
        <v>OK</v>
      </c>
      <c r="W6">
        <f>IF($B6="","",SUM('entri hasil dari isian siswa'!E6:O6))</f>
        <v>7</v>
      </c>
      <c r="X6">
        <f>IF($B6="","",SUM('entri hasil dari isian siswa'!P6:Z6))</f>
        <v>0</v>
      </c>
      <c r="Y6">
        <f>IF($B6="","",SUM('entri hasil dari isian siswa'!AA6:AK6))</f>
        <v>0</v>
      </c>
      <c r="Z6">
        <f>IF($B6="","",SUM('entri hasil dari isian siswa'!AL6:AV6))</f>
        <v>0</v>
      </c>
      <c r="AA6">
        <f>IF($B6="","",SUM('entri hasil dari isian siswa'!AW6:BG6))</f>
        <v>0</v>
      </c>
      <c r="AB6">
        <f>IF($B6="","",SUM('entri hasil dari isian siswa'!BH6:BR6))</f>
        <v>0</v>
      </c>
      <c r="AC6">
        <f>IF($B6="","",SUM('entri hasil dari isian siswa'!BS6:CC6))</f>
        <v>7</v>
      </c>
      <c r="AD6">
        <f>IF($B6="","",SUM('entri hasil dari isian siswa'!CD6:CN6))</f>
        <v>0</v>
      </c>
      <c r="AE6">
        <f>IF($B6="","",SUM('entri hasil dari isian siswa'!CO6:CY6))</f>
        <v>0</v>
      </c>
      <c r="AF6">
        <f>IF($B6="","",SUM('entri hasil dari isian siswa'!CZ6:DJ6))</f>
        <v>0</v>
      </c>
      <c r="AG6">
        <f>IF($B6="","",SUM('entri hasil dari isian siswa'!DK6:DU6))</f>
        <v>0</v>
      </c>
      <c r="AH6">
        <f>IF($B6="","",SUM('entri hasil dari isian siswa'!DV6:EF6))</f>
        <v>0</v>
      </c>
      <c r="AI6">
        <f>IF($B6="","",SUM('entri hasil dari isian siswa'!EG6:ET6))</f>
        <v>7</v>
      </c>
      <c r="AJ6">
        <f>IF($B6="","",SUM('entri hasil dari isian siswa'!EU6:FH6))</f>
        <v>0</v>
      </c>
      <c r="AK6">
        <f>IF($B6="","",SUM('entri hasil dari isian siswa'!FI6:FV6))</f>
        <v>0</v>
      </c>
      <c r="AL6">
        <f>IF($B6="","",SUM('entri hasil dari isian siswa'!FW6:GJ6))</f>
        <v>0</v>
      </c>
      <c r="AM6">
        <f>IF($B6="","",SUM('entri hasil dari isian siswa'!GK6:GX6))</f>
        <v>0</v>
      </c>
      <c r="AN6">
        <f>IF($B6="","",SUM('entri hasil dari isian siswa'!GY6:HL6))</f>
        <v>0</v>
      </c>
      <c r="AO6">
        <f>IF($B6="","",'entri hasil dari isian siswa'!HM6+'entri hasil dari isian siswa'!HS6)</f>
        <v>6</v>
      </c>
      <c r="AP6">
        <f>IF($B6="","",'entri hasil dari isian siswa'!HN6+'entri hasil dari isian siswa'!HT6)</f>
        <v>4</v>
      </c>
      <c r="AQ6">
        <f>IF($B6="","",'entri hasil dari isian siswa'!HO6+'entri hasil dari isian siswa'!HU6)</f>
        <v>8</v>
      </c>
      <c r="AR6">
        <f>IF($B6="","",'entri hasil dari isian siswa'!HP6+'entri hasil dari isian siswa'!HV6)</f>
        <v>10</v>
      </c>
      <c r="AS6">
        <f>IF($B6="","",'entri hasil dari isian siswa'!HQ6+'entri hasil dari isian siswa'!HW6)</f>
        <v>6</v>
      </c>
      <c r="AT6">
        <f>IF($B6="","",'entri hasil dari isian siswa'!HR6+'entri hasil dari isian siswa'!HX6)</f>
        <v>12</v>
      </c>
      <c r="AU6" s="69" t="str">
        <f t="shared" si="11"/>
        <v>RC</v>
      </c>
      <c r="AV6" s="69" t="str">
        <f>IF($AU6="","",IFERROR(VLOOKUP($AU6,'Kunci dari RIASEC'!$J$4:$K$33,2,FALSE),""))</f>
        <v>Tinggi</v>
      </c>
    </row>
    <row r="7" spans="1:48" ht="56">
      <c r="A7">
        <f t="shared" si="0"/>
        <v>3</v>
      </c>
      <c r="B7" t="str">
        <f>IF('entri hasil dari isian siswa'!B7="","",'entri hasil dari isian siswa'!B7)</f>
        <v>22003</v>
      </c>
      <c r="C7" t="str">
        <f>IF('entri hasil dari isian siswa'!C7="","",'entri hasil dari isian siswa'!C7)</f>
        <v>Sri Panca Lestari</v>
      </c>
      <c r="D7" t="str">
        <f>IF('entri hasil dari isian siswa'!D7="","",'entri hasil dari isian siswa'!D7)</f>
        <v>L</v>
      </c>
      <c r="E7">
        <f t="shared" si="1"/>
        <v>27</v>
      </c>
      <c r="F7">
        <f t="shared" si="2"/>
        <v>4</v>
      </c>
      <c r="G7">
        <f t="shared" si="3"/>
        <v>8</v>
      </c>
      <c r="H7">
        <f t="shared" si="4"/>
        <v>10</v>
      </c>
      <c r="I7">
        <f t="shared" si="5"/>
        <v>6</v>
      </c>
      <c r="J7">
        <f t="shared" si="6"/>
        <v>12</v>
      </c>
      <c r="K7">
        <f>IF($V7&lt;&gt;"OK","",RANK(E7,$E7:$J7,0)+COUNTIF($E7:E7,E7)-1)</f>
        <v>1</v>
      </c>
      <c r="L7">
        <f>IF($V7&lt;&gt;"OK","",RANK(F7,$E7:$J7,0)+COUNTIF($E7:F7,F7)-1)</f>
        <v>6</v>
      </c>
      <c r="M7">
        <f>IF($V7&lt;&gt;"OK","",RANK(G7,$E7:$J7,0)+COUNTIF($E7:G7,G7)-1)</f>
        <v>4</v>
      </c>
      <c r="N7">
        <f>IF($V7&lt;&gt;"OK","",RANK(H7,$E7:$J7,0)+COUNTIF($E7:H7,H7)-1)</f>
        <v>3</v>
      </c>
      <c r="O7">
        <f>IF($V7&lt;&gt;"OK","",RANK(I7,$E7:$J7,0)+COUNTIF($E7:I7,I7)-1)</f>
        <v>5</v>
      </c>
      <c r="P7">
        <f>IF($V7&lt;&gt;"OK","",RANK(J7,$E7:$J7,0)+COUNTIF($E7:J7,J7)-1)</f>
        <v>2</v>
      </c>
      <c r="Q7" t="str">
        <f t="shared" si="7"/>
        <v>R</v>
      </c>
      <c r="R7" t="str">
        <f t="shared" si="8"/>
        <v>C</v>
      </c>
      <c r="S7" t="str">
        <f t="shared" si="9"/>
        <v>S</v>
      </c>
      <c r="T7" t="str">
        <f t="shared" si="10"/>
        <v>RCS</v>
      </c>
      <c r="U7" s="1" t="str">
        <f>IF($T7="","",IFERROR(VLOOKUP($T7,'Kunci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7" t="str">
        <f>IF('entri hasil dari isian siswa'!B7="","",'entri hasil dari isian siswa'!HY7)</f>
        <v>OK</v>
      </c>
      <c r="W7">
        <f>IF($B7="","",SUM('entri hasil dari isian siswa'!E7:O7))</f>
        <v>7</v>
      </c>
      <c r="X7">
        <f>IF($B7="","",SUM('entri hasil dari isian siswa'!P7:Z7))</f>
        <v>0</v>
      </c>
      <c r="Y7">
        <f>IF($B7="","",SUM('entri hasil dari isian siswa'!AA7:AK7))</f>
        <v>0</v>
      </c>
      <c r="Z7">
        <f>IF($B7="","",SUM('entri hasil dari isian siswa'!AL7:AV7))</f>
        <v>0</v>
      </c>
      <c r="AA7">
        <f>IF($B7="","",SUM('entri hasil dari isian siswa'!AW7:BG7))</f>
        <v>0</v>
      </c>
      <c r="AB7">
        <f>IF($B7="","",SUM('entri hasil dari isian siswa'!BH7:BR7))</f>
        <v>0</v>
      </c>
      <c r="AC7">
        <f>IF($B7="","",SUM('entri hasil dari isian siswa'!BS7:CC7))</f>
        <v>7</v>
      </c>
      <c r="AD7">
        <f>IF($B7="","",SUM('entri hasil dari isian siswa'!CD7:CN7))</f>
        <v>0</v>
      </c>
      <c r="AE7">
        <f>IF($B7="","",SUM('entri hasil dari isian siswa'!CO7:CY7))</f>
        <v>0</v>
      </c>
      <c r="AF7">
        <f>IF($B7="","",SUM('entri hasil dari isian siswa'!CZ7:DJ7))</f>
        <v>0</v>
      </c>
      <c r="AG7">
        <f>IF($B7="","",SUM('entri hasil dari isian siswa'!DK7:DU7))</f>
        <v>0</v>
      </c>
      <c r="AH7">
        <f>IF($B7="","",SUM('entri hasil dari isian siswa'!DV7:EF7))</f>
        <v>0</v>
      </c>
      <c r="AI7">
        <f>IF($B7="","",SUM('entri hasil dari isian siswa'!EG7:ET7))</f>
        <v>7</v>
      </c>
      <c r="AJ7">
        <f>IF($B7="","",SUM('entri hasil dari isian siswa'!EU7:FH7))</f>
        <v>0</v>
      </c>
      <c r="AK7">
        <f>IF($B7="","",SUM('entri hasil dari isian siswa'!FI7:FV7))</f>
        <v>0</v>
      </c>
      <c r="AL7">
        <f>IF($B7="","",SUM('entri hasil dari isian siswa'!FW7:GJ7))</f>
        <v>0</v>
      </c>
      <c r="AM7">
        <f>IF($B7="","",SUM('entri hasil dari isian siswa'!GK7:GX7))</f>
        <v>0</v>
      </c>
      <c r="AN7">
        <f>IF($B7="","",SUM('entri hasil dari isian siswa'!GY7:HL7))</f>
        <v>0</v>
      </c>
      <c r="AO7">
        <f>IF($B7="","",'entri hasil dari isian siswa'!HM7+'entri hasil dari isian siswa'!HS7)</f>
        <v>6</v>
      </c>
      <c r="AP7">
        <f>IF($B7="","",'entri hasil dari isian siswa'!HN7+'entri hasil dari isian siswa'!HT7)</f>
        <v>4</v>
      </c>
      <c r="AQ7">
        <f>IF($B7="","",'entri hasil dari isian siswa'!HO7+'entri hasil dari isian siswa'!HU7)</f>
        <v>8</v>
      </c>
      <c r="AR7">
        <f>IF($B7="","",'entri hasil dari isian siswa'!HP7+'entri hasil dari isian siswa'!HV7)</f>
        <v>10</v>
      </c>
      <c r="AS7">
        <f>IF($B7="","",'entri hasil dari isian siswa'!HQ7+'entri hasil dari isian siswa'!HW7)</f>
        <v>6</v>
      </c>
      <c r="AT7">
        <f>IF($B7="","",'entri hasil dari isian siswa'!HR7+'entri hasil dari isian siswa'!HX7)</f>
        <v>12</v>
      </c>
      <c r="AU7" s="69" t="str">
        <f t="shared" si="11"/>
        <v>RC</v>
      </c>
      <c r="AV7" s="69" t="str">
        <f>IF($AU7="","",IFERROR(VLOOKUP($AU7,'Kunci dari RIASEC'!$J$4:$K$33,2,FALSE),""))</f>
        <v>Tinggi</v>
      </c>
    </row>
    <row r="8" spans="1:48" ht="56">
      <c r="A8">
        <f t="shared" si="0"/>
        <v>4</v>
      </c>
      <c r="B8" t="str">
        <f>IF('entri hasil dari isian siswa'!B8="","",'entri hasil dari isian siswa'!B8)</f>
        <v>22004</v>
      </c>
      <c r="C8" t="str">
        <f>IF('entri hasil dari isian siswa'!C8="","",'entri hasil dari isian siswa'!C8)</f>
        <v>Widi Hartanto</v>
      </c>
      <c r="D8" t="str">
        <f>IF('entri hasil dari isian siswa'!D8="","",'entri hasil dari isian siswa'!D8)</f>
        <v>L</v>
      </c>
      <c r="E8">
        <f t="shared" si="1"/>
        <v>27</v>
      </c>
      <c r="F8">
        <f t="shared" si="2"/>
        <v>4</v>
      </c>
      <c r="G8">
        <f t="shared" si="3"/>
        <v>8</v>
      </c>
      <c r="H8">
        <f t="shared" si="4"/>
        <v>10</v>
      </c>
      <c r="I8">
        <f t="shared" si="5"/>
        <v>6</v>
      </c>
      <c r="J8">
        <f t="shared" si="6"/>
        <v>12</v>
      </c>
      <c r="K8">
        <f>IF($V8&lt;&gt;"OK","",RANK(E8,$E8:$J8,0)+COUNTIF($E8:E8,E8)-1)</f>
        <v>1</v>
      </c>
      <c r="L8">
        <f>IF($V8&lt;&gt;"OK","",RANK(F8,$E8:$J8,0)+COUNTIF($E8:F8,F8)-1)</f>
        <v>6</v>
      </c>
      <c r="M8">
        <f>IF($V8&lt;&gt;"OK","",RANK(G8,$E8:$J8,0)+COUNTIF($E8:G8,G8)-1)</f>
        <v>4</v>
      </c>
      <c r="N8">
        <f>IF($V8&lt;&gt;"OK","",RANK(H8,$E8:$J8,0)+COUNTIF($E8:H8,H8)-1)</f>
        <v>3</v>
      </c>
      <c r="O8">
        <f>IF($V8&lt;&gt;"OK","",RANK(I8,$E8:$J8,0)+COUNTIF($E8:I8,I8)-1)</f>
        <v>5</v>
      </c>
      <c r="P8">
        <f>IF($V8&lt;&gt;"OK","",RANK(J8,$E8:$J8,0)+COUNTIF($E8:J8,J8)-1)</f>
        <v>2</v>
      </c>
      <c r="Q8" t="str">
        <f t="shared" si="7"/>
        <v>R</v>
      </c>
      <c r="R8" t="str">
        <f t="shared" si="8"/>
        <v>C</v>
      </c>
      <c r="S8" t="str">
        <f t="shared" si="9"/>
        <v>S</v>
      </c>
      <c r="T8" t="str">
        <f t="shared" si="10"/>
        <v>RCS</v>
      </c>
      <c r="U8" s="1" t="str">
        <f>IF($T8="","",IFERROR(VLOOKUP($T8,'Kunci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8" t="str">
        <f>IF('entri hasil dari isian siswa'!B8="","",'entri hasil dari isian siswa'!HY8)</f>
        <v>OK</v>
      </c>
      <c r="W8">
        <f>IF($B8="","",SUM('entri hasil dari isian siswa'!E8:O8))</f>
        <v>7</v>
      </c>
      <c r="X8">
        <f>IF($B8="","",SUM('entri hasil dari isian siswa'!P8:Z8))</f>
        <v>0</v>
      </c>
      <c r="Y8">
        <f>IF($B8="","",SUM('entri hasil dari isian siswa'!AA8:AK8))</f>
        <v>0</v>
      </c>
      <c r="Z8">
        <f>IF($B8="","",SUM('entri hasil dari isian siswa'!AL8:AV8))</f>
        <v>0</v>
      </c>
      <c r="AA8">
        <f>IF($B8="","",SUM('entri hasil dari isian siswa'!AW8:BG8))</f>
        <v>0</v>
      </c>
      <c r="AB8">
        <f>IF($B8="","",SUM('entri hasil dari isian siswa'!BH8:BR8))</f>
        <v>0</v>
      </c>
      <c r="AC8">
        <f>IF($B8="","",SUM('entri hasil dari isian siswa'!BS8:CC8))</f>
        <v>7</v>
      </c>
      <c r="AD8">
        <f>IF($B8="","",SUM('entri hasil dari isian siswa'!CD8:CN8))</f>
        <v>0</v>
      </c>
      <c r="AE8">
        <f>IF($B8="","",SUM('entri hasil dari isian siswa'!CO8:CY8))</f>
        <v>0</v>
      </c>
      <c r="AF8">
        <f>IF($B8="","",SUM('entri hasil dari isian siswa'!CZ8:DJ8))</f>
        <v>0</v>
      </c>
      <c r="AG8">
        <f>IF($B8="","",SUM('entri hasil dari isian siswa'!DK8:DU8))</f>
        <v>0</v>
      </c>
      <c r="AH8">
        <f>IF($B8="","",SUM('entri hasil dari isian siswa'!DV8:EF8))</f>
        <v>0</v>
      </c>
      <c r="AI8">
        <f>IF($B8="","",SUM('entri hasil dari isian siswa'!EG8:ET8))</f>
        <v>7</v>
      </c>
      <c r="AJ8">
        <f>IF($B8="","",SUM('entri hasil dari isian siswa'!EU8:FH8))</f>
        <v>0</v>
      </c>
      <c r="AK8">
        <f>IF($B8="","",SUM('entri hasil dari isian siswa'!FI8:FV8))</f>
        <v>0</v>
      </c>
      <c r="AL8">
        <f>IF($B8="","",SUM('entri hasil dari isian siswa'!FW8:GJ8))</f>
        <v>0</v>
      </c>
      <c r="AM8">
        <f>IF($B8="","",SUM('entri hasil dari isian siswa'!GK8:GX8))</f>
        <v>0</v>
      </c>
      <c r="AN8">
        <f>IF($B8="","",SUM('entri hasil dari isian siswa'!GY8:HL8))</f>
        <v>0</v>
      </c>
      <c r="AO8">
        <f>IF($B8="","",'entri hasil dari isian siswa'!HM8+'entri hasil dari isian siswa'!HS8)</f>
        <v>6</v>
      </c>
      <c r="AP8">
        <f>IF($B8="","",'entri hasil dari isian siswa'!HN8+'entri hasil dari isian siswa'!HT8)</f>
        <v>4</v>
      </c>
      <c r="AQ8">
        <f>IF($B8="","",'entri hasil dari isian siswa'!HO8+'entri hasil dari isian siswa'!HU8)</f>
        <v>8</v>
      </c>
      <c r="AR8">
        <f>IF($B8="","",'entri hasil dari isian siswa'!HP8+'entri hasil dari isian siswa'!HV8)</f>
        <v>10</v>
      </c>
      <c r="AS8">
        <f>IF($B8="","",'entri hasil dari isian siswa'!HQ8+'entri hasil dari isian siswa'!HW8)</f>
        <v>6</v>
      </c>
      <c r="AT8">
        <f>IF($B8="","",'entri hasil dari isian siswa'!HR8+'entri hasil dari isian siswa'!HX8)</f>
        <v>12</v>
      </c>
      <c r="AU8" s="69" t="str">
        <f t="shared" si="11"/>
        <v>RC</v>
      </c>
      <c r="AV8" s="69" t="str">
        <f>IF($AU8="","",IFERROR(VLOOKUP($AU8,'Kunci dari RIASEC'!$J$4:$K$33,2,FALSE),""))</f>
        <v>Tinggi</v>
      </c>
    </row>
    <row r="9" spans="1:48" ht="56">
      <c r="A9">
        <f t="shared" si="0"/>
        <v>5</v>
      </c>
      <c r="B9" t="str">
        <f>IF('entri hasil dari isian siswa'!B9="","",'entri hasil dari isian siswa'!B9)</f>
        <v>22005</v>
      </c>
      <c r="C9" t="str">
        <f>IF('entri hasil dari isian siswa'!C9="","",'entri hasil dari isian siswa'!C9)</f>
        <v>Puji Lestari</v>
      </c>
      <c r="D9" t="str">
        <f>IF('entri hasil dari isian siswa'!D9="","",'entri hasil dari isian siswa'!D9)</f>
        <v>L</v>
      </c>
      <c r="E9">
        <f t="shared" si="1"/>
        <v>27</v>
      </c>
      <c r="F9">
        <f t="shared" si="2"/>
        <v>4</v>
      </c>
      <c r="G9">
        <f t="shared" si="3"/>
        <v>8</v>
      </c>
      <c r="H9">
        <f t="shared" si="4"/>
        <v>10</v>
      </c>
      <c r="I9">
        <f t="shared" si="5"/>
        <v>6</v>
      </c>
      <c r="J9">
        <f t="shared" si="6"/>
        <v>12</v>
      </c>
      <c r="K9">
        <f>IF($V9&lt;&gt;"OK","",RANK(E9,$E9:$J9,0)+COUNTIF($E9:E9,E9)-1)</f>
        <v>1</v>
      </c>
      <c r="L9">
        <f>IF($V9&lt;&gt;"OK","",RANK(F9,$E9:$J9,0)+COUNTIF($E9:F9,F9)-1)</f>
        <v>6</v>
      </c>
      <c r="M9">
        <f>IF($V9&lt;&gt;"OK","",RANK(G9,$E9:$J9,0)+COUNTIF($E9:G9,G9)-1)</f>
        <v>4</v>
      </c>
      <c r="N9">
        <f>IF($V9&lt;&gt;"OK","",RANK(H9,$E9:$J9,0)+COUNTIF($E9:H9,H9)-1)</f>
        <v>3</v>
      </c>
      <c r="O9">
        <f>IF($V9&lt;&gt;"OK","",RANK(I9,$E9:$J9,0)+COUNTIF($E9:I9,I9)-1)</f>
        <v>5</v>
      </c>
      <c r="P9">
        <f>IF($V9&lt;&gt;"OK","",RANK(J9,$E9:$J9,0)+COUNTIF($E9:J9,J9)-1)</f>
        <v>2</v>
      </c>
      <c r="Q9" t="str">
        <f t="shared" si="7"/>
        <v>R</v>
      </c>
      <c r="R9" t="str">
        <f t="shared" si="8"/>
        <v>C</v>
      </c>
      <c r="S9" t="str">
        <f t="shared" si="9"/>
        <v>S</v>
      </c>
      <c r="T9" t="str">
        <f t="shared" si="10"/>
        <v>RCS</v>
      </c>
      <c r="U9" s="1" t="str">
        <f>IF($T9="","",IFERROR(VLOOKUP($T9,'Kunci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9" t="str">
        <f>IF('entri hasil dari isian siswa'!B9="","",'entri hasil dari isian siswa'!HY9)</f>
        <v>OK</v>
      </c>
      <c r="W9">
        <f>IF($B9="","",SUM('entri hasil dari isian siswa'!E9:O9))</f>
        <v>7</v>
      </c>
      <c r="X9">
        <f>IF($B9="","",SUM('entri hasil dari isian siswa'!P9:Z9))</f>
        <v>0</v>
      </c>
      <c r="Y9">
        <f>IF($B9="","",SUM('entri hasil dari isian siswa'!AA9:AK9))</f>
        <v>0</v>
      </c>
      <c r="Z9">
        <f>IF($B9="","",SUM('entri hasil dari isian siswa'!AL9:AV9))</f>
        <v>0</v>
      </c>
      <c r="AA9">
        <f>IF($B9="","",SUM('entri hasil dari isian siswa'!AW9:BG9))</f>
        <v>0</v>
      </c>
      <c r="AB9">
        <f>IF($B9="","",SUM('entri hasil dari isian siswa'!BH9:BR9))</f>
        <v>0</v>
      </c>
      <c r="AC9">
        <f>IF($B9="","",SUM('entri hasil dari isian siswa'!BS9:CC9))</f>
        <v>7</v>
      </c>
      <c r="AD9">
        <f>IF($B9="","",SUM('entri hasil dari isian siswa'!CD9:CN9))</f>
        <v>0</v>
      </c>
      <c r="AE9">
        <f>IF($B9="","",SUM('entri hasil dari isian siswa'!CO9:CY9))</f>
        <v>0</v>
      </c>
      <c r="AF9">
        <f>IF($B9="","",SUM('entri hasil dari isian siswa'!CZ9:DJ9))</f>
        <v>0</v>
      </c>
      <c r="AG9">
        <f>IF($B9="","",SUM('entri hasil dari isian siswa'!DK9:DU9))</f>
        <v>0</v>
      </c>
      <c r="AH9">
        <f>IF($B9="","",SUM('entri hasil dari isian siswa'!DV9:EF9))</f>
        <v>0</v>
      </c>
      <c r="AI9">
        <f>IF($B9="","",SUM('entri hasil dari isian siswa'!EG9:ET9))</f>
        <v>7</v>
      </c>
      <c r="AJ9">
        <f>IF($B9="","",SUM('entri hasil dari isian siswa'!EU9:FH9))</f>
        <v>0</v>
      </c>
      <c r="AK9">
        <f>IF($B9="","",SUM('entri hasil dari isian siswa'!FI9:FV9))</f>
        <v>0</v>
      </c>
      <c r="AL9">
        <f>IF($B9="","",SUM('entri hasil dari isian siswa'!FW9:GJ9))</f>
        <v>0</v>
      </c>
      <c r="AM9">
        <f>IF($B9="","",SUM('entri hasil dari isian siswa'!GK9:GX9))</f>
        <v>0</v>
      </c>
      <c r="AN9">
        <f>IF($B9="","",SUM('entri hasil dari isian siswa'!GY9:HL9))</f>
        <v>0</v>
      </c>
      <c r="AO9">
        <f>IF($B9="","",'entri hasil dari isian siswa'!HM9+'entri hasil dari isian siswa'!HS9)</f>
        <v>6</v>
      </c>
      <c r="AP9">
        <f>IF($B9="","",'entri hasil dari isian siswa'!HN9+'entri hasil dari isian siswa'!HT9)</f>
        <v>4</v>
      </c>
      <c r="AQ9">
        <f>IF($B9="","",'entri hasil dari isian siswa'!HO9+'entri hasil dari isian siswa'!HU9)</f>
        <v>8</v>
      </c>
      <c r="AR9">
        <f>IF($B9="","",'entri hasil dari isian siswa'!HP9+'entri hasil dari isian siswa'!HV9)</f>
        <v>10</v>
      </c>
      <c r="AS9">
        <f>IF($B9="","",'entri hasil dari isian siswa'!HQ9+'entri hasil dari isian siswa'!HW9)</f>
        <v>6</v>
      </c>
      <c r="AT9">
        <f>IF($B9="","",'entri hasil dari isian siswa'!HR9+'entri hasil dari isian siswa'!HX9)</f>
        <v>12</v>
      </c>
      <c r="AU9" s="69" t="str">
        <f t="shared" si="11"/>
        <v>RC</v>
      </c>
      <c r="AV9" s="69" t="str">
        <f>IF($AU9="","",IFERROR(VLOOKUP($AU9,'Kunci dari RIASEC'!$J$4:$K$33,2,FALSE),""))</f>
        <v>Tinggi</v>
      </c>
    </row>
    <row r="10" spans="1:48" ht="56">
      <c r="A10">
        <f t="shared" si="0"/>
        <v>6</v>
      </c>
      <c r="B10" t="str">
        <f>IF('entri hasil dari isian siswa'!B10="","",'entri hasil dari isian siswa'!B10)</f>
        <v>22006</v>
      </c>
      <c r="C10" t="str">
        <f>IF('entri hasil dari isian siswa'!C10="","",'entri hasil dari isian siswa'!C10)</f>
        <v>Silvia Noviana N</v>
      </c>
      <c r="D10" t="str">
        <f>IF('entri hasil dari isian siswa'!D10="","",'entri hasil dari isian siswa'!D10)</f>
        <v>L</v>
      </c>
      <c r="E10">
        <f t="shared" si="1"/>
        <v>27</v>
      </c>
      <c r="F10">
        <f t="shared" si="2"/>
        <v>4</v>
      </c>
      <c r="G10">
        <f t="shared" si="3"/>
        <v>8</v>
      </c>
      <c r="H10">
        <f t="shared" si="4"/>
        <v>10</v>
      </c>
      <c r="I10">
        <f t="shared" si="5"/>
        <v>6</v>
      </c>
      <c r="J10">
        <f t="shared" si="6"/>
        <v>12</v>
      </c>
      <c r="K10">
        <f>IF($V10&lt;&gt;"OK","",RANK(E10,$E10:$J10,0)+COUNTIF($E10:E10,E10)-1)</f>
        <v>1</v>
      </c>
      <c r="L10">
        <f>IF($V10&lt;&gt;"OK","",RANK(F10,$E10:$J10,0)+COUNTIF($E10:F10,F10)-1)</f>
        <v>6</v>
      </c>
      <c r="M10">
        <f>IF($V10&lt;&gt;"OK","",RANK(G10,$E10:$J10,0)+COUNTIF($E10:G10,G10)-1)</f>
        <v>4</v>
      </c>
      <c r="N10">
        <f>IF($V10&lt;&gt;"OK","",RANK(H10,$E10:$J10,0)+COUNTIF($E10:H10,H10)-1)</f>
        <v>3</v>
      </c>
      <c r="O10">
        <f>IF($V10&lt;&gt;"OK","",RANK(I10,$E10:$J10,0)+COUNTIF($E10:I10,I10)-1)</f>
        <v>5</v>
      </c>
      <c r="P10">
        <f>IF($V10&lt;&gt;"OK","",RANK(J10,$E10:$J10,0)+COUNTIF($E10:J10,J10)-1)</f>
        <v>2</v>
      </c>
      <c r="Q10" t="str">
        <f t="shared" si="7"/>
        <v>R</v>
      </c>
      <c r="R10" t="str">
        <f t="shared" si="8"/>
        <v>C</v>
      </c>
      <c r="S10" t="str">
        <f t="shared" si="9"/>
        <v>S</v>
      </c>
      <c r="T10" t="str">
        <f t="shared" si="10"/>
        <v>RCS</v>
      </c>
      <c r="U10" s="1" t="str">
        <f>IF($T10="","",IFERROR(VLOOKUP($T10,'Kunci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10" t="str">
        <f>IF('entri hasil dari isian siswa'!B10="","",'entri hasil dari isian siswa'!HY10)</f>
        <v>OK</v>
      </c>
      <c r="W10">
        <f>IF($B10="","",SUM('entri hasil dari isian siswa'!E10:O10))</f>
        <v>7</v>
      </c>
      <c r="X10">
        <f>IF($B10="","",SUM('entri hasil dari isian siswa'!P10:Z10))</f>
        <v>0</v>
      </c>
      <c r="Y10">
        <f>IF($B10="","",SUM('entri hasil dari isian siswa'!AA10:AK10))</f>
        <v>0</v>
      </c>
      <c r="Z10">
        <f>IF($B10="","",SUM('entri hasil dari isian siswa'!AL10:AV10))</f>
        <v>0</v>
      </c>
      <c r="AA10">
        <f>IF($B10="","",SUM('entri hasil dari isian siswa'!AW10:BG10))</f>
        <v>0</v>
      </c>
      <c r="AB10">
        <f>IF($B10="","",SUM('entri hasil dari isian siswa'!BH10:BR10))</f>
        <v>0</v>
      </c>
      <c r="AC10">
        <f>IF($B10="","",SUM('entri hasil dari isian siswa'!BS10:CC10))</f>
        <v>7</v>
      </c>
      <c r="AD10">
        <f>IF($B10="","",SUM('entri hasil dari isian siswa'!CD10:CN10))</f>
        <v>0</v>
      </c>
      <c r="AE10">
        <f>IF($B10="","",SUM('entri hasil dari isian siswa'!CO10:CY10))</f>
        <v>0</v>
      </c>
      <c r="AF10">
        <f>IF($B10="","",SUM('entri hasil dari isian siswa'!CZ10:DJ10))</f>
        <v>0</v>
      </c>
      <c r="AG10">
        <f>IF($B10="","",SUM('entri hasil dari isian siswa'!DK10:DU10))</f>
        <v>0</v>
      </c>
      <c r="AH10">
        <f>IF($B10="","",SUM('entri hasil dari isian siswa'!DV10:EF10))</f>
        <v>0</v>
      </c>
      <c r="AI10">
        <f>IF($B10="","",SUM('entri hasil dari isian siswa'!EG10:ET10))</f>
        <v>7</v>
      </c>
      <c r="AJ10">
        <f>IF($B10="","",SUM('entri hasil dari isian siswa'!EU10:FH10))</f>
        <v>0</v>
      </c>
      <c r="AK10">
        <f>IF($B10="","",SUM('entri hasil dari isian siswa'!FI10:FV10))</f>
        <v>0</v>
      </c>
      <c r="AL10">
        <f>IF($B10="","",SUM('entri hasil dari isian siswa'!FW10:GJ10))</f>
        <v>0</v>
      </c>
      <c r="AM10">
        <f>IF($B10="","",SUM('entri hasil dari isian siswa'!GK10:GX10))</f>
        <v>0</v>
      </c>
      <c r="AN10">
        <f>IF($B10="","",SUM('entri hasil dari isian siswa'!GY10:HL10))</f>
        <v>0</v>
      </c>
      <c r="AO10">
        <f>IF($B10="","",'entri hasil dari isian siswa'!HM10+'entri hasil dari isian siswa'!HS10)</f>
        <v>6</v>
      </c>
      <c r="AP10">
        <f>IF($B10="","",'entri hasil dari isian siswa'!HN10+'entri hasil dari isian siswa'!HT10)</f>
        <v>4</v>
      </c>
      <c r="AQ10">
        <f>IF($B10="","",'entri hasil dari isian siswa'!HO10+'entri hasil dari isian siswa'!HU10)</f>
        <v>8</v>
      </c>
      <c r="AR10">
        <f>IF($B10="","",'entri hasil dari isian siswa'!HP10+'entri hasil dari isian siswa'!HV10)</f>
        <v>10</v>
      </c>
      <c r="AS10">
        <f>IF($B10="","",'entri hasil dari isian siswa'!HQ10+'entri hasil dari isian siswa'!HW10)</f>
        <v>6</v>
      </c>
      <c r="AT10">
        <f>IF($B10="","",'entri hasil dari isian siswa'!HR10+'entri hasil dari isian siswa'!HX10)</f>
        <v>12</v>
      </c>
      <c r="AU10" s="69" t="str">
        <f t="shared" si="11"/>
        <v>RC</v>
      </c>
      <c r="AV10" s="69" t="str">
        <f>IF($AU10="","",IFERROR(VLOOKUP($AU10,'Kunci dari RIASEC'!$J$4:$K$33,2,FALSE),""))</f>
        <v>Tinggi</v>
      </c>
    </row>
    <row r="11" spans="1:48" ht="56">
      <c r="A11">
        <f t="shared" si="0"/>
        <v>7</v>
      </c>
      <c r="B11" t="str">
        <f>IF('entri hasil dari isian siswa'!B11="","",'entri hasil dari isian siswa'!B11)</f>
        <v>22007</v>
      </c>
      <c r="C11" t="str">
        <f>IF('entri hasil dari isian siswa'!C11="","",'entri hasil dari isian siswa'!C11)</f>
        <v>Sinta Intani Fitriana</v>
      </c>
      <c r="D11" t="str">
        <f>IF('entri hasil dari isian siswa'!D11="","",'entri hasil dari isian siswa'!D11)</f>
        <v>L</v>
      </c>
      <c r="E11">
        <f t="shared" si="1"/>
        <v>27</v>
      </c>
      <c r="F11">
        <f t="shared" si="2"/>
        <v>4</v>
      </c>
      <c r="G11">
        <f t="shared" si="3"/>
        <v>8</v>
      </c>
      <c r="H11">
        <f t="shared" si="4"/>
        <v>10</v>
      </c>
      <c r="I11">
        <f t="shared" si="5"/>
        <v>6</v>
      </c>
      <c r="J11">
        <f t="shared" si="6"/>
        <v>12</v>
      </c>
      <c r="K11">
        <f>IF($V11&lt;&gt;"OK","",RANK(E11,$E11:$J11,0)+COUNTIF($E11:E11,E11)-1)</f>
        <v>1</v>
      </c>
      <c r="L11">
        <f>IF($V11&lt;&gt;"OK","",RANK(F11,$E11:$J11,0)+COUNTIF($E11:F11,F11)-1)</f>
        <v>6</v>
      </c>
      <c r="M11">
        <f>IF($V11&lt;&gt;"OK","",RANK(G11,$E11:$J11,0)+COUNTIF($E11:G11,G11)-1)</f>
        <v>4</v>
      </c>
      <c r="N11">
        <f>IF($V11&lt;&gt;"OK","",RANK(H11,$E11:$J11,0)+COUNTIF($E11:H11,H11)-1)</f>
        <v>3</v>
      </c>
      <c r="O11">
        <f>IF($V11&lt;&gt;"OK","",RANK(I11,$E11:$J11,0)+COUNTIF($E11:I11,I11)-1)</f>
        <v>5</v>
      </c>
      <c r="P11">
        <f>IF($V11&lt;&gt;"OK","",RANK(J11,$E11:$J11,0)+COUNTIF($E11:J11,J11)-1)</f>
        <v>2</v>
      </c>
      <c r="Q11" t="str">
        <f t="shared" si="7"/>
        <v>R</v>
      </c>
      <c r="R11" t="str">
        <f t="shared" si="8"/>
        <v>C</v>
      </c>
      <c r="S11" t="str">
        <f t="shared" si="9"/>
        <v>S</v>
      </c>
      <c r="T11" t="str">
        <f t="shared" si="10"/>
        <v>RCS</v>
      </c>
      <c r="U11" s="1" t="str">
        <f>IF($T11="","",IFERROR(VLOOKUP($T11,'Kunci dari RIASEC'!$A$4:$B$123,2,FALSE),"Rekomendasi belum tersedia"))</f>
        <v>Teknisi quality control; Programmer/operator CNC; Teknisi kalibrasi; Maintenance planner; Production planner; Koordinator layanan teknis terjadwal; Petugas kontrol alat kesehatan; Koordinator operasional bengkel layanan; Teknisi smart manufacturing; Maintenance planning specialist; Ship officer / captain; QA/QC technician; Koordinator otomasi gudang</v>
      </c>
      <c r="V11" t="str">
        <f>IF('entri hasil dari isian siswa'!B11="","",'entri hasil dari isian siswa'!HY11)</f>
        <v>OK</v>
      </c>
      <c r="W11">
        <f>IF($B11="","",SUM('entri hasil dari isian siswa'!E11:O11))</f>
        <v>7</v>
      </c>
      <c r="X11">
        <f>IF($B11="","",SUM('entri hasil dari isian siswa'!P11:Z11))</f>
        <v>0</v>
      </c>
      <c r="Y11">
        <f>IF($B11="","",SUM('entri hasil dari isian siswa'!AA11:AK11))</f>
        <v>0</v>
      </c>
      <c r="Z11">
        <f>IF($B11="","",SUM('entri hasil dari isian siswa'!AL11:AV11))</f>
        <v>0</v>
      </c>
      <c r="AA11">
        <f>IF($B11="","",SUM('entri hasil dari isian siswa'!AW11:BG11))</f>
        <v>0</v>
      </c>
      <c r="AB11">
        <f>IF($B11="","",SUM('entri hasil dari isian siswa'!BH11:BR11))</f>
        <v>0</v>
      </c>
      <c r="AC11">
        <f>IF($B11="","",SUM('entri hasil dari isian siswa'!BS11:CC11))</f>
        <v>7</v>
      </c>
      <c r="AD11">
        <f>IF($B11="","",SUM('entri hasil dari isian siswa'!CD11:CN11))</f>
        <v>0</v>
      </c>
      <c r="AE11">
        <f>IF($B11="","",SUM('entri hasil dari isian siswa'!CO11:CY11))</f>
        <v>0</v>
      </c>
      <c r="AF11">
        <f>IF($B11="","",SUM('entri hasil dari isian siswa'!CZ11:DJ11))</f>
        <v>0</v>
      </c>
      <c r="AG11">
        <f>IF($B11="","",SUM('entri hasil dari isian siswa'!DK11:DU11))</f>
        <v>0</v>
      </c>
      <c r="AH11">
        <f>IF($B11="","",SUM('entri hasil dari isian siswa'!DV11:EF11))</f>
        <v>0</v>
      </c>
      <c r="AI11">
        <f>IF($B11="","",SUM('entri hasil dari isian siswa'!EG11:ET11))</f>
        <v>7</v>
      </c>
      <c r="AJ11">
        <f>IF($B11="","",SUM('entri hasil dari isian siswa'!EU11:FH11))</f>
        <v>0</v>
      </c>
      <c r="AK11">
        <f>IF($B11="","",SUM('entri hasil dari isian siswa'!FI11:FV11))</f>
        <v>0</v>
      </c>
      <c r="AL11">
        <f>IF($B11="","",SUM('entri hasil dari isian siswa'!FW11:GJ11))</f>
        <v>0</v>
      </c>
      <c r="AM11">
        <f>IF($B11="","",SUM('entri hasil dari isian siswa'!GK11:GX11))</f>
        <v>0</v>
      </c>
      <c r="AN11">
        <f>IF($B11="","",SUM('entri hasil dari isian siswa'!GY11:HL11))</f>
        <v>0</v>
      </c>
      <c r="AO11">
        <f>IF($B11="","",'entri hasil dari isian siswa'!HM11+'entri hasil dari isian siswa'!HS11)</f>
        <v>6</v>
      </c>
      <c r="AP11">
        <f>IF($B11="","",'entri hasil dari isian siswa'!HN11+'entri hasil dari isian siswa'!HT11)</f>
        <v>4</v>
      </c>
      <c r="AQ11">
        <f>IF($B11="","",'entri hasil dari isian siswa'!HO11+'entri hasil dari isian siswa'!HU11)</f>
        <v>8</v>
      </c>
      <c r="AR11">
        <f>IF($B11="","",'entri hasil dari isian siswa'!HP11+'entri hasil dari isian siswa'!HV11)</f>
        <v>10</v>
      </c>
      <c r="AS11">
        <f>IF($B11="","",'entri hasil dari isian siswa'!HQ11+'entri hasil dari isian siswa'!HW11)</f>
        <v>6</v>
      </c>
      <c r="AT11">
        <f>IF($B11="","",'entri hasil dari isian siswa'!HR11+'entri hasil dari isian siswa'!HX11)</f>
        <v>12</v>
      </c>
      <c r="AU11" s="69" t="str">
        <f t="shared" si="11"/>
        <v>RC</v>
      </c>
      <c r="AV11" s="69" t="str">
        <f>IF($AU11="","",IFERROR(VLOOKUP($AU11,'Kunci dari RIASEC'!$J$4:$K$33,2,FALSE),""))</f>
        <v>Tinggi</v>
      </c>
    </row>
    <row r="12" spans="1:48">
      <c r="A12">
        <f t="shared" si="0"/>
        <v>8</v>
      </c>
      <c r="B12" t="str">
        <f>IF('entri hasil dari isian siswa'!B12="","",'entri hasil dari isian siswa'!B12)</f>
        <v>22008</v>
      </c>
      <c r="C12" t="str">
        <f>IF('entri hasil dari isian siswa'!C12="","",'entri hasil dari isian siswa'!C12)</f>
        <v>Siti Nur Fadhilah</v>
      </c>
      <c r="D12" t="str">
        <f>IF('entri hasil dari isian siswa'!D12="","",'entri hasil dari isian siswa'!D12)</f>
        <v>L</v>
      </c>
      <c r="E12">
        <f t="shared" si="1"/>
        <v>4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 t="str">
        <f>IF($V12&lt;&gt;"OK","",RANK(E12,$E12:$J12,0)+COUNTIF($E12:E12,E12)-1)</f>
        <v/>
      </c>
      <c r="L12" t="str">
        <f>IF($V12&lt;&gt;"OK","",RANK(F12,$E12:$J12,0)+COUNTIF($E12:F12,F12)-1)</f>
        <v/>
      </c>
      <c r="M12" t="str">
        <f>IF($V12&lt;&gt;"OK","",RANK(G12,$E12:$J12,0)+COUNTIF($E12:G12,G12)-1)</f>
        <v/>
      </c>
      <c r="N12" t="str">
        <f>IF($V12&lt;&gt;"OK","",RANK(H12,$E12:$J12,0)+COUNTIF($E12:H12,H12)-1)</f>
        <v/>
      </c>
      <c r="O12" t="str">
        <f>IF($V12&lt;&gt;"OK","",RANK(I12,$E12:$J12,0)+COUNTIF($E12:I12,I12)-1)</f>
        <v/>
      </c>
      <c r="P12" t="str">
        <f>IF($V12&lt;&gt;"OK","",RANK(J12,$E12:$J12,0)+COUNTIF($E12:J12,J12)-1)</f>
        <v/>
      </c>
      <c r="Q12" t="str">
        <f t="shared" si="7"/>
        <v/>
      </c>
      <c r="R12" t="str">
        <f t="shared" si="8"/>
        <v/>
      </c>
      <c r="S12" t="str">
        <f t="shared" si="9"/>
        <v/>
      </c>
      <c r="T12" t="str">
        <f t="shared" si="10"/>
        <v/>
      </c>
      <c r="U12" s="1" t="str">
        <f>IF($T12="","",IFERROR(VLOOKUP($T12,'Kunci dari RIASEC'!$A$4:$B$123,2,FALSE),"Rekomendasi belum tersedia"))</f>
        <v/>
      </c>
      <c r="V12" t="str">
        <f>IF('entri hasil dari isian siswa'!B12="","",'entri hasil dari isian siswa'!HY12)</f>
        <v>Lengkapi 12 Self Estimate</v>
      </c>
      <c r="W12">
        <f>IF($B12="","",SUM('entri hasil dari isian siswa'!E12:O12))</f>
        <v>4</v>
      </c>
      <c r="X12">
        <f>IF($B12="","",SUM('entri hasil dari isian siswa'!P12:Z12))</f>
        <v>0</v>
      </c>
      <c r="Y12">
        <f>IF($B12="","",SUM('entri hasil dari isian siswa'!AA12:AK12))</f>
        <v>0</v>
      </c>
      <c r="Z12">
        <f>IF($B12="","",SUM('entri hasil dari isian siswa'!AL12:AV12))</f>
        <v>0</v>
      </c>
      <c r="AA12">
        <f>IF($B12="","",SUM('entri hasil dari isian siswa'!AW12:BG12))</f>
        <v>0</v>
      </c>
      <c r="AB12">
        <f>IF($B12="","",SUM('entri hasil dari isian siswa'!BH12:BR12))</f>
        <v>0</v>
      </c>
      <c r="AC12">
        <f>IF($B12="","",SUM('entri hasil dari isian siswa'!BS12:CC12))</f>
        <v>0</v>
      </c>
      <c r="AD12">
        <f>IF($B12="","",SUM('entri hasil dari isian siswa'!CD12:CN12))</f>
        <v>0</v>
      </c>
      <c r="AE12">
        <f>IF($B12="","",SUM('entri hasil dari isian siswa'!CO12:CY12))</f>
        <v>0</v>
      </c>
      <c r="AF12">
        <f>IF($B12="","",SUM('entri hasil dari isian siswa'!CZ12:DJ12))</f>
        <v>0</v>
      </c>
      <c r="AG12">
        <f>IF($B12="","",SUM('entri hasil dari isian siswa'!DK12:DU12))</f>
        <v>0</v>
      </c>
      <c r="AH12">
        <f>IF($B12="","",SUM('entri hasil dari isian siswa'!DV12:EF12))</f>
        <v>0</v>
      </c>
      <c r="AI12">
        <f>IF($B12="","",SUM('entri hasil dari isian siswa'!EG12:ET12))</f>
        <v>0</v>
      </c>
      <c r="AJ12">
        <f>IF($B12="","",SUM('entri hasil dari isian siswa'!EU12:FH12))</f>
        <v>0</v>
      </c>
      <c r="AK12">
        <f>IF($B12="","",SUM('entri hasil dari isian siswa'!FI12:FV12))</f>
        <v>0</v>
      </c>
      <c r="AL12">
        <f>IF($B12="","",SUM('entri hasil dari isian siswa'!FW12:GJ12))</f>
        <v>0</v>
      </c>
      <c r="AM12">
        <f>IF($B12="","",SUM('entri hasil dari isian siswa'!GK12:GX12))</f>
        <v>0</v>
      </c>
      <c r="AN12">
        <f>IF($B12="","",SUM('entri hasil dari isian siswa'!GY12:HL12))</f>
        <v>0</v>
      </c>
      <c r="AO12">
        <f>IF($B12="","",'entri hasil dari isian siswa'!HM12+'entri hasil dari isian siswa'!HS12)</f>
        <v>0</v>
      </c>
      <c r="AP12">
        <f>IF($B12="","",'entri hasil dari isian siswa'!HN12+'entri hasil dari isian siswa'!HT12)</f>
        <v>0</v>
      </c>
      <c r="AQ12">
        <f>IF($B12="","",'entri hasil dari isian siswa'!HO12+'entri hasil dari isian siswa'!HU12)</f>
        <v>0</v>
      </c>
      <c r="AR12">
        <f>IF($B12="","",'entri hasil dari isian siswa'!HP12+'entri hasil dari isian siswa'!HV12)</f>
        <v>0</v>
      </c>
      <c r="AS12">
        <f>IF($B12="","",'entri hasil dari isian siswa'!HQ12+'entri hasil dari isian siswa'!HW12)</f>
        <v>0</v>
      </c>
      <c r="AT12">
        <f>IF($B12="","",'entri hasil dari isian siswa'!HR12+'entri hasil dari isian siswa'!HX12)</f>
        <v>0</v>
      </c>
      <c r="AU12" s="69" t="str">
        <f t="shared" si="11"/>
        <v/>
      </c>
      <c r="AV12" s="69" t="str">
        <f>IF($AU12="","",IFERROR(VLOOKUP($AU12,'Kunci dari RIASEC'!$J$4:$K$33,2,FALSE),""))</f>
        <v/>
      </c>
    </row>
    <row r="13" spans="1:48">
      <c r="A13">
        <f t="shared" si="0"/>
        <v>9</v>
      </c>
      <c r="B13" t="str">
        <f>IF('entri hasil dari isian siswa'!B13="","",'entri hasil dari isian siswa'!B13)</f>
        <v>22009</v>
      </c>
      <c r="C13" t="str">
        <f>IF('entri hasil dari isian siswa'!C13="","",'entri hasil dari isian siswa'!C13)</f>
        <v>Khotimatuz Zuhriyah</v>
      </c>
      <c r="D13" t="str">
        <f>IF('entri hasil dari isian siswa'!D13="","",'entri hasil dari isian siswa'!D13)</f>
        <v>L</v>
      </c>
      <c r="E13">
        <f t="shared" si="1"/>
        <v>4</v>
      </c>
      <c r="F13">
        <f t="shared" si="2"/>
        <v>0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  <c r="K13" t="str">
        <f>IF($V13&lt;&gt;"OK","",RANK(E13,$E13:$J13,0)+COUNTIF($E13:E13,E13)-1)</f>
        <v/>
      </c>
      <c r="L13" t="str">
        <f>IF($V13&lt;&gt;"OK","",RANK(F13,$E13:$J13,0)+COUNTIF($E13:F13,F13)-1)</f>
        <v/>
      </c>
      <c r="M13" t="str">
        <f>IF($V13&lt;&gt;"OK","",RANK(G13,$E13:$J13,0)+COUNTIF($E13:G13,G13)-1)</f>
        <v/>
      </c>
      <c r="N13" t="str">
        <f>IF($V13&lt;&gt;"OK","",RANK(H13,$E13:$J13,0)+COUNTIF($E13:H13,H13)-1)</f>
        <v/>
      </c>
      <c r="O13" t="str">
        <f>IF($V13&lt;&gt;"OK","",RANK(I13,$E13:$J13,0)+COUNTIF($E13:I13,I13)-1)</f>
        <v/>
      </c>
      <c r="P13" t="str">
        <f>IF($V13&lt;&gt;"OK","",RANK(J13,$E13:$J13,0)+COUNTIF($E13:J13,J13)-1)</f>
        <v/>
      </c>
      <c r="Q13" t="str">
        <f t="shared" si="7"/>
        <v/>
      </c>
      <c r="R13" t="str">
        <f t="shared" si="8"/>
        <v/>
      </c>
      <c r="S13" t="str">
        <f t="shared" si="9"/>
        <v/>
      </c>
      <c r="T13" t="str">
        <f t="shared" si="10"/>
        <v/>
      </c>
      <c r="U13" s="1" t="str">
        <f>IF($T13="","",IFERROR(VLOOKUP($T13,'Kunci dari RIASEC'!$A$4:$B$123,2,FALSE),"Rekomendasi belum tersedia"))</f>
        <v/>
      </c>
      <c r="V13" t="str">
        <f>IF('entri hasil dari isian siswa'!B13="","",'entri hasil dari isian siswa'!HY13)</f>
        <v>Lengkapi 12 Self Estimate</v>
      </c>
      <c r="W13">
        <f>IF($B13="","",SUM('entri hasil dari isian siswa'!E13:O13))</f>
        <v>4</v>
      </c>
      <c r="X13">
        <f>IF($B13="","",SUM('entri hasil dari isian siswa'!P13:Z13))</f>
        <v>0</v>
      </c>
      <c r="Y13">
        <f>IF($B13="","",SUM('entri hasil dari isian siswa'!AA13:AK13))</f>
        <v>0</v>
      </c>
      <c r="Z13">
        <f>IF($B13="","",SUM('entri hasil dari isian siswa'!AL13:AV13))</f>
        <v>0</v>
      </c>
      <c r="AA13">
        <f>IF($B13="","",SUM('entri hasil dari isian siswa'!AW13:BG13))</f>
        <v>0</v>
      </c>
      <c r="AB13">
        <f>IF($B13="","",SUM('entri hasil dari isian siswa'!BH13:BR13))</f>
        <v>0</v>
      </c>
      <c r="AC13">
        <f>IF($B13="","",SUM('entri hasil dari isian siswa'!BS13:CC13))</f>
        <v>0</v>
      </c>
      <c r="AD13">
        <f>IF($B13="","",SUM('entri hasil dari isian siswa'!CD13:CN13))</f>
        <v>0</v>
      </c>
      <c r="AE13">
        <f>IF($B13="","",SUM('entri hasil dari isian siswa'!CO13:CY13))</f>
        <v>0</v>
      </c>
      <c r="AF13">
        <f>IF($B13="","",SUM('entri hasil dari isian siswa'!CZ13:DJ13))</f>
        <v>0</v>
      </c>
      <c r="AG13">
        <f>IF($B13="","",SUM('entri hasil dari isian siswa'!DK13:DU13))</f>
        <v>0</v>
      </c>
      <c r="AH13">
        <f>IF($B13="","",SUM('entri hasil dari isian siswa'!DV13:EF13))</f>
        <v>0</v>
      </c>
      <c r="AI13">
        <f>IF($B13="","",SUM('entri hasil dari isian siswa'!EG13:ET13))</f>
        <v>0</v>
      </c>
      <c r="AJ13">
        <f>IF($B13="","",SUM('entri hasil dari isian siswa'!EU13:FH13))</f>
        <v>0</v>
      </c>
      <c r="AK13">
        <f>IF($B13="","",SUM('entri hasil dari isian siswa'!FI13:FV13))</f>
        <v>0</v>
      </c>
      <c r="AL13">
        <f>IF($B13="","",SUM('entri hasil dari isian siswa'!FW13:GJ13))</f>
        <v>0</v>
      </c>
      <c r="AM13">
        <f>IF($B13="","",SUM('entri hasil dari isian siswa'!GK13:GX13))</f>
        <v>0</v>
      </c>
      <c r="AN13">
        <f>IF($B13="","",SUM('entri hasil dari isian siswa'!GY13:HL13))</f>
        <v>0</v>
      </c>
      <c r="AO13">
        <f>IF($B13="","",'entri hasil dari isian siswa'!HM13+'entri hasil dari isian siswa'!HS13)</f>
        <v>0</v>
      </c>
      <c r="AP13">
        <f>IF($B13="","",'entri hasil dari isian siswa'!HN13+'entri hasil dari isian siswa'!HT13)</f>
        <v>0</v>
      </c>
      <c r="AQ13">
        <f>IF($B13="","",'entri hasil dari isian siswa'!HO13+'entri hasil dari isian siswa'!HU13)</f>
        <v>0</v>
      </c>
      <c r="AR13">
        <f>IF($B13="","",'entri hasil dari isian siswa'!HP13+'entri hasil dari isian siswa'!HV13)</f>
        <v>0</v>
      </c>
      <c r="AS13">
        <f>IF($B13="","",'entri hasil dari isian siswa'!HQ13+'entri hasil dari isian siswa'!HW13)</f>
        <v>0</v>
      </c>
      <c r="AT13">
        <f>IF($B13="","",'entri hasil dari isian siswa'!HR13+'entri hasil dari isian siswa'!HX13)</f>
        <v>0</v>
      </c>
      <c r="AU13" s="69" t="str">
        <f t="shared" si="11"/>
        <v/>
      </c>
      <c r="AV13" s="69" t="str">
        <f>IF($AU13="","",IFERROR(VLOOKUP($AU13,'Kunci dari RIASEC'!$J$4:$K$33,2,FALSE),""))</f>
        <v/>
      </c>
    </row>
    <row r="14" spans="1:48">
      <c r="A14">
        <f t="shared" si="0"/>
        <v>10</v>
      </c>
      <c r="B14" t="str">
        <f>IF('entri hasil dari isian siswa'!B14="","",'entri hasil dari isian siswa'!B14)</f>
        <v>22010</v>
      </c>
      <c r="C14" t="str">
        <f>IF('entri hasil dari isian siswa'!C14="","",'entri hasil dari isian siswa'!C14)</f>
        <v>Kukuh Priyatin</v>
      </c>
      <c r="D14" t="str">
        <f>IF('entri hasil dari isian siswa'!D14="","",'entri hasil dari isian siswa'!D14)</f>
        <v>L</v>
      </c>
      <c r="E14">
        <f t="shared" si="1"/>
        <v>4</v>
      </c>
      <c r="F14">
        <f t="shared" si="2"/>
        <v>0</v>
      </c>
      <c r="G14">
        <f t="shared" si="3"/>
        <v>0</v>
      </c>
      <c r="H14">
        <f t="shared" si="4"/>
        <v>0</v>
      </c>
      <c r="I14">
        <f t="shared" si="5"/>
        <v>0</v>
      </c>
      <c r="J14">
        <f t="shared" si="6"/>
        <v>0</v>
      </c>
      <c r="K14" t="str">
        <f>IF($V14&lt;&gt;"OK","",RANK(E14,$E14:$J14,0)+COUNTIF($E14:E14,E14)-1)</f>
        <v/>
      </c>
      <c r="L14" t="str">
        <f>IF($V14&lt;&gt;"OK","",RANK(F14,$E14:$J14,0)+COUNTIF($E14:F14,F14)-1)</f>
        <v/>
      </c>
      <c r="M14" t="str">
        <f>IF($V14&lt;&gt;"OK","",RANK(G14,$E14:$J14,0)+COUNTIF($E14:G14,G14)-1)</f>
        <v/>
      </c>
      <c r="N14" t="str">
        <f>IF($V14&lt;&gt;"OK","",RANK(H14,$E14:$J14,0)+COUNTIF($E14:H14,H14)-1)</f>
        <v/>
      </c>
      <c r="O14" t="str">
        <f>IF($V14&lt;&gt;"OK","",RANK(I14,$E14:$J14,0)+COUNTIF($E14:I14,I14)-1)</f>
        <v/>
      </c>
      <c r="P14" t="str">
        <f>IF($V14&lt;&gt;"OK","",RANK(J14,$E14:$J14,0)+COUNTIF($E14:J14,J14)-1)</f>
        <v/>
      </c>
      <c r="Q14" t="str">
        <f t="shared" si="7"/>
        <v/>
      </c>
      <c r="R14" t="str">
        <f t="shared" si="8"/>
        <v/>
      </c>
      <c r="S14" t="str">
        <f t="shared" si="9"/>
        <v/>
      </c>
      <c r="T14" t="str">
        <f t="shared" si="10"/>
        <v/>
      </c>
      <c r="U14" s="1" t="str">
        <f>IF($T14="","",IFERROR(VLOOKUP($T14,'Kunci dari RIASEC'!$A$4:$B$123,2,FALSE),"Rekomendasi belum tersedia"))</f>
        <v/>
      </c>
      <c r="V14" t="str">
        <f>IF('entri hasil dari isian siswa'!B14="","",'entri hasil dari isian siswa'!HY14)</f>
        <v>Lengkapi 12 Self Estimate</v>
      </c>
      <c r="W14">
        <f>IF($B14="","",SUM('entri hasil dari isian siswa'!E14:O14))</f>
        <v>4</v>
      </c>
      <c r="X14">
        <f>IF($B14="","",SUM('entri hasil dari isian siswa'!P14:Z14))</f>
        <v>0</v>
      </c>
      <c r="Y14">
        <f>IF($B14="","",SUM('entri hasil dari isian siswa'!AA14:AK14))</f>
        <v>0</v>
      </c>
      <c r="Z14">
        <f>IF($B14="","",SUM('entri hasil dari isian siswa'!AL14:AV14))</f>
        <v>0</v>
      </c>
      <c r="AA14">
        <f>IF($B14="","",SUM('entri hasil dari isian siswa'!AW14:BG14))</f>
        <v>0</v>
      </c>
      <c r="AB14">
        <f>IF($B14="","",SUM('entri hasil dari isian siswa'!BH14:BR14))</f>
        <v>0</v>
      </c>
      <c r="AC14">
        <f>IF($B14="","",SUM('entri hasil dari isian siswa'!BS14:CC14))</f>
        <v>0</v>
      </c>
      <c r="AD14">
        <f>IF($B14="","",SUM('entri hasil dari isian siswa'!CD14:CN14))</f>
        <v>0</v>
      </c>
      <c r="AE14">
        <f>IF($B14="","",SUM('entri hasil dari isian siswa'!CO14:CY14))</f>
        <v>0</v>
      </c>
      <c r="AF14">
        <f>IF($B14="","",SUM('entri hasil dari isian siswa'!CZ14:DJ14))</f>
        <v>0</v>
      </c>
      <c r="AG14">
        <f>IF($B14="","",SUM('entri hasil dari isian siswa'!DK14:DU14))</f>
        <v>0</v>
      </c>
      <c r="AH14">
        <f>IF($B14="","",SUM('entri hasil dari isian siswa'!DV14:EF14))</f>
        <v>0</v>
      </c>
      <c r="AI14">
        <f>IF($B14="","",SUM('entri hasil dari isian siswa'!EG14:ET14))</f>
        <v>0</v>
      </c>
      <c r="AJ14">
        <f>IF($B14="","",SUM('entri hasil dari isian siswa'!EU14:FH14))</f>
        <v>0</v>
      </c>
      <c r="AK14">
        <f>IF($B14="","",SUM('entri hasil dari isian siswa'!FI14:FV14))</f>
        <v>0</v>
      </c>
      <c r="AL14">
        <f>IF($B14="","",SUM('entri hasil dari isian siswa'!FW14:GJ14))</f>
        <v>0</v>
      </c>
      <c r="AM14">
        <f>IF($B14="","",SUM('entri hasil dari isian siswa'!GK14:GX14))</f>
        <v>0</v>
      </c>
      <c r="AN14">
        <f>IF($B14="","",SUM('entri hasil dari isian siswa'!GY14:HL14))</f>
        <v>0</v>
      </c>
      <c r="AO14">
        <f>IF($B14="","",'entri hasil dari isian siswa'!HM14+'entri hasil dari isian siswa'!HS14)</f>
        <v>0</v>
      </c>
      <c r="AP14">
        <f>IF($B14="","",'entri hasil dari isian siswa'!HN14+'entri hasil dari isian siswa'!HT14)</f>
        <v>0</v>
      </c>
      <c r="AQ14">
        <f>IF($B14="","",'entri hasil dari isian siswa'!HO14+'entri hasil dari isian siswa'!HU14)</f>
        <v>0</v>
      </c>
      <c r="AR14">
        <f>IF($B14="","",'entri hasil dari isian siswa'!HP14+'entri hasil dari isian siswa'!HV14)</f>
        <v>0</v>
      </c>
      <c r="AS14">
        <f>IF($B14="","",'entri hasil dari isian siswa'!HQ14+'entri hasil dari isian siswa'!HW14)</f>
        <v>0</v>
      </c>
      <c r="AT14">
        <f>IF($B14="","",'entri hasil dari isian siswa'!HR14+'entri hasil dari isian siswa'!HX14)</f>
        <v>0</v>
      </c>
      <c r="AU14" s="69" t="str">
        <f t="shared" si="11"/>
        <v/>
      </c>
      <c r="AV14" s="69" t="str">
        <f>IF($AU14="","",IFERROR(VLOOKUP($AU14,'Kunci dari RIASEC'!$J$4:$K$33,2,FALSE),""))</f>
        <v/>
      </c>
    </row>
    <row r="15" spans="1:48">
      <c r="A15">
        <f t="shared" si="0"/>
        <v>11</v>
      </c>
      <c r="B15" t="str">
        <f>IF('entri hasil dari isian siswa'!B15="","",'entri hasil dari isian siswa'!B15)</f>
        <v>22011</v>
      </c>
      <c r="C15" t="str">
        <f>IF('entri hasil dari isian siswa'!C15="","",'entri hasil dari isian siswa'!C15)</f>
        <v>Mas Karebet Setiawan</v>
      </c>
      <c r="D15" t="str">
        <f>IF('entri hasil dari isian siswa'!D15="","",'entri hasil dari isian siswa'!D15)</f>
        <v>L</v>
      </c>
      <c r="E15">
        <f t="shared" si="1"/>
        <v>4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 t="str">
        <f>IF($V15&lt;&gt;"OK","",RANK(E15,$E15:$J15,0)+COUNTIF($E15:E15,E15)-1)</f>
        <v/>
      </c>
      <c r="L15" t="str">
        <f>IF($V15&lt;&gt;"OK","",RANK(F15,$E15:$J15,0)+COUNTIF($E15:F15,F15)-1)</f>
        <v/>
      </c>
      <c r="M15" t="str">
        <f>IF($V15&lt;&gt;"OK","",RANK(G15,$E15:$J15,0)+COUNTIF($E15:G15,G15)-1)</f>
        <v/>
      </c>
      <c r="N15" t="str">
        <f>IF($V15&lt;&gt;"OK","",RANK(H15,$E15:$J15,0)+COUNTIF($E15:H15,H15)-1)</f>
        <v/>
      </c>
      <c r="O15" t="str">
        <f>IF($V15&lt;&gt;"OK","",RANK(I15,$E15:$J15,0)+COUNTIF($E15:I15,I15)-1)</f>
        <v/>
      </c>
      <c r="P15" t="str">
        <f>IF($V15&lt;&gt;"OK","",RANK(J15,$E15:$J15,0)+COUNTIF($E15:J15,J15)-1)</f>
        <v/>
      </c>
      <c r="Q15" t="str">
        <f t="shared" si="7"/>
        <v/>
      </c>
      <c r="R15" t="str">
        <f t="shared" si="8"/>
        <v/>
      </c>
      <c r="S15" t="str">
        <f t="shared" si="9"/>
        <v/>
      </c>
      <c r="T15" t="str">
        <f t="shared" si="10"/>
        <v/>
      </c>
      <c r="U15" s="1" t="str">
        <f>IF($T15="","",IFERROR(VLOOKUP($T15,'Kunci dari RIASEC'!$A$4:$B$123,2,FALSE),"Rekomendasi belum tersedia"))</f>
        <v/>
      </c>
      <c r="V15" t="str">
        <f>IF('entri hasil dari isian siswa'!B15="","",'entri hasil dari isian siswa'!HY15)</f>
        <v>Lengkapi 12 Self Estimate</v>
      </c>
      <c r="W15">
        <f>IF($B15="","",SUM('entri hasil dari isian siswa'!E15:O15))</f>
        <v>4</v>
      </c>
      <c r="X15">
        <f>IF($B15="","",SUM('entri hasil dari isian siswa'!P15:Z15))</f>
        <v>0</v>
      </c>
      <c r="Y15">
        <f>IF($B15="","",SUM('entri hasil dari isian siswa'!AA15:AK15))</f>
        <v>0</v>
      </c>
      <c r="Z15">
        <f>IF($B15="","",SUM('entri hasil dari isian siswa'!AL15:AV15))</f>
        <v>0</v>
      </c>
      <c r="AA15">
        <f>IF($B15="","",SUM('entri hasil dari isian siswa'!AW15:BG15))</f>
        <v>0</v>
      </c>
      <c r="AB15">
        <f>IF($B15="","",SUM('entri hasil dari isian siswa'!BH15:BR15))</f>
        <v>0</v>
      </c>
      <c r="AC15">
        <f>IF($B15="","",SUM('entri hasil dari isian siswa'!BS15:CC15))</f>
        <v>0</v>
      </c>
      <c r="AD15">
        <f>IF($B15="","",SUM('entri hasil dari isian siswa'!CD15:CN15))</f>
        <v>0</v>
      </c>
      <c r="AE15">
        <f>IF($B15="","",SUM('entri hasil dari isian siswa'!CO15:CY15))</f>
        <v>0</v>
      </c>
      <c r="AF15">
        <f>IF($B15="","",SUM('entri hasil dari isian siswa'!CZ15:DJ15))</f>
        <v>0</v>
      </c>
      <c r="AG15">
        <f>IF($B15="","",SUM('entri hasil dari isian siswa'!DK15:DU15))</f>
        <v>0</v>
      </c>
      <c r="AH15">
        <f>IF($B15="","",SUM('entri hasil dari isian siswa'!DV15:EF15))</f>
        <v>0</v>
      </c>
      <c r="AI15">
        <f>IF($B15="","",SUM('entri hasil dari isian siswa'!EG15:ET15))</f>
        <v>0</v>
      </c>
      <c r="AJ15">
        <f>IF($B15="","",SUM('entri hasil dari isian siswa'!EU15:FH15))</f>
        <v>0</v>
      </c>
      <c r="AK15">
        <f>IF($B15="","",SUM('entri hasil dari isian siswa'!FI15:FV15))</f>
        <v>0</v>
      </c>
      <c r="AL15">
        <f>IF($B15="","",SUM('entri hasil dari isian siswa'!FW15:GJ15))</f>
        <v>0</v>
      </c>
      <c r="AM15">
        <f>IF($B15="","",SUM('entri hasil dari isian siswa'!GK15:GX15))</f>
        <v>0</v>
      </c>
      <c r="AN15">
        <f>IF($B15="","",SUM('entri hasil dari isian siswa'!GY15:HL15))</f>
        <v>0</v>
      </c>
      <c r="AO15">
        <f>IF($B15="","",'entri hasil dari isian siswa'!HM15+'entri hasil dari isian siswa'!HS15)</f>
        <v>0</v>
      </c>
      <c r="AP15">
        <f>IF($B15="","",'entri hasil dari isian siswa'!HN15+'entri hasil dari isian siswa'!HT15)</f>
        <v>0</v>
      </c>
      <c r="AQ15">
        <f>IF($B15="","",'entri hasil dari isian siswa'!HO15+'entri hasil dari isian siswa'!HU15)</f>
        <v>0</v>
      </c>
      <c r="AR15">
        <f>IF($B15="","",'entri hasil dari isian siswa'!HP15+'entri hasil dari isian siswa'!HV15)</f>
        <v>0</v>
      </c>
      <c r="AS15">
        <f>IF($B15="","",'entri hasil dari isian siswa'!HQ15+'entri hasil dari isian siswa'!HW15)</f>
        <v>0</v>
      </c>
      <c r="AT15">
        <f>IF($B15="","",'entri hasil dari isian siswa'!HR15+'entri hasil dari isian siswa'!HX15)</f>
        <v>0</v>
      </c>
      <c r="AU15" s="69" t="str">
        <f t="shared" si="11"/>
        <v/>
      </c>
      <c r="AV15" s="69" t="str">
        <f>IF($AU15="","",IFERROR(VLOOKUP($AU15,'Kunci dari RIASEC'!$J$4:$K$33,2,FALSE),""))</f>
        <v/>
      </c>
    </row>
    <row r="16" spans="1:48">
      <c r="A16">
        <f t="shared" si="0"/>
        <v>12</v>
      </c>
      <c r="B16" t="str">
        <f>IF('entri hasil dari isian siswa'!B16="","",'entri hasil dari isian siswa'!B16)</f>
        <v>22012</v>
      </c>
      <c r="C16" t="str">
        <f>IF('entri hasil dari isian siswa'!C16="","",'entri hasil dari isian siswa'!C16)</f>
        <v>Mauidhotul Hasanah Ismail</v>
      </c>
      <c r="D16" t="str">
        <f>IF('entri hasil dari isian siswa'!D16="","",'entri hasil dari isian siswa'!D16)</f>
        <v>L</v>
      </c>
      <c r="E16">
        <f t="shared" si="1"/>
        <v>4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 t="str">
        <f>IF($V16&lt;&gt;"OK","",RANK(E16,$E16:$J16,0)+COUNTIF($E16:E16,E16)-1)</f>
        <v/>
      </c>
      <c r="L16" t="str">
        <f>IF($V16&lt;&gt;"OK","",RANK(F16,$E16:$J16,0)+COUNTIF($E16:F16,F16)-1)</f>
        <v/>
      </c>
      <c r="M16" t="str">
        <f>IF($V16&lt;&gt;"OK","",RANK(G16,$E16:$J16,0)+COUNTIF($E16:G16,G16)-1)</f>
        <v/>
      </c>
      <c r="N16" t="str">
        <f>IF($V16&lt;&gt;"OK","",RANK(H16,$E16:$J16,0)+COUNTIF($E16:H16,H16)-1)</f>
        <v/>
      </c>
      <c r="O16" t="str">
        <f>IF($V16&lt;&gt;"OK","",RANK(I16,$E16:$J16,0)+COUNTIF($E16:I16,I16)-1)</f>
        <v/>
      </c>
      <c r="P16" t="str">
        <f>IF($V16&lt;&gt;"OK","",RANK(J16,$E16:$J16,0)+COUNTIF($E16:J16,J16)-1)</f>
        <v/>
      </c>
      <c r="Q16" t="str">
        <f t="shared" si="7"/>
        <v/>
      </c>
      <c r="R16" t="str">
        <f t="shared" si="8"/>
        <v/>
      </c>
      <c r="S16" t="str">
        <f t="shared" si="9"/>
        <v/>
      </c>
      <c r="T16" t="str">
        <f t="shared" si="10"/>
        <v/>
      </c>
      <c r="U16" s="1" t="str">
        <f>IF($T16="","",IFERROR(VLOOKUP($T16,'Kunci dari RIASEC'!$A$4:$B$123,2,FALSE),"Rekomendasi belum tersedia"))</f>
        <v/>
      </c>
      <c r="V16" t="str">
        <f>IF('entri hasil dari isian siswa'!B16="","",'entri hasil dari isian siswa'!HY16)</f>
        <v>Lengkapi 12 Self Estimate</v>
      </c>
      <c r="W16">
        <f>IF($B16="","",SUM('entri hasil dari isian siswa'!E16:O16))</f>
        <v>4</v>
      </c>
      <c r="X16">
        <f>IF($B16="","",SUM('entri hasil dari isian siswa'!P16:Z16))</f>
        <v>0</v>
      </c>
      <c r="Y16">
        <f>IF($B16="","",SUM('entri hasil dari isian siswa'!AA16:AK16))</f>
        <v>0</v>
      </c>
      <c r="Z16">
        <f>IF($B16="","",SUM('entri hasil dari isian siswa'!AL16:AV16))</f>
        <v>0</v>
      </c>
      <c r="AA16">
        <f>IF($B16="","",SUM('entri hasil dari isian siswa'!AW16:BG16))</f>
        <v>0</v>
      </c>
      <c r="AB16">
        <f>IF($B16="","",SUM('entri hasil dari isian siswa'!BH16:BR16))</f>
        <v>0</v>
      </c>
      <c r="AC16">
        <f>IF($B16="","",SUM('entri hasil dari isian siswa'!BS16:CC16))</f>
        <v>0</v>
      </c>
      <c r="AD16">
        <f>IF($B16="","",SUM('entri hasil dari isian siswa'!CD16:CN16))</f>
        <v>0</v>
      </c>
      <c r="AE16">
        <f>IF($B16="","",SUM('entri hasil dari isian siswa'!CO16:CY16))</f>
        <v>0</v>
      </c>
      <c r="AF16">
        <f>IF($B16="","",SUM('entri hasil dari isian siswa'!CZ16:DJ16))</f>
        <v>0</v>
      </c>
      <c r="AG16">
        <f>IF($B16="","",SUM('entri hasil dari isian siswa'!DK16:DU16))</f>
        <v>0</v>
      </c>
      <c r="AH16">
        <f>IF($B16="","",SUM('entri hasil dari isian siswa'!DV16:EF16))</f>
        <v>0</v>
      </c>
      <c r="AI16">
        <f>IF($B16="","",SUM('entri hasil dari isian siswa'!EG16:ET16))</f>
        <v>0</v>
      </c>
      <c r="AJ16">
        <f>IF($B16="","",SUM('entri hasil dari isian siswa'!EU16:FH16))</f>
        <v>0</v>
      </c>
      <c r="AK16">
        <f>IF($B16="","",SUM('entri hasil dari isian siswa'!FI16:FV16))</f>
        <v>0</v>
      </c>
      <c r="AL16">
        <f>IF($B16="","",SUM('entri hasil dari isian siswa'!FW16:GJ16))</f>
        <v>0</v>
      </c>
      <c r="AM16">
        <f>IF($B16="","",SUM('entri hasil dari isian siswa'!GK16:GX16))</f>
        <v>0</v>
      </c>
      <c r="AN16">
        <f>IF($B16="","",SUM('entri hasil dari isian siswa'!GY16:HL16))</f>
        <v>0</v>
      </c>
      <c r="AO16">
        <f>IF($B16="","",'entri hasil dari isian siswa'!HM16+'entri hasil dari isian siswa'!HS16)</f>
        <v>0</v>
      </c>
      <c r="AP16">
        <f>IF($B16="","",'entri hasil dari isian siswa'!HN16+'entri hasil dari isian siswa'!HT16)</f>
        <v>0</v>
      </c>
      <c r="AQ16">
        <f>IF($B16="","",'entri hasil dari isian siswa'!HO16+'entri hasil dari isian siswa'!HU16)</f>
        <v>0</v>
      </c>
      <c r="AR16">
        <f>IF($B16="","",'entri hasil dari isian siswa'!HP16+'entri hasil dari isian siswa'!HV16)</f>
        <v>0</v>
      </c>
      <c r="AS16">
        <f>IF($B16="","",'entri hasil dari isian siswa'!HQ16+'entri hasil dari isian siswa'!HW16)</f>
        <v>0</v>
      </c>
      <c r="AT16">
        <f>IF($B16="","",'entri hasil dari isian siswa'!HR16+'entri hasil dari isian siswa'!HX16)</f>
        <v>0</v>
      </c>
      <c r="AU16" s="69" t="str">
        <f t="shared" si="11"/>
        <v/>
      </c>
      <c r="AV16" s="69" t="str">
        <f>IF($AU16="","",IFERROR(VLOOKUP($AU16,'Kunci dari RIASEC'!$J$4:$K$33,2,FALSE),""))</f>
        <v/>
      </c>
    </row>
    <row r="17" spans="1:48">
      <c r="A17">
        <f t="shared" si="0"/>
        <v>13</v>
      </c>
      <c r="B17" t="str">
        <f>IF('entri hasil dari isian siswa'!B17="","",'entri hasil dari isian siswa'!B17)</f>
        <v>22013</v>
      </c>
      <c r="C17" t="str">
        <f>IF('entri hasil dari isian siswa'!C17="","",'entri hasil dari isian siswa'!C17)</f>
        <v>Ririn Fauziyah</v>
      </c>
      <c r="D17" t="str">
        <f>IF('entri hasil dari isian siswa'!D17="","",'entri hasil dari isian siswa'!D17)</f>
        <v>L</v>
      </c>
      <c r="E17">
        <f t="shared" si="1"/>
        <v>4</v>
      </c>
      <c r="F17">
        <f t="shared" si="2"/>
        <v>0</v>
      </c>
      <c r="G17">
        <f t="shared" si="3"/>
        <v>0</v>
      </c>
      <c r="H17">
        <f t="shared" si="4"/>
        <v>0</v>
      </c>
      <c r="I17">
        <f t="shared" si="5"/>
        <v>0</v>
      </c>
      <c r="J17">
        <f t="shared" si="6"/>
        <v>0</v>
      </c>
      <c r="K17" t="str">
        <f>IF($V17&lt;&gt;"OK","",RANK(E17,$E17:$J17,0)+COUNTIF($E17:E17,E17)-1)</f>
        <v/>
      </c>
      <c r="L17" t="str">
        <f>IF($V17&lt;&gt;"OK","",RANK(F17,$E17:$J17,0)+COUNTIF($E17:F17,F17)-1)</f>
        <v/>
      </c>
      <c r="M17" t="str">
        <f>IF($V17&lt;&gt;"OK","",RANK(G17,$E17:$J17,0)+COUNTIF($E17:G17,G17)-1)</f>
        <v/>
      </c>
      <c r="N17" t="str">
        <f>IF($V17&lt;&gt;"OK","",RANK(H17,$E17:$J17,0)+COUNTIF($E17:H17,H17)-1)</f>
        <v/>
      </c>
      <c r="O17" t="str">
        <f>IF($V17&lt;&gt;"OK","",RANK(I17,$E17:$J17,0)+COUNTIF($E17:I17,I17)-1)</f>
        <v/>
      </c>
      <c r="P17" t="str">
        <f>IF($V17&lt;&gt;"OK","",RANK(J17,$E17:$J17,0)+COUNTIF($E17:J17,J17)-1)</f>
        <v/>
      </c>
      <c r="Q17" t="str">
        <f t="shared" si="7"/>
        <v/>
      </c>
      <c r="R17" t="str">
        <f t="shared" si="8"/>
        <v/>
      </c>
      <c r="S17" t="str">
        <f t="shared" si="9"/>
        <v/>
      </c>
      <c r="T17" t="str">
        <f t="shared" si="10"/>
        <v/>
      </c>
      <c r="U17" s="1" t="str">
        <f>IF($T17="","",IFERROR(VLOOKUP($T17,'Kunci dari RIASEC'!$A$4:$B$123,2,FALSE),"Rekomendasi belum tersedia"))</f>
        <v/>
      </c>
      <c r="V17" t="str">
        <f>IF('entri hasil dari isian siswa'!B17="","",'entri hasil dari isian siswa'!HY17)</f>
        <v>Lengkapi 12 Self Estimate</v>
      </c>
      <c r="W17">
        <f>IF($B17="","",SUM('entri hasil dari isian siswa'!E17:O17))</f>
        <v>4</v>
      </c>
      <c r="X17">
        <f>IF($B17="","",SUM('entri hasil dari isian siswa'!P17:Z17))</f>
        <v>0</v>
      </c>
      <c r="Y17">
        <f>IF($B17="","",SUM('entri hasil dari isian siswa'!AA17:AK17))</f>
        <v>0</v>
      </c>
      <c r="Z17">
        <f>IF($B17="","",SUM('entri hasil dari isian siswa'!AL17:AV17))</f>
        <v>0</v>
      </c>
      <c r="AA17">
        <f>IF($B17="","",SUM('entri hasil dari isian siswa'!AW17:BG17))</f>
        <v>0</v>
      </c>
      <c r="AB17">
        <f>IF($B17="","",SUM('entri hasil dari isian siswa'!BH17:BR17))</f>
        <v>0</v>
      </c>
      <c r="AC17">
        <f>IF($B17="","",SUM('entri hasil dari isian siswa'!BS17:CC17))</f>
        <v>0</v>
      </c>
      <c r="AD17">
        <f>IF($B17="","",SUM('entri hasil dari isian siswa'!CD17:CN17))</f>
        <v>0</v>
      </c>
      <c r="AE17">
        <f>IF($B17="","",SUM('entri hasil dari isian siswa'!CO17:CY17))</f>
        <v>0</v>
      </c>
      <c r="AF17">
        <f>IF($B17="","",SUM('entri hasil dari isian siswa'!CZ17:DJ17))</f>
        <v>0</v>
      </c>
      <c r="AG17">
        <f>IF($B17="","",SUM('entri hasil dari isian siswa'!DK17:DU17))</f>
        <v>0</v>
      </c>
      <c r="AH17">
        <f>IF($B17="","",SUM('entri hasil dari isian siswa'!DV17:EF17))</f>
        <v>0</v>
      </c>
      <c r="AI17">
        <f>IF($B17="","",SUM('entri hasil dari isian siswa'!EG17:ET17))</f>
        <v>0</v>
      </c>
      <c r="AJ17">
        <f>IF($B17="","",SUM('entri hasil dari isian siswa'!EU17:FH17))</f>
        <v>0</v>
      </c>
      <c r="AK17">
        <f>IF($B17="","",SUM('entri hasil dari isian siswa'!FI17:FV17))</f>
        <v>0</v>
      </c>
      <c r="AL17">
        <f>IF($B17="","",SUM('entri hasil dari isian siswa'!FW17:GJ17))</f>
        <v>0</v>
      </c>
      <c r="AM17">
        <f>IF($B17="","",SUM('entri hasil dari isian siswa'!GK17:GX17))</f>
        <v>0</v>
      </c>
      <c r="AN17">
        <f>IF($B17="","",SUM('entri hasil dari isian siswa'!GY17:HL17))</f>
        <v>0</v>
      </c>
      <c r="AO17">
        <f>IF($B17="","",'entri hasil dari isian siswa'!HM17+'entri hasil dari isian siswa'!HS17)</f>
        <v>0</v>
      </c>
      <c r="AP17">
        <f>IF($B17="","",'entri hasil dari isian siswa'!HN17+'entri hasil dari isian siswa'!HT17)</f>
        <v>0</v>
      </c>
      <c r="AQ17">
        <f>IF($B17="","",'entri hasil dari isian siswa'!HO17+'entri hasil dari isian siswa'!HU17)</f>
        <v>0</v>
      </c>
      <c r="AR17">
        <f>IF($B17="","",'entri hasil dari isian siswa'!HP17+'entri hasil dari isian siswa'!HV17)</f>
        <v>0</v>
      </c>
      <c r="AS17">
        <f>IF($B17="","",'entri hasil dari isian siswa'!HQ17+'entri hasil dari isian siswa'!HW17)</f>
        <v>0</v>
      </c>
      <c r="AT17">
        <f>IF($B17="","",'entri hasil dari isian siswa'!HR17+'entri hasil dari isian siswa'!HX17)</f>
        <v>0</v>
      </c>
      <c r="AU17" s="69" t="str">
        <f t="shared" si="11"/>
        <v/>
      </c>
      <c r="AV17" s="69" t="str">
        <f>IF($AU17="","",IFERROR(VLOOKUP($AU17,'Kunci dari RIASEC'!$J$4:$K$33,2,FALSE),""))</f>
        <v/>
      </c>
    </row>
    <row r="18" spans="1:48">
      <c r="A18">
        <f t="shared" si="0"/>
        <v>14</v>
      </c>
      <c r="B18" t="str">
        <f>IF('entri hasil dari isian siswa'!B18="","",'entri hasil dari isian siswa'!B18)</f>
        <v>22014</v>
      </c>
      <c r="C18" t="str">
        <f>IF('entri hasil dari isian siswa'!C18="","",'entri hasil dari isian siswa'!C18)</f>
        <v>Ulfatul Maula</v>
      </c>
      <c r="D18" t="str">
        <f>IF('entri hasil dari isian siswa'!D18="","",'entri hasil dari isian siswa'!D18)</f>
        <v>L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4"/>
        <v>0</v>
      </c>
      <c r="I18">
        <f t="shared" si="5"/>
        <v>0</v>
      </c>
      <c r="J18">
        <f t="shared" si="6"/>
        <v>0</v>
      </c>
      <c r="K18" t="str">
        <f>IF($V18&lt;&gt;"OK","",RANK(E18,$E18:$J18,0)+COUNTIF($E18:E18,E18)-1)</f>
        <v/>
      </c>
      <c r="L18" t="str">
        <f>IF($V18&lt;&gt;"OK","",RANK(F18,$E18:$J18,0)+COUNTIF($E18:F18,F18)-1)</f>
        <v/>
      </c>
      <c r="M18" t="str">
        <f>IF($V18&lt;&gt;"OK","",RANK(G18,$E18:$J18,0)+COUNTIF($E18:G18,G18)-1)</f>
        <v/>
      </c>
      <c r="N18" t="str">
        <f>IF($V18&lt;&gt;"OK","",RANK(H18,$E18:$J18,0)+COUNTIF($E18:H18,H18)-1)</f>
        <v/>
      </c>
      <c r="O18" t="str">
        <f>IF($V18&lt;&gt;"OK","",RANK(I18,$E18:$J18,0)+COUNTIF($E18:I18,I18)-1)</f>
        <v/>
      </c>
      <c r="P18" t="str">
        <f>IF($V18&lt;&gt;"OK","",RANK(J18,$E18:$J18,0)+COUNTIF($E18:J18,J18)-1)</f>
        <v/>
      </c>
      <c r="Q18" t="str">
        <f t="shared" si="7"/>
        <v/>
      </c>
      <c r="R18" t="str">
        <f t="shared" si="8"/>
        <v/>
      </c>
      <c r="S18" t="str">
        <f t="shared" si="9"/>
        <v/>
      </c>
      <c r="T18" t="str">
        <f t="shared" si="10"/>
        <v/>
      </c>
      <c r="U18" s="1" t="str">
        <f>IF($T18="","",IFERROR(VLOOKUP($T18,'Kunci dari RIASEC'!$A$4:$B$123,2,FALSE),"Rekomendasi belum tersedia"))</f>
        <v/>
      </c>
      <c r="V18" t="str">
        <f>IF('entri hasil dari isian siswa'!B18="","",'entri hasil dari isian siswa'!HY18)</f>
        <v>Lengkapi 12 Self Estimate</v>
      </c>
      <c r="W18">
        <f>IF($B18="","",SUM('entri hasil dari isian siswa'!E18:O18))</f>
        <v>0</v>
      </c>
      <c r="X18">
        <f>IF($B18="","",SUM('entri hasil dari isian siswa'!P18:Z18))</f>
        <v>0</v>
      </c>
      <c r="Y18">
        <f>IF($B18="","",SUM('entri hasil dari isian siswa'!AA18:AK18))</f>
        <v>0</v>
      </c>
      <c r="Z18">
        <f>IF($B18="","",SUM('entri hasil dari isian siswa'!AL18:AV18))</f>
        <v>0</v>
      </c>
      <c r="AA18">
        <f>IF($B18="","",SUM('entri hasil dari isian siswa'!AW18:BG18))</f>
        <v>0</v>
      </c>
      <c r="AB18">
        <f>IF($B18="","",SUM('entri hasil dari isian siswa'!BH18:BR18))</f>
        <v>0</v>
      </c>
      <c r="AC18">
        <f>IF($B18="","",SUM('entri hasil dari isian siswa'!BS18:CC18))</f>
        <v>0</v>
      </c>
      <c r="AD18">
        <f>IF($B18="","",SUM('entri hasil dari isian siswa'!CD18:CN18))</f>
        <v>0</v>
      </c>
      <c r="AE18">
        <f>IF($B18="","",SUM('entri hasil dari isian siswa'!CO18:CY18))</f>
        <v>0</v>
      </c>
      <c r="AF18">
        <f>IF($B18="","",SUM('entri hasil dari isian siswa'!CZ18:DJ18))</f>
        <v>0</v>
      </c>
      <c r="AG18">
        <f>IF($B18="","",SUM('entri hasil dari isian siswa'!DK18:DU18))</f>
        <v>0</v>
      </c>
      <c r="AH18">
        <f>IF($B18="","",SUM('entri hasil dari isian siswa'!DV18:EF18))</f>
        <v>0</v>
      </c>
      <c r="AI18">
        <f>IF($B18="","",SUM('entri hasil dari isian siswa'!EG18:ET18))</f>
        <v>0</v>
      </c>
      <c r="AJ18">
        <f>IF($B18="","",SUM('entri hasil dari isian siswa'!EU18:FH18))</f>
        <v>0</v>
      </c>
      <c r="AK18">
        <f>IF($B18="","",SUM('entri hasil dari isian siswa'!FI18:FV18))</f>
        <v>0</v>
      </c>
      <c r="AL18">
        <f>IF($B18="","",SUM('entri hasil dari isian siswa'!FW18:GJ18))</f>
        <v>0</v>
      </c>
      <c r="AM18">
        <f>IF($B18="","",SUM('entri hasil dari isian siswa'!GK18:GX18))</f>
        <v>0</v>
      </c>
      <c r="AN18">
        <f>IF($B18="","",SUM('entri hasil dari isian siswa'!GY18:HL18))</f>
        <v>0</v>
      </c>
      <c r="AO18">
        <f>IF($B18="","",'entri hasil dari isian siswa'!HM18+'entri hasil dari isian siswa'!HS18)</f>
        <v>0</v>
      </c>
      <c r="AP18">
        <f>IF($B18="","",'entri hasil dari isian siswa'!HN18+'entri hasil dari isian siswa'!HT18)</f>
        <v>0</v>
      </c>
      <c r="AQ18">
        <f>IF($B18="","",'entri hasil dari isian siswa'!HO18+'entri hasil dari isian siswa'!HU18)</f>
        <v>0</v>
      </c>
      <c r="AR18">
        <f>IF($B18="","",'entri hasil dari isian siswa'!HP18+'entri hasil dari isian siswa'!HV18)</f>
        <v>0</v>
      </c>
      <c r="AS18">
        <f>IF($B18="","",'entri hasil dari isian siswa'!HQ18+'entri hasil dari isian siswa'!HW18)</f>
        <v>0</v>
      </c>
      <c r="AT18">
        <f>IF($B18="","",'entri hasil dari isian siswa'!HR18+'entri hasil dari isian siswa'!HX18)</f>
        <v>0</v>
      </c>
      <c r="AU18" s="69" t="str">
        <f t="shared" si="11"/>
        <v/>
      </c>
      <c r="AV18" s="69" t="str">
        <f>IF($AU18="","",IFERROR(VLOOKUP($AU18,'Kunci dari RIASEC'!$J$4:$K$33,2,FALSE),""))</f>
        <v/>
      </c>
    </row>
    <row r="19" spans="1:48">
      <c r="A19">
        <f t="shared" si="0"/>
        <v>15</v>
      </c>
      <c r="B19" t="str">
        <f>IF('entri hasil dari isian siswa'!B19="","",'entri hasil dari isian siswa'!B19)</f>
        <v>22015</v>
      </c>
      <c r="C19" t="str">
        <f>IF('entri hasil dari isian siswa'!C19="","",'entri hasil dari isian siswa'!C19)</f>
        <v>Rizki Imam Fauzi</v>
      </c>
      <c r="D19" t="str">
        <f>IF('entri hasil dari isian siswa'!D19="","",'entri hasil dari isian siswa'!D19)</f>
        <v>L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0</v>
      </c>
      <c r="I19">
        <f t="shared" si="5"/>
        <v>0</v>
      </c>
      <c r="J19">
        <f t="shared" si="6"/>
        <v>0</v>
      </c>
      <c r="K19" t="str">
        <f>IF($V19&lt;&gt;"OK","",RANK(E19,$E19:$J19,0)+COUNTIF($E19:E19,E19)-1)</f>
        <v/>
      </c>
      <c r="L19" t="str">
        <f>IF($V19&lt;&gt;"OK","",RANK(F19,$E19:$J19,0)+COUNTIF($E19:F19,F19)-1)</f>
        <v/>
      </c>
      <c r="M19" t="str">
        <f>IF($V19&lt;&gt;"OK","",RANK(G19,$E19:$J19,0)+COUNTIF($E19:G19,G19)-1)</f>
        <v/>
      </c>
      <c r="N19" t="str">
        <f>IF($V19&lt;&gt;"OK","",RANK(H19,$E19:$J19,0)+COUNTIF($E19:H19,H19)-1)</f>
        <v/>
      </c>
      <c r="O19" t="str">
        <f>IF($V19&lt;&gt;"OK","",RANK(I19,$E19:$J19,0)+COUNTIF($E19:I19,I19)-1)</f>
        <v/>
      </c>
      <c r="P19" t="str">
        <f>IF($V19&lt;&gt;"OK","",RANK(J19,$E19:$J19,0)+COUNTIF($E19:J19,J19)-1)</f>
        <v/>
      </c>
      <c r="Q19" t="str">
        <f t="shared" si="7"/>
        <v/>
      </c>
      <c r="R19" t="str">
        <f t="shared" si="8"/>
        <v/>
      </c>
      <c r="S19" t="str">
        <f t="shared" si="9"/>
        <v/>
      </c>
      <c r="T19" t="str">
        <f t="shared" si="10"/>
        <v/>
      </c>
      <c r="U19" s="1" t="str">
        <f>IF($T19="","",IFERROR(VLOOKUP($T19,'Kunci dari RIASEC'!$A$4:$B$123,2,FALSE),"Rekomendasi belum tersedia"))</f>
        <v/>
      </c>
      <c r="V19" t="str">
        <f>IF('entri hasil dari isian siswa'!B19="","",'entri hasil dari isian siswa'!HY19)</f>
        <v>Lengkapi 12 Self Estimate</v>
      </c>
      <c r="W19">
        <f>IF($B19="","",SUM('entri hasil dari isian siswa'!E19:O19))</f>
        <v>0</v>
      </c>
      <c r="X19">
        <f>IF($B19="","",SUM('entri hasil dari isian siswa'!P19:Z19))</f>
        <v>0</v>
      </c>
      <c r="Y19">
        <f>IF($B19="","",SUM('entri hasil dari isian siswa'!AA19:AK19))</f>
        <v>0</v>
      </c>
      <c r="Z19">
        <f>IF($B19="","",SUM('entri hasil dari isian siswa'!AL19:AV19))</f>
        <v>0</v>
      </c>
      <c r="AA19">
        <f>IF($B19="","",SUM('entri hasil dari isian siswa'!AW19:BG19))</f>
        <v>0</v>
      </c>
      <c r="AB19">
        <f>IF($B19="","",SUM('entri hasil dari isian siswa'!BH19:BR19))</f>
        <v>0</v>
      </c>
      <c r="AC19">
        <f>IF($B19="","",SUM('entri hasil dari isian siswa'!BS19:CC19))</f>
        <v>0</v>
      </c>
      <c r="AD19">
        <f>IF($B19="","",SUM('entri hasil dari isian siswa'!CD19:CN19))</f>
        <v>0</v>
      </c>
      <c r="AE19">
        <f>IF($B19="","",SUM('entri hasil dari isian siswa'!CO19:CY19))</f>
        <v>0</v>
      </c>
      <c r="AF19">
        <f>IF($B19="","",SUM('entri hasil dari isian siswa'!CZ19:DJ19))</f>
        <v>0</v>
      </c>
      <c r="AG19">
        <f>IF($B19="","",SUM('entri hasil dari isian siswa'!DK19:DU19))</f>
        <v>0</v>
      </c>
      <c r="AH19">
        <f>IF($B19="","",SUM('entri hasil dari isian siswa'!DV19:EF19))</f>
        <v>0</v>
      </c>
      <c r="AI19">
        <f>IF($B19="","",SUM('entri hasil dari isian siswa'!EG19:ET19))</f>
        <v>0</v>
      </c>
      <c r="AJ19">
        <f>IF($B19="","",SUM('entri hasil dari isian siswa'!EU19:FH19))</f>
        <v>0</v>
      </c>
      <c r="AK19">
        <f>IF($B19="","",SUM('entri hasil dari isian siswa'!FI19:FV19))</f>
        <v>0</v>
      </c>
      <c r="AL19">
        <f>IF($B19="","",SUM('entri hasil dari isian siswa'!FW19:GJ19))</f>
        <v>0</v>
      </c>
      <c r="AM19">
        <f>IF($B19="","",SUM('entri hasil dari isian siswa'!GK19:GX19))</f>
        <v>0</v>
      </c>
      <c r="AN19">
        <f>IF($B19="","",SUM('entri hasil dari isian siswa'!GY19:HL19))</f>
        <v>0</v>
      </c>
      <c r="AO19">
        <f>IF($B19="","",'entri hasil dari isian siswa'!HM19+'entri hasil dari isian siswa'!HS19)</f>
        <v>0</v>
      </c>
      <c r="AP19">
        <f>IF($B19="","",'entri hasil dari isian siswa'!HN19+'entri hasil dari isian siswa'!HT19)</f>
        <v>0</v>
      </c>
      <c r="AQ19">
        <f>IF($B19="","",'entri hasil dari isian siswa'!HO19+'entri hasil dari isian siswa'!HU19)</f>
        <v>0</v>
      </c>
      <c r="AR19">
        <f>IF($B19="","",'entri hasil dari isian siswa'!HP19+'entri hasil dari isian siswa'!HV19)</f>
        <v>0</v>
      </c>
      <c r="AS19">
        <f>IF($B19="","",'entri hasil dari isian siswa'!HQ19+'entri hasil dari isian siswa'!HW19)</f>
        <v>0</v>
      </c>
      <c r="AT19">
        <f>IF($B19="","",'entri hasil dari isian siswa'!HR19+'entri hasil dari isian siswa'!HX19)</f>
        <v>0</v>
      </c>
      <c r="AU19" s="69" t="str">
        <f t="shared" si="11"/>
        <v/>
      </c>
      <c r="AV19" s="69" t="str">
        <f>IF($AU19="","",IFERROR(VLOOKUP($AU19,'Kunci dari RIASEC'!$J$4:$K$33,2,FALSE),""))</f>
        <v/>
      </c>
    </row>
    <row r="20" spans="1:48">
      <c r="A20">
        <f t="shared" si="0"/>
        <v>16</v>
      </c>
      <c r="B20" t="str">
        <f>IF('entri hasil dari isian siswa'!B20="","",'entri hasil dari isian siswa'!B20)</f>
        <v>22016</v>
      </c>
      <c r="C20" t="str">
        <f>IF('entri hasil dari isian siswa'!C20="","",'entri hasil dari isian siswa'!C20)</f>
        <v>Siti Arisah</v>
      </c>
      <c r="D20" t="str">
        <f>IF('entri hasil dari isian siswa'!D20="","",'entri hasil dari isian siswa'!D20)</f>
        <v>L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0</v>
      </c>
      <c r="K20" t="str">
        <f>IF($V20&lt;&gt;"OK","",RANK(E20,$E20:$J20,0)+COUNTIF($E20:E20,E20)-1)</f>
        <v/>
      </c>
      <c r="L20" t="str">
        <f>IF($V20&lt;&gt;"OK","",RANK(F20,$E20:$J20,0)+COUNTIF($E20:F20,F20)-1)</f>
        <v/>
      </c>
      <c r="M20" t="str">
        <f>IF($V20&lt;&gt;"OK","",RANK(G20,$E20:$J20,0)+COUNTIF($E20:G20,G20)-1)</f>
        <v/>
      </c>
      <c r="N20" t="str">
        <f>IF($V20&lt;&gt;"OK","",RANK(H20,$E20:$J20,0)+COUNTIF($E20:H20,H20)-1)</f>
        <v/>
      </c>
      <c r="O20" t="str">
        <f>IF($V20&lt;&gt;"OK","",RANK(I20,$E20:$J20,0)+COUNTIF($E20:I20,I20)-1)</f>
        <v/>
      </c>
      <c r="P20" t="str">
        <f>IF($V20&lt;&gt;"OK","",RANK(J20,$E20:$J20,0)+COUNTIF($E20:J20,J20)-1)</f>
        <v/>
      </c>
      <c r="Q20" t="str">
        <f t="shared" si="7"/>
        <v/>
      </c>
      <c r="R20" t="str">
        <f t="shared" si="8"/>
        <v/>
      </c>
      <c r="S20" t="str">
        <f t="shared" si="9"/>
        <v/>
      </c>
      <c r="T20" t="str">
        <f t="shared" si="10"/>
        <v/>
      </c>
      <c r="U20" s="1" t="str">
        <f>IF($T20="","",IFERROR(VLOOKUP($T20,'Kunci dari RIASEC'!$A$4:$B$123,2,FALSE),"Rekomendasi belum tersedia"))</f>
        <v/>
      </c>
      <c r="V20" t="str">
        <f>IF('entri hasil dari isian siswa'!B20="","",'entri hasil dari isian siswa'!HY20)</f>
        <v>Lengkapi 12 Self Estimate</v>
      </c>
      <c r="W20">
        <f>IF($B20="","",SUM('entri hasil dari isian siswa'!E20:O20))</f>
        <v>0</v>
      </c>
      <c r="X20">
        <f>IF($B20="","",SUM('entri hasil dari isian siswa'!P20:Z20))</f>
        <v>0</v>
      </c>
      <c r="Y20">
        <f>IF($B20="","",SUM('entri hasil dari isian siswa'!AA20:AK20))</f>
        <v>0</v>
      </c>
      <c r="Z20">
        <f>IF($B20="","",SUM('entri hasil dari isian siswa'!AL20:AV20))</f>
        <v>0</v>
      </c>
      <c r="AA20">
        <f>IF($B20="","",SUM('entri hasil dari isian siswa'!AW20:BG20))</f>
        <v>0</v>
      </c>
      <c r="AB20">
        <f>IF($B20="","",SUM('entri hasil dari isian siswa'!BH20:BR20))</f>
        <v>0</v>
      </c>
      <c r="AC20">
        <f>IF($B20="","",SUM('entri hasil dari isian siswa'!BS20:CC20))</f>
        <v>0</v>
      </c>
      <c r="AD20">
        <f>IF($B20="","",SUM('entri hasil dari isian siswa'!CD20:CN20))</f>
        <v>0</v>
      </c>
      <c r="AE20">
        <f>IF($B20="","",SUM('entri hasil dari isian siswa'!CO20:CY20))</f>
        <v>0</v>
      </c>
      <c r="AF20">
        <f>IF($B20="","",SUM('entri hasil dari isian siswa'!CZ20:DJ20))</f>
        <v>0</v>
      </c>
      <c r="AG20">
        <f>IF($B20="","",SUM('entri hasil dari isian siswa'!DK20:DU20))</f>
        <v>0</v>
      </c>
      <c r="AH20">
        <f>IF($B20="","",SUM('entri hasil dari isian siswa'!DV20:EF20))</f>
        <v>0</v>
      </c>
      <c r="AI20">
        <f>IF($B20="","",SUM('entri hasil dari isian siswa'!EG20:ET20))</f>
        <v>0</v>
      </c>
      <c r="AJ20">
        <f>IF($B20="","",SUM('entri hasil dari isian siswa'!EU20:FH20))</f>
        <v>0</v>
      </c>
      <c r="AK20">
        <f>IF($B20="","",SUM('entri hasil dari isian siswa'!FI20:FV20))</f>
        <v>0</v>
      </c>
      <c r="AL20">
        <f>IF($B20="","",SUM('entri hasil dari isian siswa'!FW20:GJ20))</f>
        <v>0</v>
      </c>
      <c r="AM20">
        <f>IF($B20="","",SUM('entri hasil dari isian siswa'!GK20:GX20))</f>
        <v>0</v>
      </c>
      <c r="AN20">
        <f>IF($B20="","",SUM('entri hasil dari isian siswa'!GY20:HL20))</f>
        <v>0</v>
      </c>
      <c r="AO20">
        <f>IF($B20="","",'entri hasil dari isian siswa'!HM20+'entri hasil dari isian siswa'!HS20)</f>
        <v>0</v>
      </c>
      <c r="AP20">
        <f>IF($B20="","",'entri hasil dari isian siswa'!HN20+'entri hasil dari isian siswa'!HT20)</f>
        <v>0</v>
      </c>
      <c r="AQ20">
        <f>IF($B20="","",'entri hasil dari isian siswa'!HO20+'entri hasil dari isian siswa'!HU20)</f>
        <v>0</v>
      </c>
      <c r="AR20">
        <f>IF($B20="","",'entri hasil dari isian siswa'!HP20+'entri hasil dari isian siswa'!HV20)</f>
        <v>0</v>
      </c>
      <c r="AS20">
        <f>IF($B20="","",'entri hasil dari isian siswa'!HQ20+'entri hasil dari isian siswa'!HW20)</f>
        <v>0</v>
      </c>
      <c r="AT20">
        <f>IF($B20="","",'entri hasil dari isian siswa'!HR20+'entri hasil dari isian siswa'!HX20)</f>
        <v>0</v>
      </c>
      <c r="AU20" s="69" t="str">
        <f t="shared" si="11"/>
        <v/>
      </c>
      <c r="AV20" s="69" t="str">
        <f>IF($AU20="","",IFERROR(VLOOKUP($AU20,'Kunci dari RIASEC'!$J$4:$K$33,2,FALSE),""))</f>
        <v/>
      </c>
    </row>
    <row r="21" spans="1:48">
      <c r="A21">
        <f t="shared" si="0"/>
        <v>17</v>
      </c>
      <c r="B21" t="str">
        <f>IF('entri hasil dari isian siswa'!B21="","",'entri hasil dari isian siswa'!B21)</f>
        <v>22017</v>
      </c>
      <c r="C21" t="str">
        <f>IF('entri hasil dari isian siswa'!C21="","",'entri hasil dari isian siswa'!C21)</f>
        <v>Slamet Riyadi</v>
      </c>
      <c r="D21" t="str">
        <f>IF('entri hasil dari isian siswa'!D21="","",'entri hasil dari isian siswa'!D21)</f>
        <v>L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  <c r="K21" t="str">
        <f>IF($V21&lt;&gt;"OK","",RANK(E21,$E21:$J21,0)+COUNTIF($E21:E21,E21)-1)</f>
        <v/>
      </c>
      <c r="L21" t="str">
        <f>IF($V21&lt;&gt;"OK","",RANK(F21,$E21:$J21,0)+COUNTIF($E21:F21,F21)-1)</f>
        <v/>
      </c>
      <c r="M21" t="str">
        <f>IF($V21&lt;&gt;"OK","",RANK(G21,$E21:$J21,0)+COUNTIF($E21:G21,G21)-1)</f>
        <v/>
      </c>
      <c r="N21" t="str">
        <f>IF($V21&lt;&gt;"OK","",RANK(H21,$E21:$J21,0)+COUNTIF($E21:H21,H21)-1)</f>
        <v/>
      </c>
      <c r="O21" t="str">
        <f>IF($V21&lt;&gt;"OK","",RANK(I21,$E21:$J21,0)+COUNTIF($E21:I21,I21)-1)</f>
        <v/>
      </c>
      <c r="P21" t="str">
        <f>IF($V21&lt;&gt;"OK","",RANK(J21,$E21:$J21,0)+COUNTIF($E21:J21,J21)-1)</f>
        <v/>
      </c>
      <c r="Q21" t="str">
        <f t="shared" si="7"/>
        <v/>
      </c>
      <c r="R21" t="str">
        <f t="shared" si="8"/>
        <v/>
      </c>
      <c r="S21" t="str">
        <f t="shared" si="9"/>
        <v/>
      </c>
      <c r="T21" t="str">
        <f t="shared" si="10"/>
        <v/>
      </c>
      <c r="U21" s="1" t="str">
        <f>IF($T21="","",IFERROR(VLOOKUP($T21,'Kunci dari RIASEC'!$A$4:$B$123,2,FALSE),"Rekomendasi belum tersedia"))</f>
        <v/>
      </c>
      <c r="V21" t="str">
        <f>IF('entri hasil dari isian siswa'!B21="","",'entri hasil dari isian siswa'!HY21)</f>
        <v>Lengkapi 12 Self Estimate</v>
      </c>
      <c r="W21">
        <f>IF($B21="","",SUM('entri hasil dari isian siswa'!E21:O21))</f>
        <v>0</v>
      </c>
      <c r="X21">
        <f>IF($B21="","",SUM('entri hasil dari isian siswa'!P21:Z21))</f>
        <v>0</v>
      </c>
      <c r="Y21">
        <f>IF($B21="","",SUM('entri hasil dari isian siswa'!AA21:AK21))</f>
        <v>0</v>
      </c>
      <c r="Z21">
        <f>IF($B21="","",SUM('entri hasil dari isian siswa'!AL21:AV21))</f>
        <v>0</v>
      </c>
      <c r="AA21">
        <f>IF($B21="","",SUM('entri hasil dari isian siswa'!AW21:BG21))</f>
        <v>0</v>
      </c>
      <c r="AB21">
        <f>IF($B21="","",SUM('entri hasil dari isian siswa'!BH21:BR21))</f>
        <v>0</v>
      </c>
      <c r="AC21">
        <f>IF($B21="","",SUM('entri hasil dari isian siswa'!BS21:CC21))</f>
        <v>0</v>
      </c>
      <c r="AD21">
        <f>IF($B21="","",SUM('entri hasil dari isian siswa'!CD21:CN21))</f>
        <v>0</v>
      </c>
      <c r="AE21">
        <f>IF($B21="","",SUM('entri hasil dari isian siswa'!CO21:CY21))</f>
        <v>0</v>
      </c>
      <c r="AF21">
        <f>IF($B21="","",SUM('entri hasil dari isian siswa'!CZ21:DJ21))</f>
        <v>0</v>
      </c>
      <c r="AG21">
        <f>IF($B21="","",SUM('entri hasil dari isian siswa'!DK21:DU21))</f>
        <v>0</v>
      </c>
      <c r="AH21">
        <f>IF($B21="","",SUM('entri hasil dari isian siswa'!DV21:EF21))</f>
        <v>0</v>
      </c>
      <c r="AI21">
        <f>IF($B21="","",SUM('entri hasil dari isian siswa'!EG21:ET21))</f>
        <v>0</v>
      </c>
      <c r="AJ21">
        <f>IF($B21="","",SUM('entri hasil dari isian siswa'!EU21:FH21))</f>
        <v>0</v>
      </c>
      <c r="AK21">
        <f>IF($B21="","",SUM('entri hasil dari isian siswa'!FI21:FV21))</f>
        <v>0</v>
      </c>
      <c r="AL21">
        <f>IF($B21="","",SUM('entri hasil dari isian siswa'!FW21:GJ21))</f>
        <v>0</v>
      </c>
      <c r="AM21">
        <f>IF($B21="","",SUM('entri hasil dari isian siswa'!GK21:GX21))</f>
        <v>0</v>
      </c>
      <c r="AN21">
        <f>IF($B21="","",SUM('entri hasil dari isian siswa'!GY21:HL21))</f>
        <v>0</v>
      </c>
      <c r="AO21">
        <f>IF($B21="","",'entri hasil dari isian siswa'!HM21+'entri hasil dari isian siswa'!HS21)</f>
        <v>0</v>
      </c>
      <c r="AP21">
        <f>IF($B21="","",'entri hasil dari isian siswa'!HN21+'entri hasil dari isian siswa'!HT21)</f>
        <v>0</v>
      </c>
      <c r="AQ21">
        <f>IF($B21="","",'entri hasil dari isian siswa'!HO21+'entri hasil dari isian siswa'!HU21)</f>
        <v>0</v>
      </c>
      <c r="AR21">
        <f>IF($B21="","",'entri hasil dari isian siswa'!HP21+'entri hasil dari isian siswa'!HV21)</f>
        <v>0</v>
      </c>
      <c r="AS21">
        <f>IF($B21="","",'entri hasil dari isian siswa'!HQ21+'entri hasil dari isian siswa'!HW21)</f>
        <v>0</v>
      </c>
      <c r="AT21">
        <f>IF($B21="","",'entri hasil dari isian siswa'!HR21+'entri hasil dari isian siswa'!HX21)</f>
        <v>0</v>
      </c>
      <c r="AU21" s="69" t="str">
        <f t="shared" si="11"/>
        <v/>
      </c>
      <c r="AV21" s="69" t="str">
        <f>IF($AU21="","",IFERROR(VLOOKUP($AU21,'Kunci dari RIASEC'!$J$4:$K$33,2,FALSE),""))</f>
        <v/>
      </c>
    </row>
    <row r="22" spans="1:48">
      <c r="A22">
        <f t="shared" si="0"/>
        <v>18</v>
      </c>
      <c r="B22" t="str">
        <f>IF('entri hasil dari isian siswa'!B22="","",'entri hasil dari isian siswa'!B22)</f>
        <v>22018</v>
      </c>
      <c r="C22" t="str">
        <f>IF('entri hasil dari isian siswa'!C22="","",'entri hasil dari isian siswa'!C22)</f>
        <v>Sri Harnita</v>
      </c>
      <c r="D22" t="str">
        <f>IF('entri hasil dari isian siswa'!D22="","",'entri hasil dari isian siswa'!D22)</f>
        <v>L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  <c r="I22">
        <f t="shared" si="5"/>
        <v>0</v>
      </c>
      <c r="J22">
        <f t="shared" si="6"/>
        <v>0</v>
      </c>
      <c r="K22" t="str">
        <f>IF($V22&lt;&gt;"OK","",RANK(E22,$E22:$J22,0)+COUNTIF($E22:E22,E22)-1)</f>
        <v/>
      </c>
      <c r="L22" t="str">
        <f>IF($V22&lt;&gt;"OK","",RANK(F22,$E22:$J22,0)+COUNTIF($E22:F22,F22)-1)</f>
        <v/>
      </c>
      <c r="M22" t="str">
        <f>IF($V22&lt;&gt;"OK","",RANK(G22,$E22:$J22,0)+COUNTIF($E22:G22,G22)-1)</f>
        <v/>
      </c>
      <c r="N22" t="str">
        <f>IF($V22&lt;&gt;"OK","",RANK(H22,$E22:$J22,0)+COUNTIF($E22:H22,H22)-1)</f>
        <v/>
      </c>
      <c r="O22" t="str">
        <f>IF($V22&lt;&gt;"OK","",RANK(I22,$E22:$J22,0)+COUNTIF($E22:I22,I22)-1)</f>
        <v/>
      </c>
      <c r="P22" t="str">
        <f>IF($V22&lt;&gt;"OK","",RANK(J22,$E22:$J22,0)+COUNTIF($E22:J22,J22)-1)</f>
        <v/>
      </c>
      <c r="Q22" t="str">
        <f t="shared" si="7"/>
        <v/>
      </c>
      <c r="R22" t="str">
        <f t="shared" si="8"/>
        <v/>
      </c>
      <c r="S22" t="str">
        <f t="shared" si="9"/>
        <v/>
      </c>
      <c r="T22" t="str">
        <f t="shared" si="10"/>
        <v/>
      </c>
      <c r="U22" s="1" t="str">
        <f>IF($T22="","",IFERROR(VLOOKUP($T22,'Kunci dari RIASEC'!$A$4:$B$123,2,FALSE),"Rekomendasi belum tersedia"))</f>
        <v/>
      </c>
      <c r="V22" t="str">
        <f>IF('entri hasil dari isian siswa'!B22="","",'entri hasil dari isian siswa'!HY22)</f>
        <v>Lengkapi 12 Self Estimate</v>
      </c>
      <c r="W22">
        <f>IF($B22="","",SUM('entri hasil dari isian siswa'!E22:O22))</f>
        <v>0</v>
      </c>
      <c r="X22">
        <f>IF($B22="","",SUM('entri hasil dari isian siswa'!P22:Z22))</f>
        <v>0</v>
      </c>
      <c r="Y22">
        <f>IF($B22="","",SUM('entri hasil dari isian siswa'!AA22:AK22))</f>
        <v>0</v>
      </c>
      <c r="Z22">
        <f>IF($B22="","",SUM('entri hasil dari isian siswa'!AL22:AV22))</f>
        <v>0</v>
      </c>
      <c r="AA22">
        <f>IF($B22="","",SUM('entri hasil dari isian siswa'!AW22:BG22))</f>
        <v>0</v>
      </c>
      <c r="AB22">
        <f>IF($B22="","",SUM('entri hasil dari isian siswa'!BH22:BR22))</f>
        <v>0</v>
      </c>
      <c r="AC22">
        <f>IF($B22="","",SUM('entri hasil dari isian siswa'!BS22:CC22))</f>
        <v>0</v>
      </c>
      <c r="AD22">
        <f>IF($B22="","",SUM('entri hasil dari isian siswa'!CD22:CN22))</f>
        <v>0</v>
      </c>
      <c r="AE22">
        <f>IF($B22="","",SUM('entri hasil dari isian siswa'!CO22:CY22))</f>
        <v>0</v>
      </c>
      <c r="AF22">
        <f>IF($B22="","",SUM('entri hasil dari isian siswa'!CZ22:DJ22))</f>
        <v>0</v>
      </c>
      <c r="AG22">
        <f>IF($B22="","",SUM('entri hasil dari isian siswa'!DK22:DU22))</f>
        <v>0</v>
      </c>
      <c r="AH22">
        <f>IF($B22="","",SUM('entri hasil dari isian siswa'!DV22:EF22))</f>
        <v>0</v>
      </c>
      <c r="AI22">
        <f>IF($B22="","",SUM('entri hasil dari isian siswa'!EG22:ET22))</f>
        <v>0</v>
      </c>
      <c r="AJ22">
        <f>IF($B22="","",SUM('entri hasil dari isian siswa'!EU22:FH22))</f>
        <v>0</v>
      </c>
      <c r="AK22">
        <f>IF($B22="","",SUM('entri hasil dari isian siswa'!FI22:FV22))</f>
        <v>0</v>
      </c>
      <c r="AL22">
        <f>IF($B22="","",SUM('entri hasil dari isian siswa'!FW22:GJ22))</f>
        <v>0</v>
      </c>
      <c r="AM22">
        <f>IF($B22="","",SUM('entri hasil dari isian siswa'!GK22:GX22))</f>
        <v>0</v>
      </c>
      <c r="AN22">
        <f>IF($B22="","",SUM('entri hasil dari isian siswa'!GY22:HL22))</f>
        <v>0</v>
      </c>
      <c r="AO22">
        <f>IF($B22="","",'entri hasil dari isian siswa'!HM22+'entri hasil dari isian siswa'!HS22)</f>
        <v>0</v>
      </c>
      <c r="AP22">
        <f>IF($B22="","",'entri hasil dari isian siswa'!HN22+'entri hasil dari isian siswa'!HT22)</f>
        <v>0</v>
      </c>
      <c r="AQ22">
        <f>IF($B22="","",'entri hasil dari isian siswa'!HO22+'entri hasil dari isian siswa'!HU22)</f>
        <v>0</v>
      </c>
      <c r="AR22">
        <f>IF($B22="","",'entri hasil dari isian siswa'!HP22+'entri hasil dari isian siswa'!HV22)</f>
        <v>0</v>
      </c>
      <c r="AS22">
        <f>IF($B22="","",'entri hasil dari isian siswa'!HQ22+'entri hasil dari isian siswa'!HW22)</f>
        <v>0</v>
      </c>
      <c r="AT22">
        <f>IF($B22="","",'entri hasil dari isian siswa'!HR22+'entri hasil dari isian siswa'!HX22)</f>
        <v>0</v>
      </c>
      <c r="AU22" s="69" t="str">
        <f t="shared" si="11"/>
        <v/>
      </c>
      <c r="AV22" s="69" t="str">
        <f>IF($AU22="","",IFERROR(VLOOKUP($AU22,'Kunci dari RIASEC'!$J$4:$K$33,2,FALSE),""))</f>
        <v/>
      </c>
    </row>
    <row r="23" spans="1:48">
      <c r="A23">
        <f t="shared" si="0"/>
        <v>19</v>
      </c>
      <c r="B23" t="str">
        <f>IF('entri hasil dari isian siswa'!B23="","",'entri hasil dari isian siswa'!B23)</f>
        <v>22019</v>
      </c>
      <c r="C23" t="str">
        <f>IF('entri hasil dari isian siswa'!C23="","",'entri hasil dari isian siswa'!C23)</f>
        <v>Tentri Year Itqa Retma N</v>
      </c>
      <c r="D23" t="str">
        <f>IF('entri hasil dari isian siswa'!D23="","",'entri hasil dari isian siswa'!D23)</f>
        <v>L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0</v>
      </c>
      <c r="K23" t="str">
        <f>IF($V23&lt;&gt;"OK","",RANK(E23,$E23:$J23,0)+COUNTIF($E23:E23,E23)-1)</f>
        <v/>
      </c>
      <c r="L23" t="str">
        <f>IF($V23&lt;&gt;"OK","",RANK(F23,$E23:$J23,0)+COUNTIF($E23:F23,F23)-1)</f>
        <v/>
      </c>
      <c r="M23" t="str">
        <f>IF($V23&lt;&gt;"OK","",RANK(G23,$E23:$J23,0)+COUNTIF($E23:G23,G23)-1)</f>
        <v/>
      </c>
      <c r="N23" t="str">
        <f>IF($V23&lt;&gt;"OK","",RANK(H23,$E23:$J23,0)+COUNTIF($E23:H23,H23)-1)</f>
        <v/>
      </c>
      <c r="O23" t="str">
        <f>IF($V23&lt;&gt;"OK","",RANK(I23,$E23:$J23,0)+COUNTIF($E23:I23,I23)-1)</f>
        <v/>
      </c>
      <c r="P23" t="str">
        <f>IF($V23&lt;&gt;"OK","",RANK(J23,$E23:$J23,0)+COUNTIF($E23:J23,J23)-1)</f>
        <v/>
      </c>
      <c r="Q23" t="str">
        <f t="shared" si="7"/>
        <v/>
      </c>
      <c r="R23" t="str">
        <f t="shared" si="8"/>
        <v/>
      </c>
      <c r="S23" t="str">
        <f t="shared" si="9"/>
        <v/>
      </c>
      <c r="T23" t="str">
        <f t="shared" si="10"/>
        <v/>
      </c>
      <c r="U23" s="1" t="str">
        <f>IF($T23="","",IFERROR(VLOOKUP($T23,'Kunci dari RIASEC'!$A$4:$B$123,2,FALSE),"Rekomendasi belum tersedia"))</f>
        <v/>
      </c>
      <c r="V23" t="str">
        <f>IF('entri hasil dari isian siswa'!B23="","",'entri hasil dari isian siswa'!HY23)</f>
        <v>Lengkapi 12 Self Estimate</v>
      </c>
      <c r="W23">
        <f>IF($B23="","",SUM('entri hasil dari isian siswa'!E23:O23))</f>
        <v>0</v>
      </c>
      <c r="X23">
        <f>IF($B23="","",SUM('entri hasil dari isian siswa'!P23:Z23))</f>
        <v>0</v>
      </c>
      <c r="Y23">
        <f>IF($B23="","",SUM('entri hasil dari isian siswa'!AA23:AK23))</f>
        <v>0</v>
      </c>
      <c r="Z23">
        <f>IF($B23="","",SUM('entri hasil dari isian siswa'!AL23:AV23))</f>
        <v>0</v>
      </c>
      <c r="AA23">
        <f>IF($B23="","",SUM('entri hasil dari isian siswa'!AW23:BG23))</f>
        <v>0</v>
      </c>
      <c r="AB23">
        <f>IF($B23="","",SUM('entri hasil dari isian siswa'!BH23:BR23))</f>
        <v>0</v>
      </c>
      <c r="AC23">
        <f>IF($B23="","",SUM('entri hasil dari isian siswa'!BS23:CC23))</f>
        <v>0</v>
      </c>
      <c r="AD23">
        <f>IF($B23="","",SUM('entri hasil dari isian siswa'!CD23:CN23))</f>
        <v>0</v>
      </c>
      <c r="AE23">
        <f>IF($B23="","",SUM('entri hasil dari isian siswa'!CO23:CY23))</f>
        <v>0</v>
      </c>
      <c r="AF23">
        <f>IF($B23="","",SUM('entri hasil dari isian siswa'!CZ23:DJ23))</f>
        <v>0</v>
      </c>
      <c r="AG23">
        <f>IF($B23="","",SUM('entri hasil dari isian siswa'!DK23:DU23))</f>
        <v>0</v>
      </c>
      <c r="AH23">
        <f>IF($B23="","",SUM('entri hasil dari isian siswa'!DV23:EF23))</f>
        <v>0</v>
      </c>
      <c r="AI23">
        <f>IF($B23="","",SUM('entri hasil dari isian siswa'!EG23:ET23))</f>
        <v>0</v>
      </c>
      <c r="AJ23">
        <f>IF($B23="","",SUM('entri hasil dari isian siswa'!EU23:FH23))</f>
        <v>0</v>
      </c>
      <c r="AK23">
        <f>IF($B23="","",SUM('entri hasil dari isian siswa'!FI23:FV23))</f>
        <v>0</v>
      </c>
      <c r="AL23">
        <f>IF($B23="","",SUM('entri hasil dari isian siswa'!FW23:GJ23))</f>
        <v>0</v>
      </c>
      <c r="AM23">
        <f>IF($B23="","",SUM('entri hasil dari isian siswa'!GK23:GX23))</f>
        <v>0</v>
      </c>
      <c r="AN23">
        <f>IF($B23="","",SUM('entri hasil dari isian siswa'!GY23:HL23))</f>
        <v>0</v>
      </c>
      <c r="AO23">
        <f>IF($B23="","",'entri hasil dari isian siswa'!HM23+'entri hasil dari isian siswa'!HS23)</f>
        <v>0</v>
      </c>
      <c r="AP23">
        <f>IF($B23="","",'entri hasil dari isian siswa'!HN23+'entri hasil dari isian siswa'!HT23)</f>
        <v>0</v>
      </c>
      <c r="AQ23">
        <f>IF($B23="","",'entri hasil dari isian siswa'!HO23+'entri hasil dari isian siswa'!HU23)</f>
        <v>0</v>
      </c>
      <c r="AR23">
        <f>IF($B23="","",'entri hasil dari isian siswa'!HP23+'entri hasil dari isian siswa'!HV23)</f>
        <v>0</v>
      </c>
      <c r="AS23">
        <f>IF($B23="","",'entri hasil dari isian siswa'!HQ23+'entri hasil dari isian siswa'!HW23)</f>
        <v>0</v>
      </c>
      <c r="AT23">
        <f>IF($B23="","",'entri hasil dari isian siswa'!HR23+'entri hasil dari isian siswa'!HX23)</f>
        <v>0</v>
      </c>
      <c r="AU23" s="69" t="str">
        <f t="shared" si="11"/>
        <v/>
      </c>
      <c r="AV23" s="69" t="str">
        <f>IF($AU23="","",IFERROR(VLOOKUP($AU23,'Kunci dari RIASEC'!$J$4:$K$33,2,FALSE),""))</f>
        <v/>
      </c>
    </row>
    <row r="24" spans="1:48">
      <c r="A24">
        <f t="shared" si="0"/>
        <v>20</v>
      </c>
      <c r="B24" t="str">
        <f>IF('entri hasil dari isian siswa'!B24="","",'entri hasil dari isian siswa'!B24)</f>
        <v>22020</v>
      </c>
      <c r="C24" t="str">
        <f>IF('entri hasil dari isian siswa'!C24="","",'entri hasil dari isian siswa'!C24)</f>
        <v>Winda Andriyani</v>
      </c>
      <c r="D24" t="str">
        <f>IF('entri hasil dari isian siswa'!D24="","",'entri hasil dari isian siswa'!D24)</f>
        <v>L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 t="str">
        <f>IF($V24&lt;&gt;"OK","",RANK(E24,$E24:$J24,0)+COUNTIF($E24:E24,E24)-1)</f>
        <v/>
      </c>
      <c r="L24" t="str">
        <f>IF($V24&lt;&gt;"OK","",RANK(F24,$E24:$J24,0)+COUNTIF($E24:F24,F24)-1)</f>
        <v/>
      </c>
      <c r="M24" t="str">
        <f>IF($V24&lt;&gt;"OK","",RANK(G24,$E24:$J24,0)+COUNTIF($E24:G24,G24)-1)</f>
        <v/>
      </c>
      <c r="N24" t="str">
        <f>IF($V24&lt;&gt;"OK","",RANK(H24,$E24:$J24,0)+COUNTIF($E24:H24,H24)-1)</f>
        <v/>
      </c>
      <c r="O24" t="str">
        <f>IF($V24&lt;&gt;"OK","",RANK(I24,$E24:$J24,0)+COUNTIF($E24:I24,I24)-1)</f>
        <v/>
      </c>
      <c r="P24" t="str">
        <f>IF($V24&lt;&gt;"OK","",RANK(J24,$E24:$J24,0)+COUNTIF($E24:J24,J24)-1)</f>
        <v/>
      </c>
      <c r="Q24" t="str">
        <f t="shared" si="7"/>
        <v/>
      </c>
      <c r="R24" t="str">
        <f t="shared" si="8"/>
        <v/>
      </c>
      <c r="S24" t="str">
        <f t="shared" si="9"/>
        <v/>
      </c>
      <c r="T24" t="str">
        <f t="shared" si="10"/>
        <v/>
      </c>
      <c r="U24" s="1" t="str">
        <f>IF($T24="","",IFERROR(VLOOKUP($T24,'Kunci dari RIASEC'!$A$4:$B$123,2,FALSE),"Rekomendasi belum tersedia"))</f>
        <v/>
      </c>
      <c r="V24" t="str">
        <f>IF('entri hasil dari isian siswa'!B24="","",'entri hasil dari isian siswa'!HY24)</f>
        <v>Lengkapi 12 Self Estimate</v>
      </c>
      <c r="W24">
        <f>IF($B24="","",SUM('entri hasil dari isian siswa'!E24:O24))</f>
        <v>0</v>
      </c>
      <c r="X24">
        <f>IF($B24="","",SUM('entri hasil dari isian siswa'!P24:Z24))</f>
        <v>0</v>
      </c>
      <c r="Y24">
        <f>IF($B24="","",SUM('entri hasil dari isian siswa'!AA24:AK24))</f>
        <v>0</v>
      </c>
      <c r="Z24">
        <f>IF($B24="","",SUM('entri hasil dari isian siswa'!AL24:AV24))</f>
        <v>0</v>
      </c>
      <c r="AA24">
        <f>IF($B24="","",SUM('entri hasil dari isian siswa'!AW24:BG24))</f>
        <v>0</v>
      </c>
      <c r="AB24">
        <f>IF($B24="","",SUM('entri hasil dari isian siswa'!BH24:BR24))</f>
        <v>0</v>
      </c>
      <c r="AC24">
        <f>IF($B24="","",SUM('entri hasil dari isian siswa'!BS24:CC24))</f>
        <v>0</v>
      </c>
      <c r="AD24">
        <f>IF($B24="","",SUM('entri hasil dari isian siswa'!CD24:CN24))</f>
        <v>0</v>
      </c>
      <c r="AE24">
        <f>IF($B24="","",SUM('entri hasil dari isian siswa'!CO24:CY24))</f>
        <v>0</v>
      </c>
      <c r="AF24">
        <f>IF($B24="","",SUM('entri hasil dari isian siswa'!CZ24:DJ24))</f>
        <v>0</v>
      </c>
      <c r="AG24">
        <f>IF($B24="","",SUM('entri hasil dari isian siswa'!DK24:DU24))</f>
        <v>0</v>
      </c>
      <c r="AH24">
        <f>IF($B24="","",SUM('entri hasil dari isian siswa'!DV24:EF24))</f>
        <v>0</v>
      </c>
      <c r="AI24">
        <f>IF($B24="","",SUM('entri hasil dari isian siswa'!EG24:ET24))</f>
        <v>0</v>
      </c>
      <c r="AJ24">
        <f>IF($B24="","",SUM('entri hasil dari isian siswa'!EU24:FH24))</f>
        <v>0</v>
      </c>
      <c r="AK24">
        <f>IF($B24="","",SUM('entri hasil dari isian siswa'!FI24:FV24))</f>
        <v>0</v>
      </c>
      <c r="AL24">
        <f>IF($B24="","",SUM('entri hasil dari isian siswa'!FW24:GJ24))</f>
        <v>0</v>
      </c>
      <c r="AM24">
        <f>IF($B24="","",SUM('entri hasil dari isian siswa'!GK24:GX24))</f>
        <v>0</v>
      </c>
      <c r="AN24">
        <f>IF($B24="","",SUM('entri hasil dari isian siswa'!GY24:HL24))</f>
        <v>0</v>
      </c>
      <c r="AO24">
        <f>IF($B24="","",'entri hasil dari isian siswa'!HM24+'entri hasil dari isian siswa'!HS24)</f>
        <v>0</v>
      </c>
      <c r="AP24">
        <f>IF($B24="","",'entri hasil dari isian siswa'!HN24+'entri hasil dari isian siswa'!HT24)</f>
        <v>0</v>
      </c>
      <c r="AQ24">
        <f>IF($B24="","",'entri hasil dari isian siswa'!HO24+'entri hasil dari isian siswa'!HU24)</f>
        <v>0</v>
      </c>
      <c r="AR24">
        <f>IF($B24="","",'entri hasil dari isian siswa'!HP24+'entri hasil dari isian siswa'!HV24)</f>
        <v>0</v>
      </c>
      <c r="AS24">
        <f>IF($B24="","",'entri hasil dari isian siswa'!HQ24+'entri hasil dari isian siswa'!HW24)</f>
        <v>0</v>
      </c>
      <c r="AT24">
        <f>IF($B24="","",'entri hasil dari isian siswa'!HR24+'entri hasil dari isian siswa'!HX24)</f>
        <v>0</v>
      </c>
      <c r="AU24" s="69" t="str">
        <f t="shared" si="11"/>
        <v/>
      </c>
      <c r="AV24" s="69" t="str">
        <f>IF($AU24="","",IFERROR(VLOOKUP($AU24,'Kunci dari RIASEC'!$J$4:$K$33,2,FALSE),""))</f>
        <v/>
      </c>
    </row>
    <row r="25" spans="1:48">
      <c r="A25">
        <f t="shared" si="0"/>
        <v>21</v>
      </c>
      <c r="B25" t="str">
        <f>IF('entri hasil dari isian siswa'!B25="","",'entri hasil dari isian siswa'!B25)</f>
        <v>22021</v>
      </c>
      <c r="C25" t="str">
        <f>IF('entri hasil dari isian siswa'!C25="","",'entri hasil dari isian siswa'!C25)</f>
        <v>Hasan Agus Salim</v>
      </c>
      <c r="D25" t="str">
        <f>IF('entri hasil dari isian siswa'!D25="","",'entri hasil dari isian siswa'!D25)</f>
        <v>L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 t="str">
        <f>IF($V25&lt;&gt;"OK","",RANK(E25,$E25:$J25,0)+COUNTIF($E25:E25,E25)-1)</f>
        <v/>
      </c>
      <c r="L25" t="str">
        <f>IF($V25&lt;&gt;"OK","",RANK(F25,$E25:$J25,0)+COUNTIF($E25:F25,F25)-1)</f>
        <v/>
      </c>
      <c r="M25" t="str">
        <f>IF($V25&lt;&gt;"OK","",RANK(G25,$E25:$J25,0)+COUNTIF($E25:G25,G25)-1)</f>
        <v/>
      </c>
      <c r="N25" t="str">
        <f>IF($V25&lt;&gt;"OK","",RANK(H25,$E25:$J25,0)+COUNTIF($E25:H25,H25)-1)</f>
        <v/>
      </c>
      <c r="O25" t="str">
        <f>IF($V25&lt;&gt;"OK","",RANK(I25,$E25:$J25,0)+COUNTIF($E25:I25,I25)-1)</f>
        <v/>
      </c>
      <c r="P25" t="str">
        <f>IF($V25&lt;&gt;"OK","",RANK(J25,$E25:$J25,0)+COUNTIF($E25:J25,J25)-1)</f>
        <v/>
      </c>
      <c r="Q25" t="str">
        <f t="shared" si="7"/>
        <v/>
      </c>
      <c r="R25" t="str">
        <f t="shared" si="8"/>
        <v/>
      </c>
      <c r="S25" t="str">
        <f t="shared" si="9"/>
        <v/>
      </c>
      <c r="T25" t="str">
        <f t="shared" si="10"/>
        <v/>
      </c>
      <c r="U25" s="1" t="str">
        <f>IF($T25="","",IFERROR(VLOOKUP($T25,'Kunci dari RIASEC'!$A$4:$B$123,2,FALSE),"Rekomendasi belum tersedia"))</f>
        <v/>
      </c>
      <c r="V25" t="str">
        <f>IF('entri hasil dari isian siswa'!B25="","",'entri hasil dari isian siswa'!HY25)</f>
        <v>Lengkapi 12 Self Estimate</v>
      </c>
      <c r="W25">
        <f>IF($B25="","",SUM('entri hasil dari isian siswa'!E25:O25))</f>
        <v>0</v>
      </c>
      <c r="X25">
        <f>IF($B25="","",SUM('entri hasil dari isian siswa'!P25:Z25))</f>
        <v>0</v>
      </c>
      <c r="Y25">
        <f>IF($B25="","",SUM('entri hasil dari isian siswa'!AA25:AK25))</f>
        <v>0</v>
      </c>
      <c r="Z25">
        <f>IF($B25="","",SUM('entri hasil dari isian siswa'!AL25:AV25))</f>
        <v>0</v>
      </c>
      <c r="AA25">
        <f>IF($B25="","",SUM('entri hasil dari isian siswa'!AW25:BG25))</f>
        <v>0</v>
      </c>
      <c r="AB25">
        <f>IF($B25="","",SUM('entri hasil dari isian siswa'!BH25:BR25))</f>
        <v>0</v>
      </c>
      <c r="AC25">
        <f>IF($B25="","",SUM('entri hasil dari isian siswa'!BS25:CC25))</f>
        <v>0</v>
      </c>
      <c r="AD25">
        <f>IF($B25="","",SUM('entri hasil dari isian siswa'!CD25:CN25))</f>
        <v>0</v>
      </c>
      <c r="AE25">
        <f>IF($B25="","",SUM('entri hasil dari isian siswa'!CO25:CY25))</f>
        <v>0</v>
      </c>
      <c r="AF25">
        <f>IF($B25="","",SUM('entri hasil dari isian siswa'!CZ25:DJ25))</f>
        <v>0</v>
      </c>
      <c r="AG25">
        <f>IF($B25="","",SUM('entri hasil dari isian siswa'!DK25:DU25))</f>
        <v>0</v>
      </c>
      <c r="AH25">
        <f>IF($B25="","",SUM('entri hasil dari isian siswa'!DV25:EF25))</f>
        <v>0</v>
      </c>
      <c r="AI25">
        <f>IF($B25="","",SUM('entri hasil dari isian siswa'!EG25:ET25))</f>
        <v>0</v>
      </c>
      <c r="AJ25">
        <f>IF($B25="","",SUM('entri hasil dari isian siswa'!EU25:FH25))</f>
        <v>0</v>
      </c>
      <c r="AK25">
        <f>IF($B25="","",SUM('entri hasil dari isian siswa'!FI25:FV25))</f>
        <v>0</v>
      </c>
      <c r="AL25">
        <f>IF($B25="","",SUM('entri hasil dari isian siswa'!FW25:GJ25))</f>
        <v>0</v>
      </c>
      <c r="AM25">
        <f>IF($B25="","",SUM('entri hasil dari isian siswa'!GK25:GX25))</f>
        <v>0</v>
      </c>
      <c r="AN25">
        <f>IF($B25="","",SUM('entri hasil dari isian siswa'!GY25:HL25))</f>
        <v>0</v>
      </c>
      <c r="AO25">
        <f>IF($B25="","",'entri hasil dari isian siswa'!HM25+'entri hasil dari isian siswa'!HS25)</f>
        <v>0</v>
      </c>
      <c r="AP25">
        <f>IF($B25="","",'entri hasil dari isian siswa'!HN25+'entri hasil dari isian siswa'!HT25)</f>
        <v>0</v>
      </c>
      <c r="AQ25">
        <f>IF($B25="","",'entri hasil dari isian siswa'!HO25+'entri hasil dari isian siswa'!HU25)</f>
        <v>0</v>
      </c>
      <c r="AR25">
        <f>IF($B25="","",'entri hasil dari isian siswa'!HP25+'entri hasil dari isian siswa'!HV25)</f>
        <v>0</v>
      </c>
      <c r="AS25">
        <f>IF($B25="","",'entri hasil dari isian siswa'!HQ25+'entri hasil dari isian siswa'!HW25)</f>
        <v>0</v>
      </c>
      <c r="AT25">
        <f>IF($B25="","",'entri hasil dari isian siswa'!HR25+'entri hasil dari isian siswa'!HX25)</f>
        <v>0</v>
      </c>
      <c r="AU25" s="69" t="str">
        <f t="shared" si="11"/>
        <v/>
      </c>
      <c r="AV25" s="69" t="str">
        <f>IF($AU25="","",IFERROR(VLOOKUP($AU25,'Kunci dari RIASEC'!$J$4:$K$33,2,FALSE),""))</f>
        <v/>
      </c>
    </row>
    <row r="26" spans="1:48">
      <c r="A26">
        <f t="shared" si="0"/>
        <v>22</v>
      </c>
      <c r="B26" t="str">
        <f>IF('entri hasil dari isian siswa'!B26="","",'entri hasil dari isian siswa'!B26)</f>
        <v>22022</v>
      </c>
      <c r="C26" t="str">
        <f>IF('entri hasil dari isian siswa'!C26="","",'entri hasil dari isian siswa'!C26)</f>
        <v>Muhammad Tondi Prasetyo</v>
      </c>
      <c r="D26" t="str">
        <f>IF('entri hasil dari isian siswa'!D26="","",'entri hasil dari isian siswa'!D26)</f>
        <v>L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  <c r="K26" t="str">
        <f>IF($V26&lt;&gt;"OK","",RANK(E26,$E26:$J26,0)+COUNTIF($E26:E26,E26)-1)</f>
        <v/>
      </c>
      <c r="L26" t="str">
        <f>IF($V26&lt;&gt;"OK","",RANK(F26,$E26:$J26,0)+COUNTIF($E26:F26,F26)-1)</f>
        <v/>
      </c>
      <c r="M26" t="str">
        <f>IF($V26&lt;&gt;"OK","",RANK(G26,$E26:$J26,0)+COUNTIF($E26:G26,G26)-1)</f>
        <v/>
      </c>
      <c r="N26" t="str">
        <f>IF($V26&lt;&gt;"OK","",RANK(H26,$E26:$J26,0)+COUNTIF($E26:H26,H26)-1)</f>
        <v/>
      </c>
      <c r="O26" t="str">
        <f>IF($V26&lt;&gt;"OK","",RANK(I26,$E26:$J26,0)+COUNTIF($E26:I26,I26)-1)</f>
        <v/>
      </c>
      <c r="P26" t="str">
        <f>IF($V26&lt;&gt;"OK","",RANK(J26,$E26:$J26,0)+COUNTIF($E26:J26,J26)-1)</f>
        <v/>
      </c>
      <c r="Q26" t="str">
        <f t="shared" si="7"/>
        <v/>
      </c>
      <c r="R26" t="str">
        <f t="shared" si="8"/>
        <v/>
      </c>
      <c r="S26" t="str">
        <f t="shared" si="9"/>
        <v/>
      </c>
      <c r="T26" t="str">
        <f t="shared" si="10"/>
        <v/>
      </c>
      <c r="U26" s="1" t="str">
        <f>IF($T26="","",IFERROR(VLOOKUP($T26,'Kunci dari RIASEC'!$A$4:$B$123,2,FALSE),"Rekomendasi belum tersedia"))</f>
        <v/>
      </c>
      <c r="V26" t="str">
        <f>IF('entri hasil dari isian siswa'!B26="","",'entri hasil dari isian siswa'!HY26)</f>
        <v>Lengkapi 12 Self Estimate</v>
      </c>
      <c r="W26">
        <f>IF($B26="","",SUM('entri hasil dari isian siswa'!E26:O26))</f>
        <v>0</v>
      </c>
      <c r="X26">
        <f>IF($B26="","",SUM('entri hasil dari isian siswa'!P26:Z26))</f>
        <v>0</v>
      </c>
      <c r="Y26">
        <f>IF($B26="","",SUM('entri hasil dari isian siswa'!AA26:AK26))</f>
        <v>0</v>
      </c>
      <c r="Z26">
        <f>IF($B26="","",SUM('entri hasil dari isian siswa'!AL26:AV26))</f>
        <v>0</v>
      </c>
      <c r="AA26">
        <f>IF($B26="","",SUM('entri hasil dari isian siswa'!AW26:BG26))</f>
        <v>0</v>
      </c>
      <c r="AB26">
        <f>IF($B26="","",SUM('entri hasil dari isian siswa'!BH26:BR26))</f>
        <v>0</v>
      </c>
      <c r="AC26">
        <f>IF($B26="","",SUM('entri hasil dari isian siswa'!BS26:CC26))</f>
        <v>0</v>
      </c>
      <c r="AD26">
        <f>IF($B26="","",SUM('entri hasil dari isian siswa'!CD26:CN26))</f>
        <v>0</v>
      </c>
      <c r="AE26">
        <f>IF($B26="","",SUM('entri hasil dari isian siswa'!CO26:CY26))</f>
        <v>0</v>
      </c>
      <c r="AF26">
        <f>IF($B26="","",SUM('entri hasil dari isian siswa'!CZ26:DJ26))</f>
        <v>0</v>
      </c>
      <c r="AG26">
        <f>IF($B26="","",SUM('entri hasil dari isian siswa'!DK26:DU26))</f>
        <v>0</v>
      </c>
      <c r="AH26">
        <f>IF($B26="","",SUM('entri hasil dari isian siswa'!DV26:EF26))</f>
        <v>0</v>
      </c>
      <c r="AI26">
        <f>IF($B26="","",SUM('entri hasil dari isian siswa'!EG26:ET26))</f>
        <v>0</v>
      </c>
      <c r="AJ26">
        <f>IF($B26="","",SUM('entri hasil dari isian siswa'!EU26:FH26))</f>
        <v>0</v>
      </c>
      <c r="AK26">
        <f>IF($B26="","",SUM('entri hasil dari isian siswa'!FI26:FV26))</f>
        <v>0</v>
      </c>
      <c r="AL26">
        <f>IF($B26="","",SUM('entri hasil dari isian siswa'!FW26:GJ26))</f>
        <v>0</v>
      </c>
      <c r="AM26">
        <f>IF($B26="","",SUM('entri hasil dari isian siswa'!GK26:GX26))</f>
        <v>0</v>
      </c>
      <c r="AN26">
        <f>IF($B26="","",SUM('entri hasil dari isian siswa'!GY26:HL26))</f>
        <v>0</v>
      </c>
      <c r="AO26">
        <f>IF($B26="","",'entri hasil dari isian siswa'!HM26+'entri hasil dari isian siswa'!HS26)</f>
        <v>0</v>
      </c>
      <c r="AP26">
        <f>IF($B26="","",'entri hasil dari isian siswa'!HN26+'entri hasil dari isian siswa'!HT26)</f>
        <v>0</v>
      </c>
      <c r="AQ26">
        <f>IF($B26="","",'entri hasil dari isian siswa'!HO26+'entri hasil dari isian siswa'!HU26)</f>
        <v>0</v>
      </c>
      <c r="AR26">
        <f>IF($B26="","",'entri hasil dari isian siswa'!HP26+'entri hasil dari isian siswa'!HV26)</f>
        <v>0</v>
      </c>
      <c r="AS26">
        <f>IF($B26="","",'entri hasil dari isian siswa'!HQ26+'entri hasil dari isian siswa'!HW26)</f>
        <v>0</v>
      </c>
      <c r="AT26">
        <f>IF($B26="","",'entri hasil dari isian siswa'!HR26+'entri hasil dari isian siswa'!HX26)</f>
        <v>0</v>
      </c>
      <c r="AU26" s="69" t="str">
        <f t="shared" si="11"/>
        <v/>
      </c>
      <c r="AV26" s="69" t="str">
        <f>IF($AU26="","",IFERROR(VLOOKUP($AU26,'Kunci dari RIASEC'!$J$4:$K$33,2,FALSE),""))</f>
        <v/>
      </c>
    </row>
    <row r="27" spans="1:48">
      <c r="A27">
        <f t="shared" si="0"/>
        <v>23</v>
      </c>
      <c r="B27" t="str">
        <f>IF('entri hasil dari isian siswa'!B27="","",'entri hasil dari isian siswa'!B27)</f>
        <v>22023</v>
      </c>
      <c r="C27" t="str">
        <f>IF('entri hasil dari isian siswa'!C27="","",'entri hasil dari isian siswa'!C27)</f>
        <v>Raudatul Jannah</v>
      </c>
      <c r="D27" t="str">
        <f>IF('entri hasil dari isian siswa'!D27="","",'entri hasil dari isian siswa'!D27)</f>
        <v>L</v>
      </c>
      <c r="E27">
        <f t="shared" si="1"/>
        <v>0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 t="str">
        <f>IF($V27&lt;&gt;"OK","",RANK(E27,$E27:$J27,0)+COUNTIF($E27:E27,E27)-1)</f>
        <v/>
      </c>
      <c r="L27" t="str">
        <f>IF($V27&lt;&gt;"OK","",RANK(F27,$E27:$J27,0)+COUNTIF($E27:F27,F27)-1)</f>
        <v/>
      </c>
      <c r="M27" t="str">
        <f>IF($V27&lt;&gt;"OK","",RANK(G27,$E27:$J27,0)+COUNTIF($E27:G27,G27)-1)</f>
        <v/>
      </c>
      <c r="N27" t="str">
        <f>IF($V27&lt;&gt;"OK","",RANK(H27,$E27:$J27,0)+COUNTIF($E27:H27,H27)-1)</f>
        <v/>
      </c>
      <c r="O27" t="str">
        <f>IF($V27&lt;&gt;"OK","",RANK(I27,$E27:$J27,0)+COUNTIF($E27:I27,I27)-1)</f>
        <v/>
      </c>
      <c r="P27" t="str">
        <f>IF($V27&lt;&gt;"OK","",RANK(J27,$E27:$J27,0)+COUNTIF($E27:J27,J27)-1)</f>
        <v/>
      </c>
      <c r="Q27" t="str">
        <f t="shared" si="7"/>
        <v/>
      </c>
      <c r="R27" t="str">
        <f t="shared" si="8"/>
        <v/>
      </c>
      <c r="S27" t="str">
        <f t="shared" si="9"/>
        <v/>
      </c>
      <c r="T27" t="str">
        <f t="shared" si="10"/>
        <v/>
      </c>
      <c r="U27" s="1" t="str">
        <f>IF($T27="","",IFERROR(VLOOKUP($T27,'Kunci dari RIASEC'!$A$4:$B$123,2,FALSE),"Rekomendasi belum tersedia"))</f>
        <v/>
      </c>
      <c r="V27" t="str">
        <f>IF('entri hasil dari isian siswa'!B27="","",'entri hasil dari isian siswa'!HY27)</f>
        <v>Lengkapi 12 Self Estimate</v>
      </c>
      <c r="W27">
        <f>IF($B27="","",SUM('entri hasil dari isian siswa'!E27:O27))</f>
        <v>0</v>
      </c>
      <c r="X27">
        <f>IF($B27="","",SUM('entri hasil dari isian siswa'!P27:Z27))</f>
        <v>0</v>
      </c>
      <c r="Y27">
        <f>IF($B27="","",SUM('entri hasil dari isian siswa'!AA27:AK27))</f>
        <v>0</v>
      </c>
      <c r="Z27">
        <f>IF($B27="","",SUM('entri hasil dari isian siswa'!AL27:AV27))</f>
        <v>0</v>
      </c>
      <c r="AA27">
        <f>IF($B27="","",SUM('entri hasil dari isian siswa'!AW27:BG27))</f>
        <v>0</v>
      </c>
      <c r="AB27">
        <f>IF($B27="","",SUM('entri hasil dari isian siswa'!BH27:BR27))</f>
        <v>0</v>
      </c>
      <c r="AC27">
        <f>IF($B27="","",SUM('entri hasil dari isian siswa'!BS27:CC27))</f>
        <v>0</v>
      </c>
      <c r="AD27">
        <f>IF($B27="","",SUM('entri hasil dari isian siswa'!CD27:CN27))</f>
        <v>0</v>
      </c>
      <c r="AE27">
        <f>IF($B27="","",SUM('entri hasil dari isian siswa'!CO27:CY27))</f>
        <v>0</v>
      </c>
      <c r="AF27">
        <f>IF($B27="","",SUM('entri hasil dari isian siswa'!CZ27:DJ27))</f>
        <v>0</v>
      </c>
      <c r="AG27">
        <f>IF($B27="","",SUM('entri hasil dari isian siswa'!DK27:DU27))</f>
        <v>0</v>
      </c>
      <c r="AH27">
        <f>IF($B27="","",SUM('entri hasil dari isian siswa'!DV27:EF27))</f>
        <v>0</v>
      </c>
      <c r="AI27">
        <f>IF($B27="","",SUM('entri hasil dari isian siswa'!EG27:ET27))</f>
        <v>0</v>
      </c>
      <c r="AJ27">
        <f>IF($B27="","",SUM('entri hasil dari isian siswa'!EU27:FH27))</f>
        <v>0</v>
      </c>
      <c r="AK27">
        <f>IF($B27="","",SUM('entri hasil dari isian siswa'!FI27:FV27))</f>
        <v>0</v>
      </c>
      <c r="AL27">
        <f>IF($B27="","",SUM('entri hasil dari isian siswa'!FW27:GJ27))</f>
        <v>0</v>
      </c>
      <c r="AM27">
        <f>IF($B27="","",SUM('entri hasil dari isian siswa'!GK27:GX27))</f>
        <v>0</v>
      </c>
      <c r="AN27">
        <f>IF($B27="","",SUM('entri hasil dari isian siswa'!GY27:HL27))</f>
        <v>0</v>
      </c>
      <c r="AO27">
        <f>IF($B27="","",'entri hasil dari isian siswa'!HM27+'entri hasil dari isian siswa'!HS27)</f>
        <v>0</v>
      </c>
      <c r="AP27">
        <f>IF($B27="","",'entri hasil dari isian siswa'!HN27+'entri hasil dari isian siswa'!HT27)</f>
        <v>0</v>
      </c>
      <c r="AQ27">
        <f>IF($B27="","",'entri hasil dari isian siswa'!HO27+'entri hasil dari isian siswa'!HU27)</f>
        <v>0</v>
      </c>
      <c r="AR27">
        <f>IF($B27="","",'entri hasil dari isian siswa'!HP27+'entri hasil dari isian siswa'!HV27)</f>
        <v>0</v>
      </c>
      <c r="AS27">
        <f>IF($B27="","",'entri hasil dari isian siswa'!HQ27+'entri hasil dari isian siswa'!HW27)</f>
        <v>0</v>
      </c>
      <c r="AT27">
        <f>IF($B27="","",'entri hasil dari isian siswa'!HR27+'entri hasil dari isian siswa'!HX27)</f>
        <v>0</v>
      </c>
      <c r="AU27" s="69" t="str">
        <f t="shared" si="11"/>
        <v/>
      </c>
      <c r="AV27" s="69" t="str">
        <f>IF($AU27="","",IFERROR(VLOOKUP($AU27,'Kunci dari RIASEC'!$J$4:$K$33,2,FALSE),""))</f>
        <v/>
      </c>
    </row>
    <row r="28" spans="1:48">
      <c r="A28">
        <f t="shared" si="0"/>
        <v>24</v>
      </c>
      <c r="B28" t="str">
        <f>IF('entri hasil dari isian siswa'!B28="","",'entri hasil dari isian siswa'!B28)</f>
        <v>22024</v>
      </c>
      <c r="C28" t="str">
        <f>IF('entri hasil dari isian siswa'!C28="","",'entri hasil dari isian siswa'!C28)</f>
        <v>Titi Larasati</v>
      </c>
      <c r="D28" t="str">
        <f>IF('entri hasil dari isian siswa'!D28="","",'entri hasil dari isian siswa'!D28)</f>
        <v>L</v>
      </c>
      <c r="E28">
        <f t="shared" si="1"/>
        <v>0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 t="str">
        <f>IF($V28&lt;&gt;"OK","",RANK(E28,$E28:$J28,0)+COUNTIF($E28:E28,E28)-1)</f>
        <v/>
      </c>
      <c r="L28" t="str">
        <f>IF($V28&lt;&gt;"OK","",RANK(F28,$E28:$J28,0)+COUNTIF($E28:F28,F28)-1)</f>
        <v/>
      </c>
      <c r="M28" t="str">
        <f>IF($V28&lt;&gt;"OK","",RANK(G28,$E28:$J28,0)+COUNTIF($E28:G28,G28)-1)</f>
        <v/>
      </c>
      <c r="N28" t="str">
        <f>IF($V28&lt;&gt;"OK","",RANK(H28,$E28:$J28,0)+COUNTIF($E28:H28,H28)-1)</f>
        <v/>
      </c>
      <c r="O28" t="str">
        <f>IF($V28&lt;&gt;"OK","",RANK(I28,$E28:$J28,0)+COUNTIF($E28:I28,I28)-1)</f>
        <v/>
      </c>
      <c r="P28" t="str">
        <f>IF($V28&lt;&gt;"OK","",RANK(J28,$E28:$J28,0)+COUNTIF($E28:J28,J28)-1)</f>
        <v/>
      </c>
      <c r="Q28" t="str">
        <f t="shared" si="7"/>
        <v/>
      </c>
      <c r="R28" t="str">
        <f t="shared" si="8"/>
        <v/>
      </c>
      <c r="S28" t="str">
        <f t="shared" si="9"/>
        <v/>
      </c>
      <c r="T28" t="str">
        <f t="shared" si="10"/>
        <v/>
      </c>
      <c r="U28" s="1" t="str">
        <f>IF($T28="","",IFERROR(VLOOKUP($T28,'Kunci dari RIASEC'!$A$4:$B$123,2,FALSE),"Rekomendasi belum tersedia"))</f>
        <v/>
      </c>
      <c r="V28" t="str">
        <f>IF('entri hasil dari isian siswa'!B28="","",'entri hasil dari isian siswa'!HY28)</f>
        <v>Lengkapi 12 Self Estimate</v>
      </c>
      <c r="W28">
        <f>IF($B28="","",SUM('entri hasil dari isian siswa'!E28:O28))</f>
        <v>0</v>
      </c>
      <c r="X28">
        <f>IF($B28="","",SUM('entri hasil dari isian siswa'!P28:Z28))</f>
        <v>0</v>
      </c>
      <c r="Y28">
        <f>IF($B28="","",SUM('entri hasil dari isian siswa'!AA28:AK28))</f>
        <v>0</v>
      </c>
      <c r="Z28">
        <f>IF($B28="","",SUM('entri hasil dari isian siswa'!AL28:AV28))</f>
        <v>0</v>
      </c>
      <c r="AA28">
        <f>IF($B28="","",SUM('entri hasil dari isian siswa'!AW28:BG28))</f>
        <v>0</v>
      </c>
      <c r="AB28">
        <f>IF($B28="","",SUM('entri hasil dari isian siswa'!BH28:BR28))</f>
        <v>0</v>
      </c>
      <c r="AC28">
        <f>IF($B28="","",SUM('entri hasil dari isian siswa'!BS28:CC28))</f>
        <v>0</v>
      </c>
      <c r="AD28">
        <f>IF($B28="","",SUM('entri hasil dari isian siswa'!CD28:CN28))</f>
        <v>0</v>
      </c>
      <c r="AE28">
        <f>IF($B28="","",SUM('entri hasil dari isian siswa'!CO28:CY28))</f>
        <v>0</v>
      </c>
      <c r="AF28">
        <f>IF($B28="","",SUM('entri hasil dari isian siswa'!CZ28:DJ28))</f>
        <v>0</v>
      </c>
      <c r="AG28">
        <f>IF($B28="","",SUM('entri hasil dari isian siswa'!DK28:DU28))</f>
        <v>0</v>
      </c>
      <c r="AH28">
        <f>IF($B28="","",SUM('entri hasil dari isian siswa'!DV28:EF28))</f>
        <v>0</v>
      </c>
      <c r="AI28">
        <f>IF($B28="","",SUM('entri hasil dari isian siswa'!EG28:ET28))</f>
        <v>0</v>
      </c>
      <c r="AJ28">
        <f>IF($B28="","",SUM('entri hasil dari isian siswa'!EU28:FH28))</f>
        <v>0</v>
      </c>
      <c r="AK28">
        <f>IF($B28="","",SUM('entri hasil dari isian siswa'!FI28:FV28))</f>
        <v>0</v>
      </c>
      <c r="AL28">
        <f>IF($B28="","",SUM('entri hasil dari isian siswa'!FW28:GJ28))</f>
        <v>0</v>
      </c>
      <c r="AM28">
        <f>IF($B28="","",SUM('entri hasil dari isian siswa'!GK28:GX28))</f>
        <v>0</v>
      </c>
      <c r="AN28">
        <f>IF($B28="","",SUM('entri hasil dari isian siswa'!GY28:HL28))</f>
        <v>0</v>
      </c>
      <c r="AO28">
        <f>IF($B28="","",'entri hasil dari isian siswa'!HM28+'entri hasil dari isian siswa'!HS28)</f>
        <v>0</v>
      </c>
      <c r="AP28">
        <f>IF($B28="","",'entri hasil dari isian siswa'!HN28+'entri hasil dari isian siswa'!HT28)</f>
        <v>0</v>
      </c>
      <c r="AQ28">
        <f>IF($B28="","",'entri hasil dari isian siswa'!HO28+'entri hasil dari isian siswa'!HU28)</f>
        <v>0</v>
      </c>
      <c r="AR28">
        <f>IF($B28="","",'entri hasil dari isian siswa'!HP28+'entri hasil dari isian siswa'!HV28)</f>
        <v>0</v>
      </c>
      <c r="AS28">
        <f>IF($B28="","",'entri hasil dari isian siswa'!HQ28+'entri hasil dari isian siswa'!HW28)</f>
        <v>0</v>
      </c>
      <c r="AT28">
        <f>IF($B28="","",'entri hasil dari isian siswa'!HR28+'entri hasil dari isian siswa'!HX28)</f>
        <v>0</v>
      </c>
      <c r="AU28" s="69" t="str">
        <f t="shared" si="11"/>
        <v/>
      </c>
      <c r="AV28" s="69" t="str">
        <f>IF($AU28="","",IFERROR(VLOOKUP($AU28,'Kunci dari RIASEC'!$J$4:$K$33,2,FALSE),""))</f>
        <v/>
      </c>
    </row>
    <row r="29" spans="1:48">
      <c r="A29">
        <f t="shared" si="0"/>
        <v>25</v>
      </c>
      <c r="B29" t="str">
        <f>IF('entri hasil dari isian siswa'!B29="","",'entri hasil dari isian siswa'!B29)</f>
        <v>22025</v>
      </c>
      <c r="C29" t="str">
        <f>IF('entri hasil dari isian siswa'!C29="","",'entri hasil dari isian siswa'!C29)</f>
        <v>Tri Purwaningsih</v>
      </c>
      <c r="D29" t="str">
        <f>IF('entri hasil dari isian siswa'!D29="","",'entri hasil dari isian siswa'!D29)</f>
        <v>L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0</v>
      </c>
      <c r="I29">
        <f t="shared" si="5"/>
        <v>0</v>
      </c>
      <c r="J29">
        <f t="shared" si="6"/>
        <v>0</v>
      </c>
      <c r="K29" t="str">
        <f>IF($V29&lt;&gt;"OK","",RANK(E29,$E29:$J29,0)+COUNTIF($E29:E29,E29)-1)</f>
        <v/>
      </c>
      <c r="L29" t="str">
        <f>IF($V29&lt;&gt;"OK","",RANK(F29,$E29:$J29,0)+COUNTIF($E29:F29,F29)-1)</f>
        <v/>
      </c>
      <c r="M29" t="str">
        <f>IF($V29&lt;&gt;"OK","",RANK(G29,$E29:$J29,0)+COUNTIF($E29:G29,G29)-1)</f>
        <v/>
      </c>
      <c r="N29" t="str">
        <f>IF($V29&lt;&gt;"OK","",RANK(H29,$E29:$J29,0)+COUNTIF($E29:H29,H29)-1)</f>
        <v/>
      </c>
      <c r="O29" t="str">
        <f>IF($V29&lt;&gt;"OK","",RANK(I29,$E29:$J29,0)+COUNTIF($E29:I29,I29)-1)</f>
        <v/>
      </c>
      <c r="P29" t="str">
        <f>IF($V29&lt;&gt;"OK","",RANK(J29,$E29:$J29,0)+COUNTIF($E29:J29,J29)-1)</f>
        <v/>
      </c>
      <c r="Q29" t="str">
        <f t="shared" si="7"/>
        <v/>
      </c>
      <c r="R29" t="str">
        <f t="shared" si="8"/>
        <v/>
      </c>
      <c r="S29" t="str">
        <f t="shared" si="9"/>
        <v/>
      </c>
      <c r="T29" t="str">
        <f t="shared" si="10"/>
        <v/>
      </c>
      <c r="U29" s="1" t="str">
        <f>IF($T29="","",IFERROR(VLOOKUP($T29,'Kunci dari RIASEC'!$A$4:$B$123,2,FALSE),"Rekomendasi belum tersedia"))</f>
        <v/>
      </c>
      <c r="V29" t="str">
        <f>IF('entri hasil dari isian siswa'!B29="","",'entri hasil dari isian siswa'!HY29)</f>
        <v>Lengkapi 12 Self Estimate</v>
      </c>
      <c r="W29">
        <f>IF($B29="","",SUM('entri hasil dari isian siswa'!E29:O29))</f>
        <v>0</v>
      </c>
      <c r="X29">
        <f>IF($B29="","",SUM('entri hasil dari isian siswa'!P29:Z29))</f>
        <v>0</v>
      </c>
      <c r="Y29">
        <f>IF($B29="","",SUM('entri hasil dari isian siswa'!AA29:AK29))</f>
        <v>0</v>
      </c>
      <c r="Z29">
        <f>IF($B29="","",SUM('entri hasil dari isian siswa'!AL29:AV29))</f>
        <v>0</v>
      </c>
      <c r="AA29">
        <f>IF($B29="","",SUM('entri hasil dari isian siswa'!AW29:BG29))</f>
        <v>0</v>
      </c>
      <c r="AB29">
        <f>IF($B29="","",SUM('entri hasil dari isian siswa'!BH29:BR29))</f>
        <v>0</v>
      </c>
      <c r="AC29">
        <f>IF($B29="","",SUM('entri hasil dari isian siswa'!BS29:CC29))</f>
        <v>0</v>
      </c>
      <c r="AD29">
        <f>IF($B29="","",SUM('entri hasil dari isian siswa'!CD29:CN29))</f>
        <v>0</v>
      </c>
      <c r="AE29">
        <f>IF($B29="","",SUM('entri hasil dari isian siswa'!CO29:CY29))</f>
        <v>0</v>
      </c>
      <c r="AF29">
        <f>IF($B29="","",SUM('entri hasil dari isian siswa'!CZ29:DJ29))</f>
        <v>0</v>
      </c>
      <c r="AG29">
        <f>IF($B29="","",SUM('entri hasil dari isian siswa'!DK29:DU29))</f>
        <v>0</v>
      </c>
      <c r="AH29">
        <f>IF($B29="","",SUM('entri hasil dari isian siswa'!DV29:EF29))</f>
        <v>0</v>
      </c>
      <c r="AI29">
        <f>IF($B29="","",SUM('entri hasil dari isian siswa'!EG29:ET29))</f>
        <v>0</v>
      </c>
      <c r="AJ29">
        <f>IF($B29="","",SUM('entri hasil dari isian siswa'!EU29:FH29))</f>
        <v>0</v>
      </c>
      <c r="AK29">
        <f>IF($B29="","",SUM('entri hasil dari isian siswa'!FI29:FV29))</f>
        <v>0</v>
      </c>
      <c r="AL29">
        <f>IF($B29="","",SUM('entri hasil dari isian siswa'!FW29:GJ29))</f>
        <v>0</v>
      </c>
      <c r="AM29">
        <f>IF($B29="","",SUM('entri hasil dari isian siswa'!GK29:GX29))</f>
        <v>0</v>
      </c>
      <c r="AN29">
        <f>IF($B29="","",SUM('entri hasil dari isian siswa'!GY29:HL29))</f>
        <v>0</v>
      </c>
      <c r="AO29">
        <f>IF($B29="","",'entri hasil dari isian siswa'!HM29+'entri hasil dari isian siswa'!HS29)</f>
        <v>0</v>
      </c>
      <c r="AP29">
        <f>IF($B29="","",'entri hasil dari isian siswa'!HN29+'entri hasil dari isian siswa'!HT29)</f>
        <v>0</v>
      </c>
      <c r="AQ29">
        <f>IF($B29="","",'entri hasil dari isian siswa'!HO29+'entri hasil dari isian siswa'!HU29)</f>
        <v>0</v>
      </c>
      <c r="AR29">
        <f>IF($B29="","",'entri hasil dari isian siswa'!HP29+'entri hasil dari isian siswa'!HV29)</f>
        <v>0</v>
      </c>
      <c r="AS29">
        <f>IF($B29="","",'entri hasil dari isian siswa'!HQ29+'entri hasil dari isian siswa'!HW29)</f>
        <v>0</v>
      </c>
      <c r="AT29">
        <f>IF($B29="","",'entri hasil dari isian siswa'!HR29+'entri hasil dari isian siswa'!HX29)</f>
        <v>0</v>
      </c>
      <c r="AU29" s="69" t="str">
        <f t="shared" si="11"/>
        <v/>
      </c>
      <c r="AV29" s="69" t="str">
        <f>IF($AU29="","",IFERROR(VLOOKUP($AU29,'Kunci dari RIASEC'!$J$4:$K$33,2,FALSE),""))</f>
        <v/>
      </c>
    </row>
    <row r="30" spans="1:48">
      <c r="A30">
        <f t="shared" si="0"/>
        <v>26</v>
      </c>
      <c r="B30" t="str">
        <f>IF('entri hasil dari isian siswa'!B30="","",'entri hasil dari isian siswa'!B30)</f>
        <v>22026</v>
      </c>
      <c r="C30" t="str">
        <f>IF('entri hasil dari isian siswa'!C30="","",'entri hasil dari isian siswa'!C30)</f>
        <v>Vindi Apriyanasari</v>
      </c>
      <c r="D30" t="str">
        <f>IF('entri hasil dari isian siswa'!D30="","",'entri hasil dari isian siswa'!D30)</f>
        <v>L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  <c r="I30">
        <f t="shared" si="5"/>
        <v>0</v>
      </c>
      <c r="J30">
        <f t="shared" si="6"/>
        <v>0</v>
      </c>
      <c r="K30" t="str">
        <f>IF($V30&lt;&gt;"OK","",RANK(E30,$E30:$J30,0)+COUNTIF($E30:E30,E30)-1)</f>
        <v/>
      </c>
      <c r="L30" t="str">
        <f>IF($V30&lt;&gt;"OK","",RANK(F30,$E30:$J30,0)+COUNTIF($E30:F30,F30)-1)</f>
        <v/>
      </c>
      <c r="M30" t="str">
        <f>IF($V30&lt;&gt;"OK","",RANK(G30,$E30:$J30,0)+COUNTIF($E30:G30,G30)-1)</f>
        <v/>
      </c>
      <c r="N30" t="str">
        <f>IF($V30&lt;&gt;"OK","",RANK(H30,$E30:$J30,0)+COUNTIF($E30:H30,H30)-1)</f>
        <v/>
      </c>
      <c r="O30" t="str">
        <f>IF($V30&lt;&gt;"OK","",RANK(I30,$E30:$J30,0)+COUNTIF($E30:I30,I30)-1)</f>
        <v/>
      </c>
      <c r="P30" t="str">
        <f>IF($V30&lt;&gt;"OK","",RANK(J30,$E30:$J30,0)+COUNTIF($E30:J30,J30)-1)</f>
        <v/>
      </c>
      <c r="Q30" t="str">
        <f t="shared" si="7"/>
        <v/>
      </c>
      <c r="R30" t="str">
        <f t="shared" si="8"/>
        <v/>
      </c>
      <c r="S30" t="str">
        <f t="shared" si="9"/>
        <v/>
      </c>
      <c r="T30" t="str">
        <f t="shared" si="10"/>
        <v/>
      </c>
      <c r="U30" s="1" t="str">
        <f>IF($T30="","",IFERROR(VLOOKUP($T30,'Kunci dari RIASEC'!$A$4:$B$123,2,FALSE),"Rekomendasi belum tersedia"))</f>
        <v/>
      </c>
      <c r="V30" t="str">
        <f>IF('entri hasil dari isian siswa'!B30="","",'entri hasil dari isian siswa'!HY30)</f>
        <v>Lengkapi 12 Self Estimate</v>
      </c>
      <c r="W30">
        <f>IF($B30="","",SUM('entri hasil dari isian siswa'!E30:O30))</f>
        <v>0</v>
      </c>
      <c r="X30">
        <f>IF($B30="","",SUM('entri hasil dari isian siswa'!P30:Z30))</f>
        <v>0</v>
      </c>
      <c r="Y30">
        <f>IF($B30="","",SUM('entri hasil dari isian siswa'!AA30:AK30))</f>
        <v>0</v>
      </c>
      <c r="Z30">
        <f>IF($B30="","",SUM('entri hasil dari isian siswa'!AL30:AV30))</f>
        <v>0</v>
      </c>
      <c r="AA30">
        <f>IF($B30="","",SUM('entri hasil dari isian siswa'!AW30:BG30))</f>
        <v>0</v>
      </c>
      <c r="AB30">
        <f>IF($B30="","",SUM('entri hasil dari isian siswa'!BH30:BR30))</f>
        <v>0</v>
      </c>
      <c r="AC30">
        <f>IF($B30="","",SUM('entri hasil dari isian siswa'!BS30:CC30))</f>
        <v>0</v>
      </c>
      <c r="AD30">
        <f>IF($B30="","",SUM('entri hasil dari isian siswa'!CD30:CN30))</f>
        <v>0</v>
      </c>
      <c r="AE30">
        <f>IF($B30="","",SUM('entri hasil dari isian siswa'!CO30:CY30))</f>
        <v>0</v>
      </c>
      <c r="AF30">
        <f>IF($B30="","",SUM('entri hasil dari isian siswa'!CZ30:DJ30))</f>
        <v>0</v>
      </c>
      <c r="AG30">
        <f>IF($B30="","",SUM('entri hasil dari isian siswa'!DK30:DU30))</f>
        <v>0</v>
      </c>
      <c r="AH30">
        <f>IF($B30="","",SUM('entri hasil dari isian siswa'!DV30:EF30))</f>
        <v>0</v>
      </c>
      <c r="AI30">
        <f>IF($B30="","",SUM('entri hasil dari isian siswa'!EG30:ET30))</f>
        <v>0</v>
      </c>
      <c r="AJ30">
        <f>IF($B30="","",SUM('entri hasil dari isian siswa'!EU30:FH30))</f>
        <v>0</v>
      </c>
      <c r="AK30">
        <f>IF($B30="","",SUM('entri hasil dari isian siswa'!FI30:FV30))</f>
        <v>0</v>
      </c>
      <c r="AL30">
        <f>IF($B30="","",SUM('entri hasil dari isian siswa'!FW30:GJ30))</f>
        <v>0</v>
      </c>
      <c r="AM30">
        <f>IF($B30="","",SUM('entri hasil dari isian siswa'!GK30:GX30))</f>
        <v>0</v>
      </c>
      <c r="AN30">
        <f>IF($B30="","",SUM('entri hasil dari isian siswa'!GY30:HL30))</f>
        <v>0</v>
      </c>
      <c r="AO30">
        <f>IF($B30="","",'entri hasil dari isian siswa'!HM30+'entri hasil dari isian siswa'!HS30)</f>
        <v>0</v>
      </c>
      <c r="AP30">
        <f>IF($B30="","",'entri hasil dari isian siswa'!HN30+'entri hasil dari isian siswa'!HT30)</f>
        <v>0</v>
      </c>
      <c r="AQ30">
        <f>IF($B30="","",'entri hasil dari isian siswa'!HO30+'entri hasil dari isian siswa'!HU30)</f>
        <v>0</v>
      </c>
      <c r="AR30">
        <f>IF($B30="","",'entri hasil dari isian siswa'!HP30+'entri hasil dari isian siswa'!HV30)</f>
        <v>0</v>
      </c>
      <c r="AS30">
        <f>IF($B30="","",'entri hasil dari isian siswa'!HQ30+'entri hasil dari isian siswa'!HW30)</f>
        <v>0</v>
      </c>
      <c r="AT30">
        <f>IF($B30="","",'entri hasil dari isian siswa'!HR30+'entri hasil dari isian siswa'!HX30)</f>
        <v>0</v>
      </c>
      <c r="AU30" s="69" t="str">
        <f t="shared" si="11"/>
        <v/>
      </c>
      <c r="AV30" s="69" t="str">
        <f>IF($AU30="","",IFERROR(VLOOKUP($AU30,'Kunci dari RIASEC'!$J$4:$K$33,2,FALSE),""))</f>
        <v/>
      </c>
    </row>
    <row r="31" spans="1:48">
      <c r="A31">
        <f t="shared" si="0"/>
        <v>27</v>
      </c>
      <c r="B31" t="str">
        <f>IF('entri hasil dari isian siswa'!B31="","",'entri hasil dari isian siswa'!B31)</f>
        <v>22027</v>
      </c>
      <c r="C31" t="str">
        <f>IF('entri hasil dari isian siswa'!C31="","",'entri hasil dari isian siswa'!C31)</f>
        <v>Sofiyani</v>
      </c>
      <c r="D31" t="str">
        <f>IF('entri hasil dari isian siswa'!D31="","",'entri hasil dari isian siswa'!D31)</f>
        <v>L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  <c r="I31">
        <f t="shared" si="5"/>
        <v>0</v>
      </c>
      <c r="J31">
        <f t="shared" si="6"/>
        <v>0</v>
      </c>
      <c r="K31" t="str">
        <f>IF($V31&lt;&gt;"OK","",RANK(E31,$E31:$J31,0)+COUNTIF($E31:E31,E31)-1)</f>
        <v/>
      </c>
      <c r="L31" t="str">
        <f>IF($V31&lt;&gt;"OK","",RANK(F31,$E31:$J31,0)+COUNTIF($E31:F31,F31)-1)</f>
        <v/>
      </c>
      <c r="M31" t="str">
        <f>IF($V31&lt;&gt;"OK","",RANK(G31,$E31:$J31,0)+COUNTIF($E31:G31,G31)-1)</f>
        <v/>
      </c>
      <c r="N31" t="str">
        <f>IF($V31&lt;&gt;"OK","",RANK(H31,$E31:$J31,0)+COUNTIF($E31:H31,H31)-1)</f>
        <v/>
      </c>
      <c r="O31" t="str">
        <f>IF($V31&lt;&gt;"OK","",RANK(I31,$E31:$J31,0)+COUNTIF($E31:I31,I31)-1)</f>
        <v/>
      </c>
      <c r="P31" t="str">
        <f>IF($V31&lt;&gt;"OK","",RANK(J31,$E31:$J31,0)+COUNTIF($E31:J31,J31)-1)</f>
        <v/>
      </c>
      <c r="Q31" t="str">
        <f t="shared" si="7"/>
        <v/>
      </c>
      <c r="R31" t="str">
        <f t="shared" si="8"/>
        <v/>
      </c>
      <c r="S31" t="str">
        <f t="shared" si="9"/>
        <v/>
      </c>
      <c r="T31" t="str">
        <f t="shared" si="10"/>
        <v/>
      </c>
      <c r="U31" s="1" t="str">
        <f>IF($T31="","",IFERROR(VLOOKUP($T31,'Kunci dari RIASEC'!$A$4:$B$123,2,FALSE),"Rekomendasi belum tersedia"))</f>
        <v/>
      </c>
      <c r="V31" t="str">
        <f>IF('entri hasil dari isian siswa'!B31="","",'entri hasil dari isian siswa'!HY31)</f>
        <v>Lengkapi 12 Self Estimate</v>
      </c>
      <c r="W31">
        <f>IF($B31="","",SUM('entri hasil dari isian siswa'!E31:O31))</f>
        <v>0</v>
      </c>
      <c r="X31">
        <f>IF($B31="","",SUM('entri hasil dari isian siswa'!P31:Z31))</f>
        <v>0</v>
      </c>
      <c r="Y31">
        <f>IF($B31="","",SUM('entri hasil dari isian siswa'!AA31:AK31))</f>
        <v>0</v>
      </c>
      <c r="Z31">
        <f>IF($B31="","",SUM('entri hasil dari isian siswa'!AL31:AV31))</f>
        <v>0</v>
      </c>
      <c r="AA31">
        <f>IF($B31="","",SUM('entri hasil dari isian siswa'!AW31:BG31))</f>
        <v>0</v>
      </c>
      <c r="AB31">
        <f>IF($B31="","",SUM('entri hasil dari isian siswa'!BH31:BR31))</f>
        <v>0</v>
      </c>
      <c r="AC31">
        <f>IF($B31="","",SUM('entri hasil dari isian siswa'!BS31:CC31))</f>
        <v>0</v>
      </c>
      <c r="AD31">
        <f>IF($B31="","",SUM('entri hasil dari isian siswa'!CD31:CN31))</f>
        <v>0</v>
      </c>
      <c r="AE31">
        <f>IF($B31="","",SUM('entri hasil dari isian siswa'!CO31:CY31))</f>
        <v>0</v>
      </c>
      <c r="AF31">
        <f>IF($B31="","",SUM('entri hasil dari isian siswa'!CZ31:DJ31))</f>
        <v>0</v>
      </c>
      <c r="AG31">
        <f>IF($B31="","",SUM('entri hasil dari isian siswa'!DK31:DU31))</f>
        <v>0</v>
      </c>
      <c r="AH31">
        <f>IF($B31="","",SUM('entri hasil dari isian siswa'!DV31:EF31))</f>
        <v>0</v>
      </c>
      <c r="AI31">
        <f>IF($B31="","",SUM('entri hasil dari isian siswa'!EG31:ET31))</f>
        <v>0</v>
      </c>
      <c r="AJ31">
        <f>IF($B31="","",SUM('entri hasil dari isian siswa'!EU31:FH31))</f>
        <v>0</v>
      </c>
      <c r="AK31">
        <f>IF($B31="","",SUM('entri hasil dari isian siswa'!FI31:FV31))</f>
        <v>0</v>
      </c>
      <c r="AL31">
        <f>IF($B31="","",SUM('entri hasil dari isian siswa'!FW31:GJ31))</f>
        <v>0</v>
      </c>
      <c r="AM31">
        <f>IF($B31="","",SUM('entri hasil dari isian siswa'!GK31:GX31))</f>
        <v>0</v>
      </c>
      <c r="AN31">
        <f>IF($B31="","",SUM('entri hasil dari isian siswa'!GY31:HL31))</f>
        <v>0</v>
      </c>
      <c r="AO31">
        <f>IF($B31="","",'entri hasil dari isian siswa'!HM31+'entri hasil dari isian siswa'!HS31)</f>
        <v>0</v>
      </c>
      <c r="AP31">
        <f>IF($B31="","",'entri hasil dari isian siswa'!HN31+'entri hasil dari isian siswa'!HT31)</f>
        <v>0</v>
      </c>
      <c r="AQ31">
        <f>IF($B31="","",'entri hasil dari isian siswa'!HO31+'entri hasil dari isian siswa'!HU31)</f>
        <v>0</v>
      </c>
      <c r="AR31">
        <f>IF($B31="","",'entri hasil dari isian siswa'!HP31+'entri hasil dari isian siswa'!HV31)</f>
        <v>0</v>
      </c>
      <c r="AS31">
        <f>IF($B31="","",'entri hasil dari isian siswa'!HQ31+'entri hasil dari isian siswa'!HW31)</f>
        <v>0</v>
      </c>
      <c r="AT31">
        <f>IF($B31="","",'entri hasil dari isian siswa'!HR31+'entri hasil dari isian siswa'!HX31)</f>
        <v>0</v>
      </c>
      <c r="AU31" s="69" t="str">
        <f t="shared" si="11"/>
        <v/>
      </c>
      <c r="AV31" s="69" t="str">
        <f>IF($AU31="","",IFERROR(VLOOKUP($AU31,'Kunci dari RIASEC'!$J$4:$K$33,2,FALSE),""))</f>
        <v/>
      </c>
    </row>
    <row r="32" spans="1:48">
      <c r="A32">
        <f t="shared" si="0"/>
        <v>28</v>
      </c>
      <c r="B32" t="str">
        <f>IF('entri hasil dari isian siswa'!B32="","",'entri hasil dari isian siswa'!B32)</f>
        <v>22028</v>
      </c>
      <c r="C32" t="str">
        <f>IF('entri hasil dari isian siswa'!C32="","",'entri hasil dari isian siswa'!C32)</f>
        <v>Alfarisi Akbar Efendi</v>
      </c>
      <c r="D32" t="str">
        <f>IF('entri hasil dari isian siswa'!D32="","",'entri hasil dari isian siswa'!D32)</f>
        <v>L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  <c r="K32" t="str">
        <f>IF($V32&lt;&gt;"OK","",RANK(E32,$E32:$J32,0)+COUNTIF($E32:E32,E32)-1)</f>
        <v/>
      </c>
      <c r="L32" t="str">
        <f>IF($V32&lt;&gt;"OK","",RANK(F32,$E32:$J32,0)+COUNTIF($E32:F32,F32)-1)</f>
        <v/>
      </c>
      <c r="M32" t="str">
        <f>IF($V32&lt;&gt;"OK","",RANK(G32,$E32:$J32,0)+COUNTIF($E32:G32,G32)-1)</f>
        <v/>
      </c>
      <c r="N32" t="str">
        <f>IF($V32&lt;&gt;"OK","",RANK(H32,$E32:$J32,0)+COUNTIF($E32:H32,H32)-1)</f>
        <v/>
      </c>
      <c r="O32" t="str">
        <f>IF($V32&lt;&gt;"OK","",RANK(I32,$E32:$J32,0)+COUNTIF($E32:I32,I32)-1)</f>
        <v/>
      </c>
      <c r="P32" t="str">
        <f>IF($V32&lt;&gt;"OK","",RANK(J32,$E32:$J32,0)+COUNTIF($E32:J32,J32)-1)</f>
        <v/>
      </c>
      <c r="Q32" t="str">
        <f t="shared" si="7"/>
        <v/>
      </c>
      <c r="R32" t="str">
        <f t="shared" si="8"/>
        <v/>
      </c>
      <c r="S32" t="str">
        <f t="shared" si="9"/>
        <v/>
      </c>
      <c r="T32" t="str">
        <f t="shared" si="10"/>
        <v/>
      </c>
      <c r="U32" s="1" t="str">
        <f>IF($T32="","",IFERROR(VLOOKUP($T32,'Kunci dari RIASEC'!$A$4:$B$123,2,FALSE),"Rekomendasi belum tersedia"))</f>
        <v/>
      </c>
      <c r="V32" t="str">
        <f>IF('entri hasil dari isian siswa'!B32="","",'entri hasil dari isian siswa'!HY32)</f>
        <v>Lengkapi 12 Self Estimate</v>
      </c>
      <c r="W32">
        <f>IF($B32="","",SUM('entri hasil dari isian siswa'!E32:O32))</f>
        <v>0</v>
      </c>
      <c r="X32">
        <f>IF($B32="","",SUM('entri hasil dari isian siswa'!P32:Z32))</f>
        <v>0</v>
      </c>
      <c r="Y32">
        <f>IF($B32="","",SUM('entri hasil dari isian siswa'!AA32:AK32))</f>
        <v>0</v>
      </c>
      <c r="Z32">
        <f>IF($B32="","",SUM('entri hasil dari isian siswa'!AL32:AV32))</f>
        <v>0</v>
      </c>
      <c r="AA32">
        <f>IF($B32="","",SUM('entri hasil dari isian siswa'!AW32:BG32))</f>
        <v>0</v>
      </c>
      <c r="AB32">
        <f>IF($B32="","",SUM('entri hasil dari isian siswa'!BH32:BR32))</f>
        <v>0</v>
      </c>
      <c r="AC32">
        <f>IF($B32="","",SUM('entri hasil dari isian siswa'!BS32:CC32))</f>
        <v>0</v>
      </c>
      <c r="AD32">
        <f>IF($B32="","",SUM('entri hasil dari isian siswa'!CD32:CN32))</f>
        <v>0</v>
      </c>
      <c r="AE32">
        <f>IF($B32="","",SUM('entri hasil dari isian siswa'!CO32:CY32))</f>
        <v>0</v>
      </c>
      <c r="AF32">
        <f>IF($B32="","",SUM('entri hasil dari isian siswa'!CZ32:DJ32))</f>
        <v>0</v>
      </c>
      <c r="AG32">
        <f>IF($B32="","",SUM('entri hasil dari isian siswa'!DK32:DU32))</f>
        <v>0</v>
      </c>
      <c r="AH32">
        <f>IF($B32="","",SUM('entri hasil dari isian siswa'!DV32:EF32))</f>
        <v>0</v>
      </c>
      <c r="AI32">
        <f>IF($B32="","",SUM('entri hasil dari isian siswa'!EG32:ET32))</f>
        <v>0</v>
      </c>
      <c r="AJ32">
        <f>IF($B32="","",SUM('entri hasil dari isian siswa'!EU32:FH32))</f>
        <v>0</v>
      </c>
      <c r="AK32">
        <f>IF($B32="","",SUM('entri hasil dari isian siswa'!FI32:FV32))</f>
        <v>0</v>
      </c>
      <c r="AL32">
        <f>IF($B32="","",SUM('entri hasil dari isian siswa'!FW32:GJ32))</f>
        <v>0</v>
      </c>
      <c r="AM32">
        <f>IF($B32="","",SUM('entri hasil dari isian siswa'!GK32:GX32))</f>
        <v>0</v>
      </c>
      <c r="AN32">
        <f>IF($B32="","",SUM('entri hasil dari isian siswa'!GY32:HL32))</f>
        <v>0</v>
      </c>
      <c r="AO32">
        <f>IF($B32="","",'entri hasil dari isian siswa'!HM32+'entri hasil dari isian siswa'!HS32)</f>
        <v>0</v>
      </c>
      <c r="AP32">
        <f>IF($B32="","",'entri hasil dari isian siswa'!HN32+'entri hasil dari isian siswa'!HT32)</f>
        <v>0</v>
      </c>
      <c r="AQ32">
        <f>IF($B32="","",'entri hasil dari isian siswa'!HO32+'entri hasil dari isian siswa'!HU32)</f>
        <v>0</v>
      </c>
      <c r="AR32">
        <f>IF($B32="","",'entri hasil dari isian siswa'!HP32+'entri hasil dari isian siswa'!HV32)</f>
        <v>0</v>
      </c>
      <c r="AS32">
        <f>IF($B32="","",'entri hasil dari isian siswa'!HQ32+'entri hasil dari isian siswa'!HW32)</f>
        <v>0</v>
      </c>
      <c r="AT32">
        <f>IF($B32="","",'entri hasil dari isian siswa'!HR32+'entri hasil dari isian siswa'!HX32)</f>
        <v>0</v>
      </c>
      <c r="AU32" s="69" t="str">
        <f t="shared" si="11"/>
        <v/>
      </c>
      <c r="AV32" s="69" t="str">
        <f>IF($AU32="","",IFERROR(VLOOKUP($AU32,'Kunci dari RIASEC'!$J$4:$K$33,2,FALSE),""))</f>
        <v/>
      </c>
    </row>
    <row r="33" spans="1:48">
      <c r="A33">
        <f t="shared" si="0"/>
        <v>29</v>
      </c>
      <c r="B33" t="str">
        <f>IF('entri hasil dari isian siswa'!B33="","",'entri hasil dari isian siswa'!B33)</f>
        <v>22029</v>
      </c>
      <c r="C33" t="str">
        <f>IF('entri hasil dari isian siswa'!C33="","",'entri hasil dari isian siswa'!C33)</f>
        <v>Untung Pambudhi Aji</v>
      </c>
      <c r="D33" t="str">
        <f>IF('entri hasil dari isian siswa'!D33="","",'entri hasil dari isian siswa'!D33)</f>
        <v>L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  <c r="K33" t="str">
        <f>IF($V33&lt;&gt;"OK","",RANK(E33,$E33:$J33,0)+COUNTIF($E33:E33,E33)-1)</f>
        <v/>
      </c>
      <c r="L33" t="str">
        <f>IF($V33&lt;&gt;"OK","",RANK(F33,$E33:$J33,0)+COUNTIF($E33:F33,F33)-1)</f>
        <v/>
      </c>
      <c r="M33" t="str">
        <f>IF($V33&lt;&gt;"OK","",RANK(G33,$E33:$J33,0)+COUNTIF($E33:G33,G33)-1)</f>
        <v/>
      </c>
      <c r="N33" t="str">
        <f>IF($V33&lt;&gt;"OK","",RANK(H33,$E33:$J33,0)+COUNTIF($E33:H33,H33)-1)</f>
        <v/>
      </c>
      <c r="O33" t="str">
        <f>IF($V33&lt;&gt;"OK","",RANK(I33,$E33:$J33,0)+COUNTIF($E33:I33,I33)-1)</f>
        <v/>
      </c>
      <c r="P33" t="str">
        <f>IF($V33&lt;&gt;"OK","",RANK(J33,$E33:$J33,0)+COUNTIF($E33:J33,J33)-1)</f>
        <v/>
      </c>
      <c r="Q33" t="str">
        <f t="shared" si="7"/>
        <v/>
      </c>
      <c r="R33" t="str">
        <f t="shared" si="8"/>
        <v/>
      </c>
      <c r="S33" t="str">
        <f t="shared" si="9"/>
        <v/>
      </c>
      <c r="T33" t="str">
        <f t="shared" si="10"/>
        <v/>
      </c>
      <c r="U33" s="1" t="str">
        <f>IF($T33="","",IFERROR(VLOOKUP($T33,'Kunci dari RIASEC'!$A$4:$B$123,2,FALSE),"Rekomendasi belum tersedia"))</f>
        <v/>
      </c>
      <c r="V33" t="str">
        <f>IF('entri hasil dari isian siswa'!B33="","",'entri hasil dari isian siswa'!HY33)</f>
        <v>Lengkapi 12 Self Estimate</v>
      </c>
      <c r="W33">
        <f>IF($B33="","",SUM('entri hasil dari isian siswa'!E33:O33))</f>
        <v>0</v>
      </c>
      <c r="X33">
        <f>IF($B33="","",SUM('entri hasil dari isian siswa'!P33:Z33))</f>
        <v>0</v>
      </c>
      <c r="Y33">
        <f>IF($B33="","",SUM('entri hasil dari isian siswa'!AA33:AK33))</f>
        <v>0</v>
      </c>
      <c r="Z33">
        <f>IF($B33="","",SUM('entri hasil dari isian siswa'!AL33:AV33))</f>
        <v>0</v>
      </c>
      <c r="AA33">
        <f>IF($B33="","",SUM('entri hasil dari isian siswa'!AW33:BG33))</f>
        <v>0</v>
      </c>
      <c r="AB33">
        <f>IF($B33="","",SUM('entri hasil dari isian siswa'!BH33:BR33))</f>
        <v>0</v>
      </c>
      <c r="AC33">
        <f>IF($B33="","",SUM('entri hasil dari isian siswa'!BS33:CC33))</f>
        <v>0</v>
      </c>
      <c r="AD33">
        <f>IF($B33="","",SUM('entri hasil dari isian siswa'!CD33:CN33))</f>
        <v>0</v>
      </c>
      <c r="AE33">
        <f>IF($B33="","",SUM('entri hasil dari isian siswa'!CO33:CY33))</f>
        <v>0</v>
      </c>
      <c r="AF33">
        <f>IF($B33="","",SUM('entri hasil dari isian siswa'!CZ33:DJ33))</f>
        <v>0</v>
      </c>
      <c r="AG33">
        <f>IF($B33="","",SUM('entri hasil dari isian siswa'!DK33:DU33))</f>
        <v>0</v>
      </c>
      <c r="AH33">
        <f>IF($B33="","",SUM('entri hasil dari isian siswa'!DV33:EF33))</f>
        <v>0</v>
      </c>
      <c r="AI33">
        <f>IF($B33="","",SUM('entri hasil dari isian siswa'!EG33:ET33))</f>
        <v>0</v>
      </c>
      <c r="AJ33">
        <f>IF($B33="","",SUM('entri hasil dari isian siswa'!EU33:FH33))</f>
        <v>0</v>
      </c>
      <c r="AK33">
        <f>IF($B33="","",SUM('entri hasil dari isian siswa'!FI33:FV33))</f>
        <v>0</v>
      </c>
      <c r="AL33">
        <f>IF($B33="","",SUM('entri hasil dari isian siswa'!FW33:GJ33))</f>
        <v>0</v>
      </c>
      <c r="AM33">
        <f>IF($B33="","",SUM('entri hasil dari isian siswa'!GK33:GX33))</f>
        <v>0</v>
      </c>
      <c r="AN33">
        <f>IF($B33="","",SUM('entri hasil dari isian siswa'!GY33:HL33))</f>
        <v>0</v>
      </c>
      <c r="AO33">
        <f>IF($B33="","",'entri hasil dari isian siswa'!HM33+'entri hasil dari isian siswa'!HS33)</f>
        <v>0</v>
      </c>
      <c r="AP33">
        <f>IF($B33="","",'entri hasil dari isian siswa'!HN33+'entri hasil dari isian siswa'!HT33)</f>
        <v>0</v>
      </c>
      <c r="AQ33">
        <f>IF($B33="","",'entri hasil dari isian siswa'!HO33+'entri hasil dari isian siswa'!HU33)</f>
        <v>0</v>
      </c>
      <c r="AR33">
        <f>IF($B33="","",'entri hasil dari isian siswa'!HP33+'entri hasil dari isian siswa'!HV33)</f>
        <v>0</v>
      </c>
      <c r="AS33">
        <f>IF($B33="","",'entri hasil dari isian siswa'!HQ33+'entri hasil dari isian siswa'!HW33)</f>
        <v>0</v>
      </c>
      <c r="AT33">
        <f>IF($B33="","",'entri hasil dari isian siswa'!HR33+'entri hasil dari isian siswa'!HX33)</f>
        <v>0</v>
      </c>
      <c r="AU33" s="69" t="str">
        <f t="shared" si="11"/>
        <v/>
      </c>
      <c r="AV33" s="69" t="str">
        <f>IF($AU33="","",IFERROR(VLOOKUP($AU33,'Kunci dari RIASEC'!$J$4:$K$33,2,FALSE),""))</f>
        <v/>
      </c>
    </row>
    <row r="34" spans="1:48">
      <c r="A34">
        <f t="shared" si="0"/>
        <v>30</v>
      </c>
      <c r="B34" t="str">
        <f>IF('entri hasil dari isian siswa'!B34="","",'entri hasil dari isian siswa'!B34)</f>
        <v>22030</v>
      </c>
      <c r="C34" t="str">
        <f>IF('entri hasil dari isian siswa'!C34="","",'entri hasil dari isian siswa'!C34)</f>
        <v>Usriyah</v>
      </c>
      <c r="D34" t="str">
        <f>IF('entri hasil dari isian siswa'!D34="","",'entri hasil dari isian siswa'!D34)</f>
        <v>L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  <c r="K34" t="str">
        <f>IF($V34&lt;&gt;"OK","",RANK(E34,$E34:$J34,0)+COUNTIF($E34:E34,E34)-1)</f>
        <v/>
      </c>
      <c r="L34" t="str">
        <f>IF($V34&lt;&gt;"OK","",RANK(F34,$E34:$J34,0)+COUNTIF($E34:F34,F34)-1)</f>
        <v/>
      </c>
      <c r="M34" t="str">
        <f>IF($V34&lt;&gt;"OK","",RANK(G34,$E34:$J34,0)+COUNTIF($E34:G34,G34)-1)</f>
        <v/>
      </c>
      <c r="N34" t="str">
        <f>IF($V34&lt;&gt;"OK","",RANK(H34,$E34:$J34,0)+COUNTIF($E34:H34,H34)-1)</f>
        <v/>
      </c>
      <c r="O34" t="str">
        <f>IF($V34&lt;&gt;"OK","",RANK(I34,$E34:$J34,0)+COUNTIF($E34:I34,I34)-1)</f>
        <v/>
      </c>
      <c r="P34" t="str">
        <f>IF($V34&lt;&gt;"OK","",RANK(J34,$E34:$J34,0)+COUNTIF($E34:J34,J34)-1)</f>
        <v/>
      </c>
      <c r="Q34" t="str">
        <f t="shared" si="7"/>
        <v/>
      </c>
      <c r="R34" t="str">
        <f t="shared" si="8"/>
        <v/>
      </c>
      <c r="S34" t="str">
        <f t="shared" si="9"/>
        <v/>
      </c>
      <c r="T34" t="str">
        <f t="shared" si="10"/>
        <v/>
      </c>
      <c r="U34" s="1" t="str">
        <f>IF($T34="","",IFERROR(VLOOKUP($T34,'Kunci dari RIASEC'!$A$4:$B$123,2,FALSE),"Rekomendasi belum tersedia"))</f>
        <v/>
      </c>
      <c r="V34" t="str">
        <f>IF('entri hasil dari isian siswa'!B34="","",'entri hasil dari isian siswa'!HY34)</f>
        <v>Lengkapi 12 Self Estimate</v>
      </c>
      <c r="W34">
        <f>IF($B34="","",SUM('entri hasil dari isian siswa'!E34:O34))</f>
        <v>0</v>
      </c>
      <c r="X34">
        <f>IF($B34="","",SUM('entri hasil dari isian siswa'!P34:Z34))</f>
        <v>0</v>
      </c>
      <c r="Y34">
        <f>IF($B34="","",SUM('entri hasil dari isian siswa'!AA34:AK34))</f>
        <v>0</v>
      </c>
      <c r="Z34">
        <f>IF($B34="","",SUM('entri hasil dari isian siswa'!AL34:AV34))</f>
        <v>0</v>
      </c>
      <c r="AA34">
        <f>IF($B34="","",SUM('entri hasil dari isian siswa'!AW34:BG34))</f>
        <v>0</v>
      </c>
      <c r="AB34">
        <f>IF($B34="","",SUM('entri hasil dari isian siswa'!BH34:BR34))</f>
        <v>0</v>
      </c>
      <c r="AC34">
        <f>IF($B34="","",SUM('entri hasil dari isian siswa'!BS34:CC34))</f>
        <v>0</v>
      </c>
      <c r="AD34">
        <f>IF($B34="","",SUM('entri hasil dari isian siswa'!CD34:CN34))</f>
        <v>0</v>
      </c>
      <c r="AE34">
        <f>IF($B34="","",SUM('entri hasil dari isian siswa'!CO34:CY34))</f>
        <v>0</v>
      </c>
      <c r="AF34">
        <f>IF($B34="","",SUM('entri hasil dari isian siswa'!CZ34:DJ34))</f>
        <v>0</v>
      </c>
      <c r="AG34">
        <f>IF($B34="","",SUM('entri hasil dari isian siswa'!DK34:DU34))</f>
        <v>0</v>
      </c>
      <c r="AH34">
        <f>IF($B34="","",SUM('entri hasil dari isian siswa'!DV34:EF34))</f>
        <v>0</v>
      </c>
      <c r="AI34">
        <f>IF($B34="","",SUM('entri hasil dari isian siswa'!EG34:ET34))</f>
        <v>0</v>
      </c>
      <c r="AJ34">
        <f>IF($B34="","",SUM('entri hasil dari isian siswa'!EU34:FH34))</f>
        <v>0</v>
      </c>
      <c r="AK34">
        <f>IF($B34="","",SUM('entri hasil dari isian siswa'!FI34:FV34))</f>
        <v>0</v>
      </c>
      <c r="AL34">
        <f>IF($B34="","",SUM('entri hasil dari isian siswa'!FW34:GJ34))</f>
        <v>0</v>
      </c>
      <c r="AM34">
        <f>IF($B34="","",SUM('entri hasil dari isian siswa'!GK34:GX34))</f>
        <v>0</v>
      </c>
      <c r="AN34">
        <f>IF($B34="","",SUM('entri hasil dari isian siswa'!GY34:HL34))</f>
        <v>0</v>
      </c>
      <c r="AO34">
        <f>IF($B34="","",'entri hasil dari isian siswa'!HM34+'entri hasil dari isian siswa'!HS34)</f>
        <v>0</v>
      </c>
      <c r="AP34">
        <f>IF($B34="","",'entri hasil dari isian siswa'!HN34+'entri hasil dari isian siswa'!HT34)</f>
        <v>0</v>
      </c>
      <c r="AQ34">
        <f>IF($B34="","",'entri hasil dari isian siswa'!HO34+'entri hasil dari isian siswa'!HU34)</f>
        <v>0</v>
      </c>
      <c r="AR34">
        <f>IF($B34="","",'entri hasil dari isian siswa'!HP34+'entri hasil dari isian siswa'!HV34)</f>
        <v>0</v>
      </c>
      <c r="AS34">
        <f>IF($B34="","",'entri hasil dari isian siswa'!HQ34+'entri hasil dari isian siswa'!HW34)</f>
        <v>0</v>
      </c>
      <c r="AT34">
        <f>IF($B34="","",'entri hasil dari isian siswa'!HR34+'entri hasil dari isian siswa'!HX34)</f>
        <v>0</v>
      </c>
      <c r="AU34" s="69" t="str">
        <f t="shared" si="11"/>
        <v/>
      </c>
      <c r="AV34" s="69" t="str">
        <f>IF($AU34="","",IFERROR(VLOOKUP($AU34,'Kunci dari RIASEC'!$J$4:$K$33,2,FALSE),""))</f>
        <v/>
      </c>
    </row>
    <row r="35" spans="1:48">
      <c r="A35">
        <f t="shared" si="0"/>
        <v>31</v>
      </c>
      <c r="B35" t="str">
        <f>IF('entri hasil dari isian siswa'!B35="","",'entri hasil dari isian siswa'!B35)</f>
        <v>22031</v>
      </c>
      <c r="C35" t="str">
        <f>IF('entri hasil dari isian siswa'!C35="","",'entri hasil dari isian siswa'!C35)</f>
        <v>Vivit Al Hidayah</v>
      </c>
      <c r="D35" t="str">
        <f>IF('entri hasil dari isian siswa'!D35="","",'entri hasil dari isian siswa'!D35)</f>
        <v>L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  <c r="I35">
        <f t="shared" si="5"/>
        <v>0</v>
      </c>
      <c r="J35">
        <f t="shared" si="6"/>
        <v>0</v>
      </c>
      <c r="K35" t="str">
        <f>IF($V35&lt;&gt;"OK","",RANK(E35,$E35:$J35,0)+COUNTIF($E35:E35,E35)-1)</f>
        <v/>
      </c>
      <c r="L35" t="str">
        <f>IF($V35&lt;&gt;"OK","",RANK(F35,$E35:$J35,0)+COUNTIF($E35:F35,F35)-1)</f>
        <v/>
      </c>
      <c r="M35" t="str">
        <f>IF($V35&lt;&gt;"OK","",RANK(G35,$E35:$J35,0)+COUNTIF($E35:G35,G35)-1)</f>
        <v/>
      </c>
      <c r="N35" t="str">
        <f>IF($V35&lt;&gt;"OK","",RANK(H35,$E35:$J35,0)+COUNTIF($E35:H35,H35)-1)</f>
        <v/>
      </c>
      <c r="O35" t="str">
        <f>IF($V35&lt;&gt;"OK","",RANK(I35,$E35:$J35,0)+COUNTIF($E35:I35,I35)-1)</f>
        <v/>
      </c>
      <c r="P35" t="str">
        <f>IF($V35&lt;&gt;"OK","",RANK(J35,$E35:$J35,0)+COUNTIF($E35:J35,J35)-1)</f>
        <v/>
      </c>
      <c r="Q35" t="str">
        <f t="shared" si="7"/>
        <v/>
      </c>
      <c r="R35" t="str">
        <f t="shared" si="8"/>
        <v/>
      </c>
      <c r="S35" t="str">
        <f t="shared" si="9"/>
        <v/>
      </c>
      <c r="T35" t="str">
        <f t="shared" si="10"/>
        <v/>
      </c>
      <c r="U35" s="1" t="str">
        <f>IF($T35="","",IFERROR(VLOOKUP($T35,'Kunci dari RIASEC'!$A$4:$B$123,2,FALSE),"Rekomendasi belum tersedia"))</f>
        <v/>
      </c>
      <c r="V35" t="str">
        <f>IF('entri hasil dari isian siswa'!B35="","",'entri hasil dari isian siswa'!HY35)</f>
        <v>Lengkapi 12 Self Estimate</v>
      </c>
      <c r="W35">
        <f>IF($B35="","",SUM('entri hasil dari isian siswa'!E35:O35))</f>
        <v>0</v>
      </c>
      <c r="X35">
        <f>IF($B35="","",SUM('entri hasil dari isian siswa'!P35:Z35))</f>
        <v>0</v>
      </c>
      <c r="Y35">
        <f>IF($B35="","",SUM('entri hasil dari isian siswa'!AA35:AK35))</f>
        <v>0</v>
      </c>
      <c r="Z35">
        <f>IF($B35="","",SUM('entri hasil dari isian siswa'!AL35:AV35))</f>
        <v>0</v>
      </c>
      <c r="AA35">
        <f>IF($B35="","",SUM('entri hasil dari isian siswa'!AW35:BG35))</f>
        <v>0</v>
      </c>
      <c r="AB35">
        <f>IF($B35="","",SUM('entri hasil dari isian siswa'!BH35:BR35))</f>
        <v>0</v>
      </c>
      <c r="AC35">
        <f>IF($B35="","",SUM('entri hasil dari isian siswa'!BS35:CC35))</f>
        <v>0</v>
      </c>
      <c r="AD35">
        <f>IF($B35="","",SUM('entri hasil dari isian siswa'!CD35:CN35))</f>
        <v>0</v>
      </c>
      <c r="AE35">
        <f>IF($B35="","",SUM('entri hasil dari isian siswa'!CO35:CY35))</f>
        <v>0</v>
      </c>
      <c r="AF35">
        <f>IF($B35="","",SUM('entri hasil dari isian siswa'!CZ35:DJ35))</f>
        <v>0</v>
      </c>
      <c r="AG35">
        <f>IF($B35="","",SUM('entri hasil dari isian siswa'!DK35:DU35))</f>
        <v>0</v>
      </c>
      <c r="AH35">
        <f>IF($B35="","",SUM('entri hasil dari isian siswa'!DV35:EF35))</f>
        <v>0</v>
      </c>
      <c r="AI35">
        <f>IF($B35="","",SUM('entri hasil dari isian siswa'!EG35:ET35))</f>
        <v>0</v>
      </c>
      <c r="AJ35">
        <f>IF($B35="","",SUM('entri hasil dari isian siswa'!EU35:FH35))</f>
        <v>0</v>
      </c>
      <c r="AK35">
        <f>IF($B35="","",SUM('entri hasil dari isian siswa'!FI35:FV35))</f>
        <v>0</v>
      </c>
      <c r="AL35">
        <f>IF($B35="","",SUM('entri hasil dari isian siswa'!FW35:GJ35))</f>
        <v>0</v>
      </c>
      <c r="AM35">
        <f>IF($B35="","",SUM('entri hasil dari isian siswa'!GK35:GX35))</f>
        <v>0</v>
      </c>
      <c r="AN35">
        <f>IF($B35="","",SUM('entri hasil dari isian siswa'!GY35:HL35))</f>
        <v>0</v>
      </c>
      <c r="AO35">
        <f>IF($B35="","",'entri hasil dari isian siswa'!HM35+'entri hasil dari isian siswa'!HS35)</f>
        <v>0</v>
      </c>
      <c r="AP35">
        <f>IF($B35="","",'entri hasil dari isian siswa'!HN35+'entri hasil dari isian siswa'!HT35)</f>
        <v>0</v>
      </c>
      <c r="AQ35">
        <f>IF($B35="","",'entri hasil dari isian siswa'!HO35+'entri hasil dari isian siswa'!HU35)</f>
        <v>0</v>
      </c>
      <c r="AR35">
        <f>IF($B35="","",'entri hasil dari isian siswa'!HP35+'entri hasil dari isian siswa'!HV35)</f>
        <v>0</v>
      </c>
      <c r="AS35">
        <f>IF($B35="","",'entri hasil dari isian siswa'!HQ35+'entri hasil dari isian siswa'!HW35)</f>
        <v>0</v>
      </c>
      <c r="AT35">
        <f>IF($B35="","",'entri hasil dari isian siswa'!HR35+'entri hasil dari isian siswa'!HX35)</f>
        <v>0</v>
      </c>
      <c r="AU35" s="69" t="str">
        <f t="shared" si="11"/>
        <v/>
      </c>
      <c r="AV35" s="69" t="str">
        <f>IF($AU35="","",IFERROR(VLOOKUP($AU35,'Kunci dari RIASEC'!$J$4:$K$33,2,FALSE),""))</f>
        <v/>
      </c>
    </row>
    <row r="36" spans="1:48">
      <c r="A36">
        <f t="shared" si="0"/>
        <v>32</v>
      </c>
      <c r="B36" t="str">
        <f>IF('entri hasil dari isian siswa'!B36="","",'entri hasil dari isian siswa'!B36)</f>
        <v>22032</v>
      </c>
      <c r="C36" t="str">
        <f>IF('entri hasil dari isian siswa'!C36="","",'entri hasil dari isian siswa'!C36)</f>
        <v>Siti Fatonah</v>
      </c>
      <c r="D36" t="str">
        <f>IF('entri hasil dari isian siswa'!D36="","",'entri hasil dari isian siswa'!D36)</f>
        <v>L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  <c r="K36" t="str">
        <f>IF($V36&lt;&gt;"OK","",RANK(E36,$E36:$J36,0)+COUNTIF($E36:E36,E36)-1)</f>
        <v/>
      </c>
      <c r="L36" t="str">
        <f>IF($V36&lt;&gt;"OK","",RANK(F36,$E36:$J36,0)+COUNTIF($E36:F36,F36)-1)</f>
        <v/>
      </c>
      <c r="M36" t="str">
        <f>IF($V36&lt;&gt;"OK","",RANK(G36,$E36:$J36,0)+COUNTIF($E36:G36,G36)-1)</f>
        <v/>
      </c>
      <c r="N36" t="str">
        <f>IF($V36&lt;&gt;"OK","",RANK(H36,$E36:$J36,0)+COUNTIF($E36:H36,H36)-1)</f>
        <v/>
      </c>
      <c r="O36" t="str">
        <f>IF($V36&lt;&gt;"OK","",RANK(I36,$E36:$J36,0)+COUNTIF($E36:I36,I36)-1)</f>
        <v/>
      </c>
      <c r="P36" t="str">
        <f>IF($V36&lt;&gt;"OK","",RANK(J36,$E36:$J36,0)+COUNTIF($E36:J36,J36)-1)</f>
        <v/>
      </c>
      <c r="Q36" t="str">
        <f t="shared" si="7"/>
        <v/>
      </c>
      <c r="R36" t="str">
        <f t="shared" si="8"/>
        <v/>
      </c>
      <c r="S36" t="str">
        <f t="shared" si="9"/>
        <v/>
      </c>
      <c r="T36" t="str">
        <f t="shared" si="10"/>
        <v/>
      </c>
      <c r="U36" s="1" t="str">
        <f>IF($T36="","",IFERROR(VLOOKUP($T36,'Kunci dari RIASEC'!$A$4:$B$123,2,FALSE),"Rekomendasi belum tersedia"))</f>
        <v/>
      </c>
      <c r="V36" t="str">
        <f>IF('entri hasil dari isian siswa'!B36="","",'entri hasil dari isian siswa'!HY36)</f>
        <v>Lengkapi 12 Self Estimate</v>
      </c>
      <c r="W36">
        <f>IF($B36="","",SUM('entri hasil dari isian siswa'!E36:O36))</f>
        <v>0</v>
      </c>
      <c r="X36">
        <f>IF($B36="","",SUM('entri hasil dari isian siswa'!P36:Z36))</f>
        <v>0</v>
      </c>
      <c r="Y36">
        <f>IF($B36="","",SUM('entri hasil dari isian siswa'!AA36:AK36))</f>
        <v>0</v>
      </c>
      <c r="Z36">
        <f>IF($B36="","",SUM('entri hasil dari isian siswa'!AL36:AV36))</f>
        <v>0</v>
      </c>
      <c r="AA36">
        <f>IF($B36="","",SUM('entri hasil dari isian siswa'!AW36:BG36))</f>
        <v>0</v>
      </c>
      <c r="AB36">
        <f>IF($B36="","",SUM('entri hasil dari isian siswa'!BH36:BR36))</f>
        <v>0</v>
      </c>
      <c r="AC36">
        <f>IF($B36="","",SUM('entri hasil dari isian siswa'!BS36:CC36))</f>
        <v>0</v>
      </c>
      <c r="AD36">
        <f>IF($B36="","",SUM('entri hasil dari isian siswa'!CD36:CN36))</f>
        <v>0</v>
      </c>
      <c r="AE36">
        <f>IF($B36="","",SUM('entri hasil dari isian siswa'!CO36:CY36))</f>
        <v>0</v>
      </c>
      <c r="AF36">
        <f>IF($B36="","",SUM('entri hasil dari isian siswa'!CZ36:DJ36))</f>
        <v>0</v>
      </c>
      <c r="AG36">
        <f>IF($B36="","",SUM('entri hasil dari isian siswa'!DK36:DU36))</f>
        <v>0</v>
      </c>
      <c r="AH36">
        <f>IF($B36="","",SUM('entri hasil dari isian siswa'!DV36:EF36))</f>
        <v>0</v>
      </c>
      <c r="AI36">
        <f>IF($B36="","",SUM('entri hasil dari isian siswa'!EG36:ET36))</f>
        <v>0</v>
      </c>
      <c r="AJ36">
        <f>IF($B36="","",SUM('entri hasil dari isian siswa'!EU36:FH36))</f>
        <v>0</v>
      </c>
      <c r="AK36">
        <f>IF($B36="","",SUM('entri hasil dari isian siswa'!FI36:FV36))</f>
        <v>0</v>
      </c>
      <c r="AL36">
        <f>IF($B36="","",SUM('entri hasil dari isian siswa'!FW36:GJ36))</f>
        <v>0</v>
      </c>
      <c r="AM36">
        <f>IF($B36="","",SUM('entri hasil dari isian siswa'!GK36:GX36))</f>
        <v>0</v>
      </c>
      <c r="AN36">
        <f>IF($B36="","",SUM('entri hasil dari isian siswa'!GY36:HL36))</f>
        <v>0</v>
      </c>
      <c r="AO36">
        <f>IF($B36="","",'entri hasil dari isian siswa'!HM36+'entri hasil dari isian siswa'!HS36)</f>
        <v>0</v>
      </c>
      <c r="AP36">
        <f>IF($B36="","",'entri hasil dari isian siswa'!HN36+'entri hasil dari isian siswa'!HT36)</f>
        <v>0</v>
      </c>
      <c r="AQ36">
        <f>IF($B36="","",'entri hasil dari isian siswa'!HO36+'entri hasil dari isian siswa'!HU36)</f>
        <v>0</v>
      </c>
      <c r="AR36">
        <f>IF($B36="","",'entri hasil dari isian siswa'!HP36+'entri hasil dari isian siswa'!HV36)</f>
        <v>0</v>
      </c>
      <c r="AS36">
        <f>IF($B36="","",'entri hasil dari isian siswa'!HQ36+'entri hasil dari isian siswa'!HW36)</f>
        <v>0</v>
      </c>
      <c r="AT36">
        <f>IF($B36="","",'entri hasil dari isian siswa'!HR36+'entri hasil dari isian siswa'!HX36)</f>
        <v>0</v>
      </c>
      <c r="AU36" s="69" t="str">
        <f t="shared" si="11"/>
        <v/>
      </c>
      <c r="AV36" s="69" t="str">
        <f>IF($AU36="","",IFERROR(VLOOKUP($AU36,'Kunci dari RIASEC'!$J$4:$K$33,2,FALSE),""))</f>
        <v/>
      </c>
    </row>
    <row r="37" spans="1:48">
      <c r="A37">
        <f t="shared" ref="A37:A68" si="12">ROW()-4</f>
        <v>33</v>
      </c>
      <c r="B37" t="str">
        <f>IF('entri hasil dari isian siswa'!B37="","",'entri hasil dari isian siswa'!B37)</f>
        <v>22033</v>
      </c>
      <c r="C37" t="str">
        <f>IF('entri hasil dari isian siswa'!C37="","",'entri hasil dari isian siswa'!C37)</f>
        <v>Susanti</v>
      </c>
      <c r="D37" t="str">
        <f>IF('entri hasil dari isian siswa'!D37="","",'entri hasil dari isian siswa'!D37)</f>
        <v>L</v>
      </c>
      <c r="E37">
        <f t="shared" ref="E37:E68" si="13">IF($B37="","",W37+AC37+AI37+AO37)</f>
        <v>0</v>
      </c>
      <c r="F37">
        <f t="shared" ref="F37:F68" si="14">IF($B37="","",X37+AD37+AJ37+AP37)</f>
        <v>0</v>
      </c>
      <c r="G37">
        <f t="shared" ref="G37:G68" si="15">IF($B37="","",Y37+AE37+AK37+AQ37)</f>
        <v>0</v>
      </c>
      <c r="H37">
        <f t="shared" ref="H37:H68" si="16">IF($B37="","",Z37+AF37+AL37+AR37)</f>
        <v>0</v>
      </c>
      <c r="I37">
        <f t="shared" ref="I37:I68" si="17">IF($B37="","",AA37+AG37+AM37+AS37)</f>
        <v>0</v>
      </c>
      <c r="J37">
        <f t="shared" ref="J37:J68" si="18">IF($B37="","",AB37+AH37+AN37+AT37)</f>
        <v>0</v>
      </c>
      <c r="K37" t="str">
        <f>IF($V37&lt;&gt;"OK","",RANK(E37,$E37:$J37,0)+COUNTIF($E37:E37,E37)-1)</f>
        <v/>
      </c>
      <c r="L37" t="str">
        <f>IF($V37&lt;&gt;"OK","",RANK(F37,$E37:$J37,0)+COUNTIF($E37:F37,F37)-1)</f>
        <v/>
      </c>
      <c r="M37" t="str">
        <f>IF($V37&lt;&gt;"OK","",RANK(G37,$E37:$J37,0)+COUNTIF($E37:G37,G37)-1)</f>
        <v/>
      </c>
      <c r="N37" t="str">
        <f>IF($V37&lt;&gt;"OK","",RANK(H37,$E37:$J37,0)+COUNTIF($E37:H37,H37)-1)</f>
        <v/>
      </c>
      <c r="O37" t="str">
        <f>IF($V37&lt;&gt;"OK","",RANK(I37,$E37:$J37,0)+COUNTIF($E37:I37,I37)-1)</f>
        <v/>
      </c>
      <c r="P37" t="str">
        <f>IF($V37&lt;&gt;"OK","",RANK(J37,$E37:$J37,0)+COUNTIF($E37:J37,J37)-1)</f>
        <v/>
      </c>
      <c r="Q37" t="str">
        <f t="shared" ref="Q37:Q68" si="19">IF($V37&lt;&gt;"OK","",INDEX($E$4:$J$4,1,MATCH(1,$K37:$P37,0)))</f>
        <v/>
      </c>
      <c r="R37" t="str">
        <f t="shared" ref="R37:R68" si="20">IF($V37&lt;&gt;"OK","",INDEX($E$4:$J$4,1,MATCH(2,$K37:$P37,0)))</f>
        <v/>
      </c>
      <c r="S37" t="str">
        <f t="shared" ref="S37:S68" si="21">IF($V37&lt;&gt;"OK","",INDEX($E$4:$J$4,1,MATCH(3,$K37:$P37,0)))</f>
        <v/>
      </c>
      <c r="T37" t="str">
        <f t="shared" ref="T37:T68" si="22">IF($V37&lt;&gt;"OK","",Q37&amp;R37&amp;S37)</f>
        <v/>
      </c>
      <c r="U37" s="1" t="str">
        <f>IF($T37="","",IFERROR(VLOOKUP($T37,'Kunci dari RIASEC'!$A$4:$B$123,2,FALSE),"Rekomendasi belum tersedia"))</f>
        <v/>
      </c>
      <c r="V37" t="str">
        <f>IF('entri hasil dari isian siswa'!B37="","",'entri hasil dari isian siswa'!HY37)</f>
        <v>Lengkapi 12 Self Estimate</v>
      </c>
      <c r="W37">
        <f>IF($B37="","",SUM('entri hasil dari isian siswa'!E37:O37))</f>
        <v>0</v>
      </c>
      <c r="X37">
        <f>IF($B37="","",SUM('entri hasil dari isian siswa'!P37:Z37))</f>
        <v>0</v>
      </c>
      <c r="Y37">
        <f>IF($B37="","",SUM('entri hasil dari isian siswa'!AA37:AK37))</f>
        <v>0</v>
      </c>
      <c r="Z37">
        <f>IF($B37="","",SUM('entri hasil dari isian siswa'!AL37:AV37))</f>
        <v>0</v>
      </c>
      <c r="AA37">
        <f>IF($B37="","",SUM('entri hasil dari isian siswa'!AW37:BG37))</f>
        <v>0</v>
      </c>
      <c r="AB37">
        <f>IF($B37="","",SUM('entri hasil dari isian siswa'!BH37:BR37))</f>
        <v>0</v>
      </c>
      <c r="AC37">
        <f>IF($B37="","",SUM('entri hasil dari isian siswa'!BS37:CC37))</f>
        <v>0</v>
      </c>
      <c r="AD37">
        <f>IF($B37="","",SUM('entri hasil dari isian siswa'!CD37:CN37))</f>
        <v>0</v>
      </c>
      <c r="AE37">
        <f>IF($B37="","",SUM('entri hasil dari isian siswa'!CO37:CY37))</f>
        <v>0</v>
      </c>
      <c r="AF37">
        <f>IF($B37="","",SUM('entri hasil dari isian siswa'!CZ37:DJ37))</f>
        <v>0</v>
      </c>
      <c r="AG37">
        <f>IF($B37="","",SUM('entri hasil dari isian siswa'!DK37:DU37))</f>
        <v>0</v>
      </c>
      <c r="AH37">
        <f>IF($B37="","",SUM('entri hasil dari isian siswa'!DV37:EF37))</f>
        <v>0</v>
      </c>
      <c r="AI37">
        <f>IF($B37="","",SUM('entri hasil dari isian siswa'!EG37:ET37))</f>
        <v>0</v>
      </c>
      <c r="AJ37">
        <f>IF($B37="","",SUM('entri hasil dari isian siswa'!EU37:FH37))</f>
        <v>0</v>
      </c>
      <c r="AK37">
        <f>IF($B37="","",SUM('entri hasil dari isian siswa'!FI37:FV37))</f>
        <v>0</v>
      </c>
      <c r="AL37">
        <f>IF($B37="","",SUM('entri hasil dari isian siswa'!FW37:GJ37))</f>
        <v>0</v>
      </c>
      <c r="AM37">
        <f>IF($B37="","",SUM('entri hasil dari isian siswa'!GK37:GX37))</f>
        <v>0</v>
      </c>
      <c r="AN37">
        <f>IF($B37="","",SUM('entri hasil dari isian siswa'!GY37:HL37))</f>
        <v>0</v>
      </c>
      <c r="AO37">
        <f>IF($B37="","",'entri hasil dari isian siswa'!HM37+'entri hasil dari isian siswa'!HS37)</f>
        <v>0</v>
      </c>
      <c r="AP37">
        <f>IF($B37="","",'entri hasil dari isian siswa'!HN37+'entri hasil dari isian siswa'!HT37)</f>
        <v>0</v>
      </c>
      <c r="AQ37">
        <f>IF($B37="","",'entri hasil dari isian siswa'!HO37+'entri hasil dari isian siswa'!HU37)</f>
        <v>0</v>
      </c>
      <c r="AR37">
        <f>IF($B37="","",'entri hasil dari isian siswa'!HP37+'entri hasil dari isian siswa'!HV37)</f>
        <v>0</v>
      </c>
      <c r="AS37">
        <f>IF($B37="","",'entri hasil dari isian siswa'!HQ37+'entri hasil dari isian siswa'!HW37)</f>
        <v>0</v>
      </c>
      <c r="AT37">
        <f>IF($B37="","",'entri hasil dari isian siswa'!HR37+'entri hasil dari isian siswa'!HX37)</f>
        <v>0</v>
      </c>
      <c r="AU37" s="69" t="str">
        <f t="shared" ref="AU37:AU68" si="23">IF($T37="","",LEFT($T37,2))</f>
        <v/>
      </c>
      <c r="AV37" s="69" t="str">
        <f>IF($AU37="","",IFERROR(VLOOKUP($AU37,'Kunci dari RIASEC'!$J$4:$K$33,2,FALSE),""))</f>
        <v/>
      </c>
    </row>
    <row r="38" spans="1:48">
      <c r="A38">
        <f t="shared" si="12"/>
        <v>34</v>
      </c>
      <c r="B38" t="str">
        <f>IF('entri hasil dari isian siswa'!B38="","",'entri hasil dari isian siswa'!B38)</f>
        <v>22034</v>
      </c>
      <c r="C38" t="str">
        <f>IF('entri hasil dari isian siswa'!C38="","",'entri hasil dari isian siswa'!C38)</f>
        <v>Tri Widyaningrum</v>
      </c>
      <c r="D38" t="str">
        <f>IF('entri hasil dari isian siswa'!D38="","",'entri hasil dari isian siswa'!D38)</f>
        <v>L</v>
      </c>
      <c r="E38">
        <f t="shared" si="13"/>
        <v>0</v>
      </c>
      <c r="F38">
        <f t="shared" si="14"/>
        <v>0</v>
      </c>
      <c r="G38">
        <f t="shared" si="15"/>
        <v>0</v>
      </c>
      <c r="H38">
        <f t="shared" si="16"/>
        <v>0</v>
      </c>
      <c r="I38">
        <f t="shared" si="17"/>
        <v>0</v>
      </c>
      <c r="J38">
        <f t="shared" si="18"/>
        <v>0</v>
      </c>
      <c r="K38" t="str">
        <f>IF($V38&lt;&gt;"OK","",RANK(E38,$E38:$J38,0)+COUNTIF($E38:E38,E38)-1)</f>
        <v/>
      </c>
      <c r="L38" t="str">
        <f>IF($V38&lt;&gt;"OK","",RANK(F38,$E38:$J38,0)+COUNTIF($E38:F38,F38)-1)</f>
        <v/>
      </c>
      <c r="M38" t="str">
        <f>IF($V38&lt;&gt;"OK","",RANK(G38,$E38:$J38,0)+COUNTIF($E38:G38,G38)-1)</f>
        <v/>
      </c>
      <c r="N38" t="str">
        <f>IF($V38&lt;&gt;"OK","",RANK(H38,$E38:$J38,0)+COUNTIF($E38:H38,H38)-1)</f>
        <v/>
      </c>
      <c r="O38" t="str">
        <f>IF($V38&lt;&gt;"OK","",RANK(I38,$E38:$J38,0)+COUNTIF($E38:I38,I38)-1)</f>
        <v/>
      </c>
      <c r="P38" t="str">
        <f>IF($V38&lt;&gt;"OK","",RANK(J38,$E38:$J38,0)+COUNTIF($E38:J38,J38)-1)</f>
        <v/>
      </c>
      <c r="Q38" t="str">
        <f t="shared" si="19"/>
        <v/>
      </c>
      <c r="R38" t="str">
        <f t="shared" si="20"/>
        <v/>
      </c>
      <c r="S38" t="str">
        <f t="shared" si="21"/>
        <v/>
      </c>
      <c r="T38" t="str">
        <f t="shared" si="22"/>
        <v/>
      </c>
      <c r="U38" s="1" t="str">
        <f>IF($T38="","",IFERROR(VLOOKUP($T38,'Kunci dari RIASEC'!$A$4:$B$123,2,FALSE),"Rekomendasi belum tersedia"))</f>
        <v/>
      </c>
      <c r="V38" t="str">
        <f>IF('entri hasil dari isian siswa'!B38="","",'entri hasil dari isian siswa'!HY38)</f>
        <v>Lengkapi 12 Self Estimate</v>
      </c>
      <c r="W38">
        <f>IF($B38="","",SUM('entri hasil dari isian siswa'!E38:O38))</f>
        <v>0</v>
      </c>
      <c r="X38">
        <f>IF($B38="","",SUM('entri hasil dari isian siswa'!P38:Z38))</f>
        <v>0</v>
      </c>
      <c r="Y38">
        <f>IF($B38="","",SUM('entri hasil dari isian siswa'!AA38:AK38))</f>
        <v>0</v>
      </c>
      <c r="Z38">
        <f>IF($B38="","",SUM('entri hasil dari isian siswa'!AL38:AV38))</f>
        <v>0</v>
      </c>
      <c r="AA38">
        <f>IF($B38="","",SUM('entri hasil dari isian siswa'!AW38:BG38))</f>
        <v>0</v>
      </c>
      <c r="AB38">
        <f>IF($B38="","",SUM('entri hasil dari isian siswa'!BH38:BR38))</f>
        <v>0</v>
      </c>
      <c r="AC38">
        <f>IF($B38="","",SUM('entri hasil dari isian siswa'!BS38:CC38))</f>
        <v>0</v>
      </c>
      <c r="AD38">
        <f>IF($B38="","",SUM('entri hasil dari isian siswa'!CD38:CN38))</f>
        <v>0</v>
      </c>
      <c r="AE38">
        <f>IF($B38="","",SUM('entri hasil dari isian siswa'!CO38:CY38))</f>
        <v>0</v>
      </c>
      <c r="AF38">
        <f>IF($B38="","",SUM('entri hasil dari isian siswa'!CZ38:DJ38))</f>
        <v>0</v>
      </c>
      <c r="AG38">
        <f>IF($B38="","",SUM('entri hasil dari isian siswa'!DK38:DU38))</f>
        <v>0</v>
      </c>
      <c r="AH38">
        <f>IF($B38="","",SUM('entri hasil dari isian siswa'!DV38:EF38))</f>
        <v>0</v>
      </c>
      <c r="AI38">
        <f>IF($B38="","",SUM('entri hasil dari isian siswa'!EG38:ET38))</f>
        <v>0</v>
      </c>
      <c r="AJ38">
        <f>IF($B38="","",SUM('entri hasil dari isian siswa'!EU38:FH38))</f>
        <v>0</v>
      </c>
      <c r="AK38">
        <f>IF($B38="","",SUM('entri hasil dari isian siswa'!FI38:FV38))</f>
        <v>0</v>
      </c>
      <c r="AL38">
        <f>IF($B38="","",SUM('entri hasil dari isian siswa'!FW38:GJ38))</f>
        <v>0</v>
      </c>
      <c r="AM38">
        <f>IF($B38="","",SUM('entri hasil dari isian siswa'!GK38:GX38))</f>
        <v>0</v>
      </c>
      <c r="AN38">
        <f>IF($B38="","",SUM('entri hasil dari isian siswa'!GY38:HL38))</f>
        <v>0</v>
      </c>
      <c r="AO38">
        <f>IF($B38="","",'entri hasil dari isian siswa'!HM38+'entri hasil dari isian siswa'!HS38)</f>
        <v>0</v>
      </c>
      <c r="AP38">
        <f>IF($B38="","",'entri hasil dari isian siswa'!HN38+'entri hasil dari isian siswa'!HT38)</f>
        <v>0</v>
      </c>
      <c r="AQ38">
        <f>IF($B38="","",'entri hasil dari isian siswa'!HO38+'entri hasil dari isian siswa'!HU38)</f>
        <v>0</v>
      </c>
      <c r="AR38">
        <f>IF($B38="","",'entri hasil dari isian siswa'!HP38+'entri hasil dari isian siswa'!HV38)</f>
        <v>0</v>
      </c>
      <c r="AS38">
        <f>IF($B38="","",'entri hasil dari isian siswa'!HQ38+'entri hasil dari isian siswa'!HW38)</f>
        <v>0</v>
      </c>
      <c r="AT38">
        <f>IF($B38="","",'entri hasil dari isian siswa'!HR38+'entri hasil dari isian siswa'!HX38)</f>
        <v>0</v>
      </c>
      <c r="AU38" s="69" t="str">
        <f t="shared" si="23"/>
        <v/>
      </c>
      <c r="AV38" s="69" t="str">
        <f>IF($AU38="","",IFERROR(VLOOKUP($AU38,'Kunci dari RIASEC'!$J$4:$K$33,2,FALSE),""))</f>
        <v/>
      </c>
    </row>
    <row r="39" spans="1:48">
      <c r="A39">
        <f t="shared" si="12"/>
        <v>35</v>
      </c>
      <c r="B39" t="str">
        <f>IF('entri hasil dari isian siswa'!B39="","",'entri hasil dari isian siswa'!B39)</f>
        <v>22035</v>
      </c>
      <c r="C39" t="str">
        <f>IF('entri hasil dari isian siswa'!C39="","",'entri hasil dari isian siswa'!C39)</f>
        <v>Udi Ismoyo</v>
      </c>
      <c r="D39" t="str">
        <f>IF('entri hasil dari isian siswa'!D39="","",'entri hasil dari isian siswa'!D39)</f>
        <v>L</v>
      </c>
      <c r="E39">
        <f t="shared" si="13"/>
        <v>0</v>
      </c>
      <c r="F39">
        <f t="shared" si="14"/>
        <v>0</v>
      </c>
      <c r="G39">
        <f t="shared" si="15"/>
        <v>0</v>
      </c>
      <c r="H39">
        <f t="shared" si="16"/>
        <v>0</v>
      </c>
      <c r="I39">
        <f t="shared" si="17"/>
        <v>0</v>
      </c>
      <c r="J39">
        <f t="shared" si="18"/>
        <v>0</v>
      </c>
      <c r="K39" t="str">
        <f>IF($V39&lt;&gt;"OK","",RANK(E39,$E39:$J39,0)+COUNTIF($E39:E39,E39)-1)</f>
        <v/>
      </c>
      <c r="L39" t="str">
        <f>IF($V39&lt;&gt;"OK","",RANK(F39,$E39:$J39,0)+COUNTIF($E39:F39,F39)-1)</f>
        <v/>
      </c>
      <c r="M39" t="str">
        <f>IF($V39&lt;&gt;"OK","",RANK(G39,$E39:$J39,0)+COUNTIF($E39:G39,G39)-1)</f>
        <v/>
      </c>
      <c r="N39" t="str">
        <f>IF($V39&lt;&gt;"OK","",RANK(H39,$E39:$J39,0)+COUNTIF($E39:H39,H39)-1)</f>
        <v/>
      </c>
      <c r="O39" t="str">
        <f>IF($V39&lt;&gt;"OK","",RANK(I39,$E39:$J39,0)+COUNTIF($E39:I39,I39)-1)</f>
        <v/>
      </c>
      <c r="P39" t="str">
        <f>IF($V39&lt;&gt;"OK","",RANK(J39,$E39:$J39,0)+COUNTIF($E39:J39,J39)-1)</f>
        <v/>
      </c>
      <c r="Q39" t="str">
        <f t="shared" si="19"/>
        <v/>
      </c>
      <c r="R39" t="str">
        <f t="shared" si="20"/>
        <v/>
      </c>
      <c r="S39" t="str">
        <f t="shared" si="21"/>
        <v/>
      </c>
      <c r="T39" t="str">
        <f t="shared" si="22"/>
        <v/>
      </c>
      <c r="U39" s="1" t="str">
        <f>IF($T39="","",IFERROR(VLOOKUP($T39,'Kunci dari RIASEC'!$A$4:$B$123,2,FALSE),"Rekomendasi belum tersedia"))</f>
        <v/>
      </c>
      <c r="V39" t="str">
        <f>IF('entri hasil dari isian siswa'!B39="","",'entri hasil dari isian siswa'!HY39)</f>
        <v>Lengkapi 12 Self Estimate</v>
      </c>
      <c r="W39">
        <f>IF($B39="","",SUM('entri hasil dari isian siswa'!E39:O39))</f>
        <v>0</v>
      </c>
      <c r="X39">
        <f>IF($B39="","",SUM('entri hasil dari isian siswa'!P39:Z39))</f>
        <v>0</v>
      </c>
      <c r="Y39">
        <f>IF($B39="","",SUM('entri hasil dari isian siswa'!AA39:AK39))</f>
        <v>0</v>
      </c>
      <c r="Z39">
        <f>IF($B39="","",SUM('entri hasil dari isian siswa'!AL39:AV39))</f>
        <v>0</v>
      </c>
      <c r="AA39">
        <f>IF($B39="","",SUM('entri hasil dari isian siswa'!AW39:BG39))</f>
        <v>0</v>
      </c>
      <c r="AB39">
        <f>IF($B39="","",SUM('entri hasil dari isian siswa'!BH39:BR39))</f>
        <v>0</v>
      </c>
      <c r="AC39">
        <f>IF($B39="","",SUM('entri hasil dari isian siswa'!BS39:CC39))</f>
        <v>0</v>
      </c>
      <c r="AD39">
        <f>IF($B39="","",SUM('entri hasil dari isian siswa'!CD39:CN39))</f>
        <v>0</v>
      </c>
      <c r="AE39">
        <f>IF($B39="","",SUM('entri hasil dari isian siswa'!CO39:CY39))</f>
        <v>0</v>
      </c>
      <c r="AF39">
        <f>IF($B39="","",SUM('entri hasil dari isian siswa'!CZ39:DJ39))</f>
        <v>0</v>
      </c>
      <c r="AG39">
        <f>IF($B39="","",SUM('entri hasil dari isian siswa'!DK39:DU39))</f>
        <v>0</v>
      </c>
      <c r="AH39">
        <f>IF($B39="","",SUM('entri hasil dari isian siswa'!DV39:EF39))</f>
        <v>0</v>
      </c>
      <c r="AI39">
        <f>IF($B39="","",SUM('entri hasil dari isian siswa'!EG39:ET39))</f>
        <v>0</v>
      </c>
      <c r="AJ39">
        <f>IF($B39="","",SUM('entri hasil dari isian siswa'!EU39:FH39))</f>
        <v>0</v>
      </c>
      <c r="AK39">
        <f>IF($B39="","",SUM('entri hasil dari isian siswa'!FI39:FV39))</f>
        <v>0</v>
      </c>
      <c r="AL39">
        <f>IF($B39="","",SUM('entri hasil dari isian siswa'!FW39:GJ39))</f>
        <v>0</v>
      </c>
      <c r="AM39">
        <f>IF($B39="","",SUM('entri hasil dari isian siswa'!GK39:GX39))</f>
        <v>0</v>
      </c>
      <c r="AN39">
        <f>IF($B39="","",SUM('entri hasil dari isian siswa'!GY39:HL39))</f>
        <v>0</v>
      </c>
      <c r="AO39">
        <f>IF($B39="","",'entri hasil dari isian siswa'!HM39+'entri hasil dari isian siswa'!HS39)</f>
        <v>0</v>
      </c>
      <c r="AP39">
        <f>IF($B39="","",'entri hasil dari isian siswa'!HN39+'entri hasil dari isian siswa'!HT39)</f>
        <v>0</v>
      </c>
      <c r="AQ39">
        <f>IF($B39="","",'entri hasil dari isian siswa'!HO39+'entri hasil dari isian siswa'!HU39)</f>
        <v>0</v>
      </c>
      <c r="AR39">
        <f>IF($B39="","",'entri hasil dari isian siswa'!HP39+'entri hasil dari isian siswa'!HV39)</f>
        <v>0</v>
      </c>
      <c r="AS39">
        <f>IF($B39="","",'entri hasil dari isian siswa'!HQ39+'entri hasil dari isian siswa'!HW39)</f>
        <v>0</v>
      </c>
      <c r="AT39">
        <f>IF($B39="","",'entri hasil dari isian siswa'!HR39+'entri hasil dari isian siswa'!HX39)</f>
        <v>0</v>
      </c>
      <c r="AU39" s="69" t="str">
        <f t="shared" si="23"/>
        <v/>
      </c>
      <c r="AV39" s="69" t="str">
        <f>IF($AU39="","",IFERROR(VLOOKUP($AU39,'Kunci dari RIASEC'!$J$4:$K$33,2,FALSE),""))</f>
        <v/>
      </c>
    </row>
    <row r="40" spans="1:48">
      <c r="A40">
        <f t="shared" si="12"/>
        <v>36</v>
      </c>
      <c r="B40" t="str">
        <f>IF('entri hasil dari isian siswa'!B40="","",'entri hasil dari isian siswa'!B40)</f>
        <v>22036</v>
      </c>
      <c r="C40" t="str">
        <f>IF('entri hasil dari isian siswa'!C40="","",'entri hasil dari isian siswa'!C40)</f>
        <v>Vijay Soemantri</v>
      </c>
      <c r="D40" t="str">
        <f>IF('entri hasil dari isian siswa'!D40="","",'entri hasil dari isian siswa'!D40)</f>
        <v>L</v>
      </c>
      <c r="E40">
        <f t="shared" si="13"/>
        <v>0</v>
      </c>
      <c r="F40">
        <f t="shared" si="14"/>
        <v>0</v>
      </c>
      <c r="G40">
        <f t="shared" si="15"/>
        <v>0</v>
      </c>
      <c r="H40">
        <f t="shared" si="16"/>
        <v>0</v>
      </c>
      <c r="I40">
        <f t="shared" si="17"/>
        <v>0</v>
      </c>
      <c r="J40">
        <f t="shared" si="18"/>
        <v>0</v>
      </c>
      <c r="K40" t="str">
        <f>IF($V40&lt;&gt;"OK","",RANK(E40,$E40:$J40,0)+COUNTIF($E40:E40,E40)-1)</f>
        <v/>
      </c>
      <c r="L40" t="str">
        <f>IF($V40&lt;&gt;"OK","",RANK(F40,$E40:$J40,0)+COUNTIF($E40:F40,F40)-1)</f>
        <v/>
      </c>
      <c r="M40" t="str">
        <f>IF($V40&lt;&gt;"OK","",RANK(G40,$E40:$J40,0)+COUNTIF($E40:G40,G40)-1)</f>
        <v/>
      </c>
      <c r="N40" t="str">
        <f>IF($V40&lt;&gt;"OK","",RANK(H40,$E40:$J40,0)+COUNTIF($E40:H40,H40)-1)</f>
        <v/>
      </c>
      <c r="O40" t="str">
        <f>IF($V40&lt;&gt;"OK","",RANK(I40,$E40:$J40,0)+COUNTIF($E40:I40,I40)-1)</f>
        <v/>
      </c>
      <c r="P40" t="str">
        <f>IF($V40&lt;&gt;"OK","",RANK(J40,$E40:$J40,0)+COUNTIF($E40:J40,J40)-1)</f>
        <v/>
      </c>
      <c r="Q40" t="str">
        <f t="shared" si="19"/>
        <v/>
      </c>
      <c r="R40" t="str">
        <f t="shared" si="20"/>
        <v/>
      </c>
      <c r="S40" t="str">
        <f t="shared" si="21"/>
        <v/>
      </c>
      <c r="T40" t="str">
        <f t="shared" si="22"/>
        <v/>
      </c>
      <c r="U40" s="1" t="str">
        <f>IF($T40="","",IFERROR(VLOOKUP($T40,'Kunci dari RIASEC'!$A$4:$B$123,2,FALSE),"Rekomendasi belum tersedia"))</f>
        <v/>
      </c>
      <c r="V40" t="str">
        <f>IF('entri hasil dari isian siswa'!B40="","",'entri hasil dari isian siswa'!HY40)</f>
        <v>Lengkapi 12 Self Estimate</v>
      </c>
      <c r="W40">
        <f>IF($B40="","",SUM('entri hasil dari isian siswa'!E40:O40))</f>
        <v>0</v>
      </c>
      <c r="X40">
        <f>IF($B40="","",SUM('entri hasil dari isian siswa'!P40:Z40))</f>
        <v>0</v>
      </c>
      <c r="Y40">
        <f>IF($B40="","",SUM('entri hasil dari isian siswa'!AA40:AK40))</f>
        <v>0</v>
      </c>
      <c r="Z40">
        <f>IF($B40="","",SUM('entri hasil dari isian siswa'!AL40:AV40))</f>
        <v>0</v>
      </c>
      <c r="AA40">
        <f>IF($B40="","",SUM('entri hasil dari isian siswa'!AW40:BG40))</f>
        <v>0</v>
      </c>
      <c r="AB40">
        <f>IF($B40="","",SUM('entri hasil dari isian siswa'!BH40:BR40))</f>
        <v>0</v>
      </c>
      <c r="AC40">
        <f>IF($B40="","",SUM('entri hasil dari isian siswa'!BS40:CC40))</f>
        <v>0</v>
      </c>
      <c r="AD40">
        <f>IF($B40="","",SUM('entri hasil dari isian siswa'!CD40:CN40))</f>
        <v>0</v>
      </c>
      <c r="AE40">
        <f>IF($B40="","",SUM('entri hasil dari isian siswa'!CO40:CY40))</f>
        <v>0</v>
      </c>
      <c r="AF40">
        <f>IF($B40="","",SUM('entri hasil dari isian siswa'!CZ40:DJ40))</f>
        <v>0</v>
      </c>
      <c r="AG40">
        <f>IF($B40="","",SUM('entri hasil dari isian siswa'!DK40:DU40))</f>
        <v>0</v>
      </c>
      <c r="AH40">
        <f>IF($B40="","",SUM('entri hasil dari isian siswa'!DV40:EF40))</f>
        <v>0</v>
      </c>
      <c r="AI40">
        <f>IF($B40="","",SUM('entri hasil dari isian siswa'!EG40:ET40))</f>
        <v>0</v>
      </c>
      <c r="AJ40">
        <f>IF($B40="","",SUM('entri hasil dari isian siswa'!EU40:FH40))</f>
        <v>0</v>
      </c>
      <c r="AK40">
        <f>IF($B40="","",SUM('entri hasil dari isian siswa'!FI40:FV40))</f>
        <v>0</v>
      </c>
      <c r="AL40">
        <f>IF($B40="","",SUM('entri hasil dari isian siswa'!FW40:GJ40))</f>
        <v>0</v>
      </c>
      <c r="AM40">
        <f>IF($B40="","",SUM('entri hasil dari isian siswa'!GK40:GX40))</f>
        <v>0</v>
      </c>
      <c r="AN40">
        <f>IF($B40="","",SUM('entri hasil dari isian siswa'!GY40:HL40))</f>
        <v>0</v>
      </c>
      <c r="AO40">
        <f>IF($B40="","",'entri hasil dari isian siswa'!HM40+'entri hasil dari isian siswa'!HS40)</f>
        <v>0</v>
      </c>
      <c r="AP40">
        <f>IF($B40="","",'entri hasil dari isian siswa'!HN40+'entri hasil dari isian siswa'!HT40)</f>
        <v>0</v>
      </c>
      <c r="AQ40">
        <f>IF($B40="","",'entri hasil dari isian siswa'!HO40+'entri hasil dari isian siswa'!HU40)</f>
        <v>0</v>
      </c>
      <c r="AR40">
        <f>IF($B40="","",'entri hasil dari isian siswa'!HP40+'entri hasil dari isian siswa'!HV40)</f>
        <v>0</v>
      </c>
      <c r="AS40">
        <f>IF($B40="","",'entri hasil dari isian siswa'!HQ40+'entri hasil dari isian siswa'!HW40)</f>
        <v>0</v>
      </c>
      <c r="AT40">
        <f>IF($B40="","",'entri hasil dari isian siswa'!HR40+'entri hasil dari isian siswa'!HX40)</f>
        <v>0</v>
      </c>
      <c r="AU40" s="69" t="str">
        <f t="shared" si="23"/>
        <v/>
      </c>
      <c r="AV40" s="69" t="str">
        <f>IF($AU40="","",IFERROR(VLOOKUP($AU40,'Kunci dari RIASEC'!$J$4:$K$33,2,FALSE),""))</f>
        <v/>
      </c>
    </row>
    <row r="41" spans="1:48">
      <c r="A41">
        <f t="shared" si="12"/>
        <v>37</v>
      </c>
      <c r="B41" t="str">
        <f>IF('entri hasil dari isian siswa'!B41="","",'entri hasil dari isian siswa'!B41)</f>
        <v>22037</v>
      </c>
      <c r="C41" t="str">
        <f>IF('entri hasil dari isian siswa'!C41="","",'entri hasil dari isian siswa'!C41)</f>
        <v>Yuli Aji Yakup</v>
      </c>
      <c r="D41" t="str">
        <f>IF('entri hasil dari isian siswa'!D41="","",'entri hasil dari isian siswa'!D41)</f>
        <v>L</v>
      </c>
      <c r="E41">
        <f t="shared" si="13"/>
        <v>0</v>
      </c>
      <c r="F41">
        <f t="shared" si="14"/>
        <v>0</v>
      </c>
      <c r="G41">
        <f t="shared" si="15"/>
        <v>0</v>
      </c>
      <c r="H41">
        <f t="shared" si="16"/>
        <v>0</v>
      </c>
      <c r="I41">
        <f t="shared" si="17"/>
        <v>0</v>
      </c>
      <c r="J41">
        <f t="shared" si="18"/>
        <v>0</v>
      </c>
      <c r="K41" t="str">
        <f>IF($V41&lt;&gt;"OK","",RANK(E41,$E41:$J41,0)+COUNTIF($E41:E41,E41)-1)</f>
        <v/>
      </c>
      <c r="L41" t="str">
        <f>IF($V41&lt;&gt;"OK","",RANK(F41,$E41:$J41,0)+COUNTIF($E41:F41,F41)-1)</f>
        <v/>
      </c>
      <c r="M41" t="str">
        <f>IF($V41&lt;&gt;"OK","",RANK(G41,$E41:$J41,0)+COUNTIF($E41:G41,G41)-1)</f>
        <v/>
      </c>
      <c r="N41" t="str">
        <f>IF($V41&lt;&gt;"OK","",RANK(H41,$E41:$J41,0)+COUNTIF($E41:H41,H41)-1)</f>
        <v/>
      </c>
      <c r="O41" t="str">
        <f>IF($V41&lt;&gt;"OK","",RANK(I41,$E41:$J41,0)+COUNTIF($E41:I41,I41)-1)</f>
        <v/>
      </c>
      <c r="P41" t="str">
        <f>IF($V41&lt;&gt;"OK","",RANK(J41,$E41:$J41,0)+COUNTIF($E41:J41,J41)-1)</f>
        <v/>
      </c>
      <c r="Q41" t="str">
        <f t="shared" si="19"/>
        <v/>
      </c>
      <c r="R41" t="str">
        <f t="shared" si="20"/>
        <v/>
      </c>
      <c r="S41" t="str">
        <f t="shared" si="21"/>
        <v/>
      </c>
      <c r="T41" t="str">
        <f t="shared" si="22"/>
        <v/>
      </c>
      <c r="U41" s="1" t="str">
        <f>IF($T41="","",IFERROR(VLOOKUP($T41,'Kunci dari RIASEC'!$A$4:$B$123,2,FALSE),"Rekomendasi belum tersedia"))</f>
        <v/>
      </c>
      <c r="V41" t="str">
        <f>IF('entri hasil dari isian siswa'!B41="","",'entri hasil dari isian siswa'!HY41)</f>
        <v>Lengkapi 12 Self Estimate</v>
      </c>
      <c r="W41">
        <f>IF($B41="","",SUM('entri hasil dari isian siswa'!E41:O41))</f>
        <v>0</v>
      </c>
      <c r="X41">
        <f>IF($B41="","",SUM('entri hasil dari isian siswa'!P41:Z41))</f>
        <v>0</v>
      </c>
      <c r="Y41">
        <f>IF($B41="","",SUM('entri hasil dari isian siswa'!AA41:AK41))</f>
        <v>0</v>
      </c>
      <c r="Z41">
        <f>IF($B41="","",SUM('entri hasil dari isian siswa'!AL41:AV41))</f>
        <v>0</v>
      </c>
      <c r="AA41">
        <f>IF($B41="","",SUM('entri hasil dari isian siswa'!AW41:BG41))</f>
        <v>0</v>
      </c>
      <c r="AB41">
        <f>IF($B41="","",SUM('entri hasil dari isian siswa'!BH41:BR41))</f>
        <v>0</v>
      </c>
      <c r="AC41">
        <f>IF($B41="","",SUM('entri hasil dari isian siswa'!BS41:CC41))</f>
        <v>0</v>
      </c>
      <c r="AD41">
        <f>IF($B41="","",SUM('entri hasil dari isian siswa'!CD41:CN41))</f>
        <v>0</v>
      </c>
      <c r="AE41">
        <f>IF($B41="","",SUM('entri hasil dari isian siswa'!CO41:CY41))</f>
        <v>0</v>
      </c>
      <c r="AF41">
        <f>IF($B41="","",SUM('entri hasil dari isian siswa'!CZ41:DJ41))</f>
        <v>0</v>
      </c>
      <c r="AG41">
        <f>IF($B41="","",SUM('entri hasil dari isian siswa'!DK41:DU41))</f>
        <v>0</v>
      </c>
      <c r="AH41">
        <f>IF($B41="","",SUM('entri hasil dari isian siswa'!DV41:EF41))</f>
        <v>0</v>
      </c>
      <c r="AI41">
        <f>IF($B41="","",SUM('entri hasil dari isian siswa'!EG41:ET41))</f>
        <v>0</v>
      </c>
      <c r="AJ41">
        <f>IF($B41="","",SUM('entri hasil dari isian siswa'!EU41:FH41))</f>
        <v>0</v>
      </c>
      <c r="AK41">
        <f>IF($B41="","",SUM('entri hasil dari isian siswa'!FI41:FV41))</f>
        <v>0</v>
      </c>
      <c r="AL41">
        <f>IF($B41="","",SUM('entri hasil dari isian siswa'!FW41:GJ41))</f>
        <v>0</v>
      </c>
      <c r="AM41">
        <f>IF($B41="","",SUM('entri hasil dari isian siswa'!GK41:GX41))</f>
        <v>0</v>
      </c>
      <c r="AN41">
        <f>IF($B41="","",SUM('entri hasil dari isian siswa'!GY41:HL41))</f>
        <v>0</v>
      </c>
      <c r="AO41">
        <f>IF($B41="","",'entri hasil dari isian siswa'!HM41+'entri hasil dari isian siswa'!HS41)</f>
        <v>0</v>
      </c>
      <c r="AP41">
        <f>IF($B41="","",'entri hasil dari isian siswa'!HN41+'entri hasil dari isian siswa'!HT41)</f>
        <v>0</v>
      </c>
      <c r="AQ41">
        <f>IF($B41="","",'entri hasil dari isian siswa'!HO41+'entri hasil dari isian siswa'!HU41)</f>
        <v>0</v>
      </c>
      <c r="AR41">
        <f>IF($B41="","",'entri hasil dari isian siswa'!HP41+'entri hasil dari isian siswa'!HV41)</f>
        <v>0</v>
      </c>
      <c r="AS41">
        <f>IF($B41="","",'entri hasil dari isian siswa'!HQ41+'entri hasil dari isian siswa'!HW41)</f>
        <v>0</v>
      </c>
      <c r="AT41">
        <f>IF($B41="","",'entri hasil dari isian siswa'!HR41+'entri hasil dari isian siswa'!HX41)</f>
        <v>0</v>
      </c>
      <c r="AU41" s="69" t="str">
        <f t="shared" si="23"/>
        <v/>
      </c>
      <c r="AV41" s="69" t="str">
        <f>IF($AU41="","",IFERROR(VLOOKUP($AU41,'Kunci dari RIASEC'!$J$4:$K$33,2,FALSE),""))</f>
        <v/>
      </c>
    </row>
    <row r="42" spans="1:48">
      <c r="A42">
        <f t="shared" si="12"/>
        <v>38</v>
      </c>
      <c r="B42" t="str">
        <f>IF('entri hasil dari isian siswa'!B42="","",'entri hasil dari isian siswa'!B42)</f>
        <v/>
      </c>
      <c r="C42" t="str">
        <f>IF('entri hasil dari isian siswa'!C42="","",'entri hasil dari isian siswa'!C42)</f>
        <v/>
      </c>
      <c r="D42" t="str">
        <f>IF('entri hasil dari isian siswa'!D42="","",'entri hasil dari isian siswa'!D42)</f>
        <v/>
      </c>
      <c r="E42" t="str">
        <f t="shared" si="13"/>
        <v/>
      </c>
      <c r="F42" t="str">
        <f t="shared" si="14"/>
        <v/>
      </c>
      <c r="G42" t="str">
        <f t="shared" si="15"/>
        <v/>
      </c>
      <c r="H42" t="str">
        <f t="shared" si="16"/>
        <v/>
      </c>
      <c r="I42" t="str">
        <f t="shared" si="17"/>
        <v/>
      </c>
      <c r="J42" t="str">
        <f t="shared" si="18"/>
        <v/>
      </c>
      <c r="K42" t="str">
        <f>IF($V42&lt;&gt;"OK","",RANK(E42,$E42:$J42,0)+COUNTIF($E42:E42,E42)-1)</f>
        <v/>
      </c>
      <c r="L42" t="str">
        <f>IF($V42&lt;&gt;"OK","",RANK(F42,$E42:$J42,0)+COUNTIF($E42:F42,F42)-1)</f>
        <v/>
      </c>
      <c r="M42" t="str">
        <f>IF($V42&lt;&gt;"OK","",RANK(G42,$E42:$J42,0)+COUNTIF($E42:G42,G42)-1)</f>
        <v/>
      </c>
      <c r="N42" t="str">
        <f>IF($V42&lt;&gt;"OK","",RANK(H42,$E42:$J42,0)+COUNTIF($E42:H42,H42)-1)</f>
        <v/>
      </c>
      <c r="O42" t="str">
        <f>IF($V42&lt;&gt;"OK","",RANK(I42,$E42:$J42,0)+COUNTIF($E42:I42,I42)-1)</f>
        <v/>
      </c>
      <c r="P42" t="str">
        <f>IF($V42&lt;&gt;"OK","",RANK(J42,$E42:$J42,0)+COUNTIF($E42:J42,J42)-1)</f>
        <v/>
      </c>
      <c r="Q42" t="str">
        <f t="shared" si="19"/>
        <v/>
      </c>
      <c r="R42" t="str">
        <f t="shared" si="20"/>
        <v/>
      </c>
      <c r="S42" t="str">
        <f t="shared" si="21"/>
        <v/>
      </c>
      <c r="T42" t="str">
        <f t="shared" si="22"/>
        <v/>
      </c>
      <c r="U42" s="1" t="str">
        <f>IF($T42="","",IFERROR(VLOOKUP($T42,'Kunci dari RIASEC'!$A$4:$B$123,2,FALSE),"Rekomendasi belum tersedia"))</f>
        <v/>
      </c>
      <c r="V42" t="str">
        <f>IF('entri hasil dari isian siswa'!B42="","",'entri hasil dari isian siswa'!HY42)</f>
        <v/>
      </c>
      <c r="W42" t="str">
        <f>IF($B42="","",SUM('entri hasil dari isian siswa'!E42:O42))</f>
        <v/>
      </c>
      <c r="X42" t="str">
        <f>IF($B42="","",SUM('entri hasil dari isian siswa'!P42:Z42))</f>
        <v/>
      </c>
      <c r="Y42" t="str">
        <f>IF($B42="","",SUM('entri hasil dari isian siswa'!AA42:AK42))</f>
        <v/>
      </c>
      <c r="Z42" t="str">
        <f>IF($B42="","",SUM('entri hasil dari isian siswa'!AL42:AV42))</f>
        <v/>
      </c>
      <c r="AA42" t="str">
        <f>IF($B42="","",SUM('entri hasil dari isian siswa'!AW42:BG42))</f>
        <v/>
      </c>
      <c r="AB42" t="str">
        <f>IF($B42="","",SUM('entri hasil dari isian siswa'!BH42:BR42))</f>
        <v/>
      </c>
      <c r="AC42" t="str">
        <f>IF($B42="","",SUM('entri hasil dari isian siswa'!BS42:CC42))</f>
        <v/>
      </c>
      <c r="AD42" t="str">
        <f>IF($B42="","",SUM('entri hasil dari isian siswa'!CD42:CN42))</f>
        <v/>
      </c>
      <c r="AE42" t="str">
        <f>IF($B42="","",SUM('entri hasil dari isian siswa'!CO42:CY42))</f>
        <v/>
      </c>
      <c r="AF42" t="str">
        <f>IF($B42="","",SUM('entri hasil dari isian siswa'!CZ42:DJ42))</f>
        <v/>
      </c>
      <c r="AG42" t="str">
        <f>IF($B42="","",SUM('entri hasil dari isian siswa'!DK42:DU42))</f>
        <v/>
      </c>
      <c r="AH42" t="str">
        <f>IF($B42="","",SUM('entri hasil dari isian siswa'!DV42:EF42))</f>
        <v/>
      </c>
      <c r="AI42" t="str">
        <f>IF($B42="","",SUM('entri hasil dari isian siswa'!EG42:ET42))</f>
        <v/>
      </c>
      <c r="AJ42" t="str">
        <f>IF($B42="","",SUM('entri hasil dari isian siswa'!EU42:FH42))</f>
        <v/>
      </c>
      <c r="AK42" t="str">
        <f>IF($B42="","",SUM('entri hasil dari isian siswa'!FI42:FV42))</f>
        <v/>
      </c>
      <c r="AL42" t="str">
        <f>IF($B42="","",SUM('entri hasil dari isian siswa'!FW42:GJ42))</f>
        <v/>
      </c>
      <c r="AM42" t="str">
        <f>IF($B42="","",SUM('entri hasil dari isian siswa'!GK42:GX42))</f>
        <v/>
      </c>
      <c r="AN42" t="str">
        <f>IF($B42="","",SUM('entri hasil dari isian siswa'!GY42:HL42))</f>
        <v/>
      </c>
      <c r="AO42" t="str">
        <f>IF($B42="","",'entri hasil dari isian siswa'!HM42+'entri hasil dari isian siswa'!HS42)</f>
        <v/>
      </c>
      <c r="AP42" t="str">
        <f>IF($B42="","",'entri hasil dari isian siswa'!HN42+'entri hasil dari isian siswa'!HT42)</f>
        <v/>
      </c>
      <c r="AQ42" t="str">
        <f>IF($B42="","",'entri hasil dari isian siswa'!HO42+'entri hasil dari isian siswa'!HU42)</f>
        <v/>
      </c>
      <c r="AR42" t="str">
        <f>IF($B42="","",'entri hasil dari isian siswa'!HP42+'entri hasil dari isian siswa'!HV42)</f>
        <v/>
      </c>
      <c r="AS42" t="str">
        <f>IF($B42="","",'entri hasil dari isian siswa'!HQ42+'entri hasil dari isian siswa'!HW42)</f>
        <v/>
      </c>
      <c r="AT42" t="str">
        <f>IF($B42="","",'entri hasil dari isian siswa'!HR42+'entri hasil dari isian siswa'!HX42)</f>
        <v/>
      </c>
      <c r="AU42" s="69" t="str">
        <f t="shared" si="23"/>
        <v/>
      </c>
      <c r="AV42" s="69" t="str">
        <f>IF($AU42="","",IFERROR(VLOOKUP($AU42,'Kunci dari RIASEC'!$J$4:$K$33,2,FALSE),""))</f>
        <v/>
      </c>
    </row>
    <row r="43" spans="1:48">
      <c r="A43">
        <f t="shared" si="12"/>
        <v>39</v>
      </c>
      <c r="B43" t="str">
        <f>IF('entri hasil dari isian siswa'!B43="","",'entri hasil dari isian siswa'!B43)</f>
        <v/>
      </c>
      <c r="C43" t="str">
        <f>IF('entri hasil dari isian siswa'!C43="","",'entri hasil dari isian siswa'!C43)</f>
        <v/>
      </c>
      <c r="D43" t="str">
        <f>IF('entri hasil dari isian siswa'!D43="","",'entri hasil dari isian siswa'!D43)</f>
        <v/>
      </c>
      <c r="E43" t="str">
        <f t="shared" si="13"/>
        <v/>
      </c>
      <c r="F43" t="str">
        <f t="shared" si="14"/>
        <v/>
      </c>
      <c r="G43" t="str">
        <f t="shared" si="15"/>
        <v/>
      </c>
      <c r="H43" t="str">
        <f t="shared" si="16"/>
        <v/>
      </c>
      <c r="I43" t="str">
        <f t="shared" si="17"/>
        <v/>
      </c>
      <c r="J43" t="str">
        <f t="shared" si="18"/>
        <v/>
      </c>
      <c r="K43" t="str">
        <f>IF($V43&lt;&gt;"OK","",RANK(E43,$E43:$J43,0)+COUNTIF($E43:E43,E43)-1)</f>
        <v/>
      </c>
      <c r="L43" t="str">
        <f>IF($V43&lt;&gt;"OK","",RANK(F43,$E43:$J43,0)+COUNTIF($E43:F43,F43)-1)</f>
        <v/>
      </c>
      <c r="M43" t="str">
        <f>IF($V43&lt;&gt;"OK","",RANK(G43,$E43:$J43,0)+COUNTIF($E43:G43,G43)-1)</f>
        <v/>
      </c>
      <c r="N43" t="str">
        <f>IF($V43&lt;&gt;"OK","",RANK(H43,$E43:$J43,0)+COUNTIF($E43:H43,H43)-1)</f>
        <v/>
      </c>
      <c r="O43" t="str">
        <f>IF($V43&lt;&gt;"OK","",RANK(I43,$E43:$J43,0)+COUNTIF($E43:I43,I43)-1)</f>
        <v/>
      </c>
      <c r="P43" t="str">
        <f>IF($V43&lt;&gt;"OK","",RANK(J43,$E43:$J43,0)+COUNTIF($E43:J43,J43)-1)</f>
        <v/>
      </c>
      <c r="Q43" t="str">
        <f t="shared" si="19"/>
        <v/>
      </c>
      <c r="R43" t="str">
        <f t="shared" si="20"/>
        <v/>
      </c>
      <c r="S43" t="str">
        <f t="shared" si="21"/>
        <v/>
      </c>
      <c r="T43" t="str">
        <f t="shared" si="22"/>
        <v/>
      </c>
      <c r="U43" s="1" t="str">
        <f>IF($T43="","",IFERROR(VLOOKUP($T43,'Kunci dari RIASEC'!$A$4:$B$123,2,FALSE),"Rekomendasi belum tersedia"))</f>
        <v/>
      </c>
      <c r="V43" t="str">
        <f>IF('entri hasil dari isian siswa'!B43="","",'entri hasil dari isian siswa'!HY43)</f>
        <v/>
      </c>
      <c r="W43" t="str">
        <f>IF($B43="","",SUM('entri hasil dari isian siswa'!E43:O43))</f>
        <v/>
      </c>
      <c r="X43" t="str">
        <f>IF($B43="","",SUM('entri hasil dari isian siswa'!P43:Z43))</f>
        <v/>
      </c>
      <c r="Y43" t="str">
        <f>IF($B43="","",SUM('entri hasil dari isian siswa'!AA43:AK43))</f>
        <v/>
      </c>
      <c r="Z43" t="str">
        <f>IF($B43="","",SUM('entri hasil dari isian siswa'!AL43:AV43))</f>
        <v/>
      </c>
      <c r="AA43" t="str">
        <f>IF($B43="","",SUM('entri hasil dari isian siswa'!AW43:BG43))</f>
        <v/>
      </c>
      <c r="AB43" t="str">
        <f>IF($B43="","",SUM('entri hasil dari isian siswa'!BH43:BR43))</f>
        <v/>
      </c>
      <c r="AC43" t="str">
        <f>IF($B43="","",SUM('entri hasil dari isian siswa'!BS43:CC43))</f>
        <v/>
      </c>
      <c r="AD43" t="str">
        <f>IF($B43="","",SUM('entri hasil dari isian siswa'!CD43:CN43))</f>
        <v/>
      </c>
      <c r="AE43" t="str">
        <f>IF($B43="","",SUM('entri hasil dari isian siswa'!CO43:CY43))</f>
        <v/>
      </c>
      <c r="AF43" t="str">
        <f>IF($B43="","",SUM('entri hasil dari isian siswa'!CZ43:DJ43))</f>
        <v/>
      </c>
      <c r="AG43" t="str">
        <f>IF($B43="","",SUM('entri hasil dari isian siswa'!DK43:DU43))</f>
        <v/>
      </c>
      <c r="AH43" t="str">
        <f>IF($B43="","",SUM('entri hasil dari isian siswa'!DV43:EF43))</f>
        <v/>
      </c>
      <c r="AI43" t="str">
        <f>IF($B43="","",SUM('entri hasil dari isian siswa'!EG43:ET43))</f>
        <v/>
      </c>
      <c r="AJ43" t="str">
        <f>IF($B43="","",SUM('entri hasil dari isian siswa'!EU43:FH43))</f>
        <v/>
      </c>
      <c r="AK43" t="str">
        <f>IF($B43="","",SUM('entri hasil dari isian siswa'!FI43:FV43))</f>
        <v/>
      </c>
      <c r="AL43" t="str">
        <f>IF($B43="","",SUM('entri hasil dari isian siswa'!FW43:GJ43))</f>
        <v/>
      </c>
      <c r="AM43" t="str">
        <f>IF($B43="","",SUM('entri hasil dari isian siswa'!GK43:GX43))</f>
        <v/>
      </c>
      <c r="AN43" t="str">
        <f>IF($B43="","",SUM('entri hasil dari isian siswa'!GY43:HL43))</f>
        <v/>
      </c>
      <c r="AO43" t="str">
        <f>IF($B43="","",'entri hasil dari isian siswa'!HM43+'entri hasil dari isian siswa'!HS43)</f>
        <v/>
      </c>
      <c r="AP43" t="str">
        <f>IF($B43="","",'entri hasil dari isian siswa'!HN43+'entri hasil dari isian siswa'!HT43)</f>
        <v/>
      </c>
      <c r="AQ43" t="str">
        <f>IF($B43="","",'entri hasil dari isian siswa'!HO43+'entri hasil dari isian siswa'!HU43)</f>
        <v/>
      </c>
      <c r="AR43" t="str">
        <f>IF($B43="","",'entri hasil dari isian siswa'!HP43+'entri hasil dari isian siswa'!HV43)</f>
        <v/>
      </c>
      <c r="AS43" t="str">
        <f>IF($B43="","",'entri hasil dari isian siswa'!HQ43+'entri hasil dari isian siswa'!HW43)</f>
        <v/>
      </c>
      <c r="AT43" t="str">
        <f>IF($B43="","",'entri hasil dari isian siswa'!HR43+'entri hasil dari isian siswa'!HX43)</f>
        <v/>
      </c>
      <c r="AU43" s="69" t="str">
        <f t="shared" si="23"/>
        <v/>
      </c>
      <c r="AV43" s="69" t="str">
        <f>IF($AU43="","",IFERROR(VLOOKUP($AU43,'Kunci dari RIASEC'!$J$4:$K$33,2,FALSE),""))</f>
        <v/>
      </c>
    </row>
    <row r="44" spans="1:48">
      <c r="A44">
        <f t="shared" si="12"/>
        <v>40</v>
      </c>
      <c r="B44" t="str">
        <f>IF('entri hasil dari isian siswa'!B44="","",'entri hasil dari isian siswa'!B44)</f>
        <v/>
      </c>
      <c r="C44" t="str">
        <f>IF('entri hasil dari isian siswa'!C44="","",'entri hasil dari isian siswa'!C44)</f>
        <v/>
      </c>
      <c r="D44" t="str">
        <f>IF('entri hasil dari isian siswa'!D44="","",'entri hasil dari isian siswa'!D44)</f>
        <v/>
      </c>
      <c r="E44" t="str">
        <f t="shared" si="13"/>
        <v/>
      </c>
      <c r="F44" t="str">
        <f t="shared" si="14"/>
        <v/>
      </c>
      <c r="G44" t="str">
        <f t="shared" si="15"/>
        <v/>
      </c>
      <c r="H44" t="str">
        <f t="shared" si="16"/>
        <v/>
      </c>
      <c r="I44" t="str">
        <f t="shared" si="17"/>
        <v/>
      </c>
      <c r="J44" t="str">
        <f t="shared" si="18"/>
        <v/>
      </c>
      <c r="K44" t="str">
        <f>IF($V44&lt;&gt;"OK","",RANK(E44,$E44:$J44,0)+COUNTIF($E44:E44,E44)-1)</f>
        <v/>
      </c>
      <c r="L44" t="str">
        <f>IF($V44&lt;&gt;"OK","",RANK(F44,$E44:$J44,0)+COUNTIF($E44:F44,F44)-1)</f>
        <v/>
      </c>
      <c r="M44" t="str">
        <f>IF($V44&lt;&gt;"OK","",RANK(G44,$E44:$J44,0)+COUNTIF($E44:G44,G44)-1)</f>
        <v/>
      </c>
      <c r="N44" t="str">
        <f>IF($V44&lt;&gt;"OK","",RANK(H44,$E44:$J44,0)+COUNTIF($E44:H44,H44)-1)</f>
        <v/>
      </c>
      <c r="O44" t="str">
        <f>IF($V44&lt;&gt;"OK","",RANK(I44,$E44:$J44,0)+COUNTIF($E44:I44,I44)-1)</f>
        <v/>
      </c>
      <c r="P44" t="str">
        <f>IF($V44&lt;&gt;"OK","",RANK(J44,$E44:$J44,0)+COUNTIF($E44:J44,J44)-1)</f>
        <v/>
      </c>
      <c r="Q44" t="str">
        <f t="shared" si="19"/>
        <v/>
      </c>
      <c r="R44" t="str">
        <f t="shared" si="20"/>
        <v/>
      </c>
      <c r="S44" t="str">
        <f t="shared" si="21"/>
        <v/>
      </c>
      <c r="T44" t="str">
        <f t="shared" si="22"/>
        <v/>
      </c>
      <c r="U44" s="1" t="str">
        <f>IF($T44="","",IFERROR(VLOOKUP($T44,'Kunci dari RIASEC'!$A$4:$B$123,2,FALSE),"Rekomendasi belum tersedia"))</f>
        <v/>
      </c>
      <c r="V44" t="str">
        <f>IF('entri hasil dari isian siswa'!B44="","",'entri hasil dari isian siswa'!HY44)</f>
        <v/>
      </c>
      <c r="W44" t="str">
        <f>IF($B44="","",SUM('entri hasil dari isian siswa'!E44:O44))</f>
        <v/>
      </c>
      <c r="X44" t="str">
        <f>IF($B44="","",SUM('entri hasil dari isian siswa'!P44:Z44))</f>
        <v/>
      </c>
      <c r="Y44" t="str">
        <f>IF($B44="","",SUM('entri hasil dari isian siswa'!AA44:AK44))</f>
        <v/>
      </c>
      <c r="Z44" t="str">
        <f>IF($B44="","",SUM('entri hasil dari isian siswa'!AL44:AV44))</f>
        <v/>
      </c>
      <c r="AA44" t="str">
        <f>IF($B44="","",SUM('entri hasil dari isian siswa'!AW44:BG44))</f>
        <v/>
      </c>
      <c r="AB44" t="str">
        <f>IF($B44="","",SUM('entri hasil dari isian siswa'!BH44:BR44))</f>
        <v/>
      </c>
      <c r="AC44" t="str">
        <f>IF($B44="","",SUM('entri hasil dari isian siswa'!BS44:CC44))</f>
        <v/>
      </c>
      <c r="AD44" t="str">
        <f>IF($B44="","",SUM('entri hasil dari isian siswa'!CD44:CN44))</f>
        <v/>
      </c>
      <c r="AE44" t="str">
        <f>IF($B44="","",SUM('entri hasil dari isian siswa'!CO44:CY44))</f>
        <v/>
      </c>
      <c r="AF44" t="str">
        <f>IF($B44="","",SUM('entri hasil dari isian siswa'!CZ44:DJ44))</f>
        <v/>
      </c>
      <c r="AG44" t="str">
        <f>IF($B44="","",SUM('entri hasil dari isian siswa'!DK44:DU44))</f>
        <v/>
      </c>
      <c r="AH44" t="str">
        <f>IF($B44="","",SUM('entri hasil dari isian siswa'!DV44:EF44))</f>
        <v/>
      </c>
      <c r="AI44" t="str">
        <f>IF($B44="","",SUM('entri hasil dari isian siswa'!EG44:ET44))</f>
        <v/>
      </c>
      <c r="AJ44" t="str">
        <f>IF($B44="","",SUM('entri hasil dari isian siswa'!EU44:FH44))</f>
        <v/>
      </c>
      <c r="AK44" t="str">
        <f>IF($B44="","",SUM('entri hasil dari isian siswa'!FI44:FV44))</f>
        <v/>
      </c>
      <c r="AL44" t="str">
        <f>IF($B44="","",SUM('entri hasil dari isian siswa'!FW44:GJ44))</f>
        <v/>
      </c>
      <c r="AM44" t="str">
        <f>IF($B44="","",SUM('entri hasil dari isian siswa'!GK44:GX44))</f>
        <v/>
      </c>
      <c r="AN44" t="str">
        <f>IF($B44="","",SUM('entri hasil dari isian siswa'!GY44:HL44))</f>
        <v/>
      </c>
      <c r="AO44" t="str">
        <f>IF($B44="","",'entri hasil dari isian siswa'!HM44+'entri hasil dari isian siswa'!HS44)</f>
        <v/>
      </c>
      <c r="AP44" t="str">
        <f>IF($B44="","",'entri hasil dari isian siswa'!HN44+'entri hasil dari isian siswa'!HT44)</f>
        <v/>
      </c>
      <c r="AQ44" t="str">
        <f>IF($B44="","",'entri hasil dari isian siswa'!HO44+'entri hasil dari isian siswa'!HU44)</f>
        <v/>
      </c>
      <c r="AR44" t="str">
        <f>IF($B44="","",'entri hasil dari isian siswa'!HP44+'entri hasil dari isian siswa'!HV44)</f>
        <v/>
      </c>
      <c r="AS44" t="str">
        <f>IF($B44="","",'entri hasil dari isian siswa'!HQ44+'entri hasil dari isian siswa'!HW44)</f>
        <v/>
      </c>
      <c r="AT44" t="str">
        <f>IF($B44="","",'entri hasil dari isian siswa'!HR44+'entri hasil dari isian siswa'!HX44)</f>
        <v/>
      </c>
      <c r="AU44" s="69" t="str">
        <f t="shared" si="23"/>
        <v/>
      </c>
      <c r="AV44" s="69" t="str">
        <f>IF($AU44="","",IFERROR(VLOOKUP($AU44,'Kunci dari RIASEC'!$J$4:$K$33,2,FALSE),""))</f>
        <v/>
      </c>
    </row>
    <row r="45" spans="1:48">
      <c r="A45">
        <f t="shared" si="12"/>
        <v>41</v>
      </c>
      <c r="B45" t="str">
        <f>IF('entri hasil dari isian siswa'!B45="","",'entri hasil dari isian siswa'!B45)</f>
        <v/>
      </c>
      <c r="C45" t="str">
        <f>IF('entri hasil dari isian siswa'!C45="","",'entri hasil dari isian siswa'!C45)</f>
        <v/>
      </c>
      <c r="D45" t="str">
        <f>IF('entri hasil dari isian siswa'!D45="","",'entri hasil dari isian siswa'!D45)</f>
        <v/>
      </c>
      <c r="E45" t="str">
        <f t="shared" si="13"/>
        <v/>
      </c>
      <c r="F45" t="str">
        <f t="shared" si="14"/>
        <v/>
      </c>
      <c r="G45" t="str">
        <f t="shared" si="15"/>
        <v/>
      </c>
      <c r="H45" t="str">
        <f t="shared" si="16"/>
        <v/>
      </c>
      <c r="I45" t="str">
        <f t="shared" si="17"/>
        <v/>
      </c>
      <c r="J45" t="str">
        <f t="shared" si="18"/>
        <v/>
      </c>
      <c r="K45" t="str">
        <f>IF($V45&lt;&gt;"OK","",RANK(E45,$E45:$J45,0)+COUNTIF($E45:E45,E45)-1)</f>
        <v/>
      </c>
      <c r="L45" t="str">
        <f>IF($V45&lt;&gt;"OK","",RANK(F45,$E45:$J45,0)+COUNTIF($E45:F45,F45)-1)</f>
        <v/>
      </c>
      <c r="M45" t="str">
        <f>IF($V45&lt;&gt;"OK","",RANK(G45,$E45:$J45,0)+COUNTIF($E45:G45,G45)-1)</f>
        <v/>
      </c>
      <c r="N45" t="str">
        <f>IF($V45&lt;&gt;"OK","",RANK(H45,$E45:$J45,0)+COUNTIF($E45:H45,H45)-1)</f>
        <v/>
      </c>
      <c r="O45" t="str">
        <f>IF($V45&lt;&gt;"OK","",RANK(I45,$E45:$J45,0)+COUNTIF($E45:I45,I45)-1)</f>
        <v/>
      </c>
      <c r="P45" t="str">
        <f>IF($V45&lt;&gt;"OK","",RANK(J45,$E45:$J45,0)+COUNTIF($E45:J45,J45)-1)</f>
        <v/>
      </c>
      <c r="Q45" t="str">
        <f t="shared" si="19"/>
        <v/>
      </c>
      <c r="R45" t="str">
        <f t="shared" si="20"/>
        <v/>
      </c>
      <c r="S45" t="str">
        <f t="shared" si="21"/>
        <v/>
      </c>
      <c r="T45" t="str">
        <f t="shared" si="22"/>
        <v/>
      </c>
      <c r="U45" s="1" t="str">
        <f>IF($T45="","",IFERROR(VLOOKUP($T45,'Kunci dari RIASEC'!$A$4:$B$123,2,FALSE),"Rekomendasi belum tersedia"))</f>
        <v/>
      </c>
      <c r="V45" t="str">
        <f>IF('entri hasil dari isian siswa'!B45="","",'entri hasil dari isian siswa'!HY45)</f>
        <v/>
      </c>
      <c r="W45" t="str">
        <f>IF($B45="","",SUM('entri hasil dari isian siswa'!E45:O45))</f>
        <v/>
      </c>
      <c r="X45" t="str">
        <f>IF($B45="","",SUM('entri hasil dari isian siswa'!P45:Z45))</f>
        <v/>
      </c>
      <c r="Y45" t="str">
        <f>IF($B45="","",SUM('entri hasil dari isian siswa'!AA45:AK45))</f>
        <v/>
      </c>
      <c r="Z45" t="str">
        <f>IF($B45="","",SUM('entri hasil dari isian siswa'!AL45:AV45))</f>
        <v/>
      </c>
      <c r="AA45" t="str">
        <f>IF($B45="","",SUM('entri hasil dari isian siswa'!AW45:BG45))</f>
        <v/>
      </c>
      <c r="AB45" t="str">
        <f>IF($B45="","",SUM('entri hasil dari isian siswa'!BH45:BR45))</f>
        <v/>
      </c>
      <c r="AC45" t="str">
        <f>IF($B45="","",SUM('entri hasil dari isian siswa'!BS45:CC45))</f>
        <v/>
      </c>
      <c r="AD45" t="str">
        <f>IF($B45="","",SUM('entri hasil dari isian siswa'!CD45:CN45))</f>
        <v/>
      </c>
      <c r="AE45" t="str">
        <f>IF($B45="","",SUM('entri hasil dari isian siswa'!CO45:CY45))</f>
        <v/>
      </c>
      <c r="AF45" t="str">
        <f>IF($B45="","",SUM('entri hasil dari isian siswa'!CZ45:DJ45))</f>
        <v/>
      </c>
      <c r="AG45" t="str">
        <f>IF($B45="","",SUM('entri hasil dari isian siswa'!DK45:DU45))</f>
        <v/>
      </c>
      <c r="AH45" t="str">
        <f>IF($B45="","",SUM('entri hasil dari isian siswa'!DV45:EF45))</f>
        <v/>
      </c>
      <c r="AI45" t="str">
        <f>IF($B45="","",SUM('entri hasil dari isian siswa'!EG45:ET45))</f>
        <v/>
      </c>
      <c r="AJ45" t="str">
        <f>IF($B45="","",SUM('entri hasil dari isian siswa'!EU45:FH45))</f>
        <v/>
      </c>
      <c r="AK45" t="str">
        <f>IF($B45="","",SUM('entri hasil dari isian siswa'!FI45:FV45))</f>
        <v/>
      </c>
      <c r="AL45" t="str">
        <f>IF($B45="","",SUM('entri hasil dari isian siswa'!FW45:GJ45))</f>
        <v/>
      </c>
      <c r="AM45" t="str">
        <f>IF($B45="","",SUM('entri hasil dari isian siswa'!GK45:GX45))</f>
        <v/>
      </c>
      <c r="AN45" t="str">
        <f>IF($B45="","",SUM('entri hasil dari isian siswa'!GY45:HL45))</f>
        <v/>
      </c>
      <c r="AO45" t="str">
        <f>IF($B45="","",'entri hasil dari isian siswa'!HM45+'entri hasil dari isian siswa'!HS45)</f>
        <v/>
      </c>
      <c r="AP45" t="str">
        <f>IF($B45="","",'entri hasil dari isian siswa'!HN45+'entri hasil dari isian siswa'!HT45)</f>
        <v/>
      </c>
      <c r="AQ45" t="str">
        <f>IF($B45="","",'entri hasil dari isian siswa'!HO45+'entri hasil dari isian siswa'!HU45)</f>
        <v/>
      </c>
      <c r="AR45" t="str">
        <f>IF($B45="","",'entri hasil dari isian siswa'!HP45+'entri hasil dari isian siswa'!HV45)</f>
        <v/>
      </c>
      <c r="AS45" t="str">
        <f>IF($B45="","",'entri hasil dari isian siswa'!HQ45+'entri hasil dari isian siswa'!HW45)</f>
        <v/>
      </c>
      <c r="AT45" t="str">
        <f>IF($B45="","",'entri hasil dari isian siswa'!HR45+'entri hasil dari isian siswa'!HX45)</f>
        <v/>
      </c>
      <c r="AU45" s="69" t="str">
        <f t="shared" si="23"/>
        <v/>
      </c>
      <c r="AV45" s="69" t="str">
        <f>IF($AU45="","",IFERROR(VLOOKUP($AU45,'Kunci dari RIASEC'!$J$4:$K$33,2,FALSE),""))</f>
        <v/>
      </c>
    </row>
    <row r="46" spans="1:48">
      <c r="A46">
        <f t="shared" si="12"/>
        <v>42</v>
      </c>
      <c r="B46" t="str">
        <f>IF('entri hasil dari isian siswa'!B46="","",'entri hasil dari isian siswa'!B46)</f>
        <v/>
      </c>
      <c r="C46" t="str">
        <f>IF('entri hasil dari isian siswa'!C46="","",'entri hasil dari isian siswa'!C46)</f>
        <v/>
      </c>
      <c r="D46" t="str">
        <f>IF('entri hasil dari isian siswa'!D46="","",'entri hasil dari isian siswa'!D46)</f>
        <v/>
      </c>
      <c r="E46" t="str">
        <f t="shared" si="13"/>
        <v/>
      </c>
      <c r="F46" t="str">
        <f t="shared" si="14"/>
        <v/>
      </c>
      <c r="G46" t="str">
        <f t="shared" si="15"/>
        <v/>
      </c>
      <c r="H46" t="str">
        <f t="shared" si="16"/>
        <v/>
      </c>
      <c r="I46" t="str">
        <f t="shared" si="17"/>
        <v/>
      </c>
      <c r="J46" t="str">
        <f t="shared" si="18"/>
        <v/>
      </c>
      <c r="K46" t="str">
        <f>IF($V46&lt;&gt;"OK","",RANK(E46,$E46:$J46,0)+COUNTIF($E46:E46,E46)-1)</f>
        <v/>
      </c>
      <c r="L46" t="str">
        <f>IF($V46&lt;&gt;"OK","",RANK(F46,$E46:$J46,0)+COUNTIF($E46:F46,F46)-1)</f>
        <v/>
      </c>
      <c r="M46" t="str">
        <f>IF($V46&lt;&gt;"OK","",RANK(G46,$E46:$J46,0)+COUNTIF($E46:G46,G46)-1)</f>
        <v/>
      </c>
      <c r="N46" t="str">
        <f>IF($V46&lt;&gt;"OK","",RANK(H46,$E46:$J46,0)+COUNTIF($E46:H46,H46)-1)</f>
        <v/>
      </c>
      <c r="O46" t="str">
        <f>IF($V46&lt;&gt;"OK","",RANK(I46,$E46:$J46,0)+COUNTIF($E46:I46,I46)-1)</f>
        <v/>
      </c>
      <c r="P46" t="str">
        <f>IF($V46&lt;&gt;"OK","",RANK(J46,$E46:$J46,0)+COUNTIF($E46:J46,J46)-1)</f>
        <v/>
      </c>
      <c r="Q46" t="str">
        <f t="shared" si="19"/>
        <v/>
      </c>
      <c r="R46" t="str">
        <f t="shared" si="20"/>
        <v/>
      </c>
      <c r="S46" t="str">
        <f t="shared" si="21"/>
        <v/>
      </c>
      <c r="T46" t="str">
        <f t="shared" si="22"/>
        <v/>
      </c>
      <c r="U46" s="1" t="str">
        <f>IF($T46="","",IFERROR(VLOOKUP($T46,'Kunci dari RIASEC'!$A$4:$B$123,2,FALSE),"Rekomendasi belum tersedia"))</f>
        <v/>
      </c>
      <c r="V46" t="str">
        <f>IF('entri hasil dari isian siswa'!B46="","",'entri hasil dari isian siswa'!HY46)</f>
        <v/>
      </c>
      <c r="W46" t="str">
        <f>IF($B46="","",SUM('entri hasil dari isian siswa'!E46:O46))</f>
        <v/>
      </c>
      <c r="X46" t="str">
        <f>IF($B46="","",SUM('entri hasil dari isian siswa'!P46:Z46))</f>
        <v/>
      </c>
      <c r="Y46" t="str">
        <f>IF($B46="","",SUM('entri hasil dari isian siswa'!AA46:AK46))</f>
        <v/>
      </c>
      <c r="Z46" t="str">
        <f>IF($B46="","",SUM('entri hasil dari isian siswa'!AL46:AV46))</f>
        <v/>
      </c>
      <c r="AA46" t="str">
        <f>IF($B46="","",SUM('entri hasil dari isian siswa'!AW46:BG46))</f>
        <v/>
      </c>
      <c r="AB46" t="str">
        <f>IF($B46="","",SUM('entri hasil dari isian siswa'!BH46:BR46))</f>
        <v/>
      </c>
      <c r="AC46" t="str">
        <f>IF($B46="","",SUM('entri hasil dari isian siswa'!BS46:CC46))</f>
        <v/>
      </c>
      <c r="AD46" t="str">
        <f>IF($B46="","",SUM('entri hasil dari isian siswa'!CD46:CN46))</f>
        <v/>
      </c>
      <c r="AE46" t="str">
        <f>IF($B46="","",SUM('entri hasil dari isian siswa'!CO46:CY46))</f>
        <v/>
      </c>
      <c r="AF46" t="str">
        <f>IF($B46="","",SUM('entri hasil dari isian siswa'!CZ46:DJ46))</f>
        <v/>
      </c>
      <c r="AG46" t="str">
        <f>IF($B46="","",SUM('entri hasil dari isian siswa'!DK46:DU46))</f>
        <v/>
      </c>
      <c r="AH46" t="str">
        <f>IF($B46="","",SUM('entri hasil dari isian siswa'!DV46:EF46))</f>
        <v/>
      </c>
      <c r="AI46" t="str">
        <f>IF($B46="","",SUM('entri hasil dari isian siswa'!EG46:ET46))</f>
        <v/>
      </c>
      <c r="AJ46" t="str">
        <f>IF($B46="","",SUM('entri hasil dari isian siswa'!EU46:FH46))</f>
        <v/>
      </c>
      <c r="AK46" t="str">
        <f>IF($B46="","",SUM('entri hasil dari isian siswa'!FI46:FV46))</f>
        <v/>
      </c>
      <c r="AL46" t="str">
        <f>IF($B46="","",SUM('entri hasil dari isian siswa'!FW46:GJ46))</f>
        <v/>
      </c>
      <c r="AM46" t="str">
        <f>IF($B46="","",SUM('entri hasil dari isian siswa'!GK46:GX46))</f>
        <v/>
      </c>
      <c r="AN46" t="str">
        <f>IF($B46="","",SUM('entri hasil dari isian siswa'!GY46:HL46))</f>
        <v/>
      </c>
      <c r="AO46" t="str">
        <f>IF($B46="","",'entri hasil dari isian siswa'!HM46+'entri hasil dari isian siswa'!HS46)</f>
        <v/>
      </c>
      <c r="AP46" t="str">
        <f>IF($B46="","",'entri hasil dari isian siswa'!HN46+'entri hasil dari isian siswa'!HT46)</f>
        <v/>
      </c>
      <c r="AQ46" t="str">
        <f>IF($B46="","",'entri hasil dari isian siswa'!HO46+'entri hasil dari isian siswa'!HU46)</f>
        <v/>
      </c>
      <c r="AR46" t="str">
        <f>IF($B46="","",'entri hasil dari isian siswa'!HP46+'entri hasil dari isian siswa'!HV46)</f>
        <v/>
      </c>
      <c r="AS46" t="str">
        <f>IF($B46="","",'entri hasil dari isian siswa'!HQ46+'entri hasil dari isian siswa'!HW46)</f>
        <v/>
      </c>
      <c r="AT46" t="str">
        <f>IF($B46="","",'entri hasil dari isian siswa'!HR46+'entri hasil dari isian siswa'!HX46)</f>
        <v/>
      </c>
      <c r="AU46" s="69" t="str">
        <f t="shared" si="23"/>
        <v/>
      </c>
      <c r="AV46" s="69" t="str">
        <f>IF($AU46="","",IFERROR(VLOOKUP($AU46,'Kunci dari RIASEC'!$J$4:$K$33,2,FALSE),""))</f>
        <v/>
      </c>
    </row>
    <row r="47" spans="1:48">
      <c r="A47">
        <f t="shared" si="12"/>
        <v>43</v>
      </c>
      <c r="B47" t="str">
        <f>IF('entri hasil dari isian siswa'!B47="","",'entri hasil dari isian siswa'!B47)</f>
        <v/>
      </c>
      <c r="C47" t="str">
        <f>IF('entri hasil dari isian siswa'!C47="","",'entri hasil dari isian siswa'!C47)</f>
        <v/>
      </c>
      <c r="D47" t="str">
        <f>IF('entri hasil dari isian siswa'!D47="","",'entri hasil dari isian siswa'!D47)</f>
        <v/>
      </c>
      <c r="E47" t="str">
        <f t="shared" si="13"/>
        <v/>
      </c>
      <c r="F47" t="str">
        <f t="shared" si="14"/>
        <v/>
      </c>
      <c r="G47" t="str">
        <f t="shared" si="15"/>
        <v/>
      </c>
      <c r="H47" t="str">
        <f t="shared" si="16"/>
        <v/>
      </c>
      <c r="I47" t="str">
        <f t="shared" si="17"/>
        <v/>
      </c>
      <c r="J47" t="str">
        <f t="shared" si="18"/>
        <v/>
      </c>
      <c r="K47" t="str">
        <f>IF($V47&lt;&gt;"OK","",RANK(E47,$E47:$J47,0)+COUNTIF($E47:E47,E47)-1)</f>
        <v/>
      </c>
      <c r="L47" t="str">
        <f>IF($V47&lt;&gt;"OK","",RANK(F47,$E47:$J47,0)+COUNTIF($E47:F47,F47)-1)</f>
        <v/>
      </c>
      <c r="M47" t="str">
        <f>IF($V47&lt;&gt;"OK","",RANK(G47,$E47:$J47,0)+COUNTIF($E47:G47,G47)-1)</f>
        <v/>
      </c>
      <c r="N47" t="str">
        <f>IF($V47&lt;&gt;"OK","",RANK(H47,$E47:$J47,0)+COUNTIF($E47:H47,H47)-1)</f>
        <v/>
      </c>
      <c r="O47" t="str">
        <f>IF($V47&lt;&gt;"OK","",RANK(I47,$E47:$J47,0)+COUNTIF($E47:I47,I47)-1)</f>
        <v/>
      </c>
      <c r="P47" t="str">
        <f>IF($V47&lt;&gt;"OK","",RANK(J47,$E47:$J47,0)+COUNTIF($E47:J47,J47)-1)</f>
        <v/>
      </c>
      <c r="Q47" t="str">
        <f t="shared" si="19"/>
        <v/>
      </c>
      <c r="R47" t="str">
        <f t="shared" si="20"/>
        <v/>
      </c>
      <c r="S47" t="str">
        <f t="shared" si="21"/>
        <v/>
      </c>
      <c r="T47" t="str">
        <f t="shared" si="22"/>
        <v/>
      </c>
      <c r="U47" s="1" t="str">
        <f>IF($T47="","",IFERROR(VLOOKUP($T47,'Kunci dari RIASEC'!$A$4:$B$123,2,FALSE),"Rekomendasi belum tersedia"))</f>
        <v/>
      </c>
      <c r="V47" t="str">
        <f>IF('entri hasil dari isian siswa'!B47="","",'entri hasil dari isian siswa'!HY47)</f>
        <v/>
      </c>
      <c r="W47" t="str">
        <f>IF($B47="","",SUM('entri hasil dari isian siswa'!E47:O47))</f>
        <v/>
      </c>
      <c r="X47" t="str">
        <f>IF($B47="","",SUM('entri hasil dari isian siswa'!P47:Z47))</f>
        <v/>
      </c>
      <c r="Y47" t="str">
        <f>IF($B47="","",SUM('entri hasil dari isian siswa'!AA47:AK47))</f>
        <v/>
      </c>
      <c r="Z47" t="str">
        <f>IF($B47="","",SUM('entri hasil dari isian siswa'!AL47:AV47))</f>
        <v/>
      </c>
      <c r="AA47" t="str">
        <f>IF($B47="","",SUM('entri hasil dari isian siswa'!AW47:BG47))</f>
        <v/>
      </c>
      <c r="AB47" t="str">
        <f>IF($B47="","",SUM('entri hasil dari isian siswa'!BH47:BR47))</f>
        <v/>
      </c>
      <c r="AC47" t="str">
        <f>IF($B47="","",SUM('entri hasil dari isian siswa'!BS47:CC47))</f>
        <v/>
      </c>
      <c r="AD47" t="str">
        <f>IF($B47="","",SUM('entri hasil dari isian siswa'!CD47:CN47))</f>
        <v/>
      </c>
      <c r="AE47" t="str">
        <f>IF($B47="","",SUM('entri hasil dari isian siswa'!CO47:CY47))</f>
        <v/>
      </c>
      <c r="AF47" t="str">
        <f>IF($B47="","",SUM('entri hasil dari isian siswa'!CZ47:DJ47))</f>
        <v/>
      </c>
      <c r="AG47" t="str">
        <f>IF($B47="","",SUM('entri hasil dari isian siswa'!DK47:DU47))</f>
        <v/>
      </c>
      <c r="AH47" t="str">
        <f>IF($B47="","",SUM('entri hasil dari isian siswa'!DV47:EF47))</f>
        <v/>
      </c>
      <c r="AI47" t="str">
        <f>IF($B47="","",SUM('entri hasil dari isian siswa'!EG47:ET47))</f>
        <v/>
      </c>
      <c r="AJ47" t="str">
        <f>IF($B47="","",SUM('entri hasil dari isian siswa'!EU47:FH47))</f>
        <v/>
      </c>
      <c r="AK47" t="str">
        <f>IF($B47="","",SUM('entri hasil dari isian siswa'!FI47:FV47))</f>
        <v/>
      </c>
      <c r="AL47" t="str">
        <f>IF($B47="","",SUM('entri hasil dari isian siswa'!FW47:GJ47))</f>
        <v/>
      </c>
      <c r="AM47" t="str">
        <f>IF($B47="","",SUM('entri hasil dari isian siswa'!GK47:GX47))</f>
        <v/>
      </c>
      <c r="AN47" t="str">
        <f>IF($B47="","",SUM('entri hasil dari isian siswa'!GY47:HL47))</f>
        <v/>
      </c>
      <c r="AO47" t="str">
        <f>IF($B47="","",'entri hasil dari isian siswa'!HM47+'entri hasil dari isian siswa'!HS47)</f>
        <v/>
      </c>
      <c r="AP47" t="str">
        <f>IF($B47="","",'entri hasil dari isian siswa'!HN47+'entri hasil dari isian siswa'!HT47)</f>
        <v/>
      </c>
      <c r="AQ47" t="str">
        <f>IF($B47="","",'entri hasil dari isian siswa'!HO47+'entri hasil dari isian siswa'!HU47)</f>
        <v/>
      </c>
      <c r="AR47" t="str">
        <f>IF($B47="","",'entri hasil dari isian siswa'!HP47+'entri hasil dari isian siswa'!HV47)</f>
        <v/>
      </c>
      <c r="AS47" t="str">
        <f>IF($B47="","",'entri hasil dari isian siswa'!HQ47+'entri hasil dari isian siswa'!HW47)</f>
        <v/>
      </c>
      <c r="AT47" t="str">
        <f>IF($B47="","",'entri hasil dari isian siswa'!HR47+'entri hasil dari isian siswa'!HX47)</f>
        <v/>
      </c>
      <c r="AU47" s="69" t="str">
        <f t="shared" si="23"/>
        <v/>
      </c>
      <c r="AV47" s="69" t="str">
        <f>IF($AU47="","",IFERROR(VLOOKUP($AU47,'Kunci dari RIASEC'!$J$4:$K$33,2,FALSE),""))</f>
        <v/>
      </c>
    </row>
    <row r="48" spans="1:48">
      <c r="A48">
        <f t="shared" si="12"/>
        <v>44</v>
      </c>
      <c r="B48" t="str">
        <f>IF('entri hasil dari isian siswa'!B48="","",'entri hasil dari isian siswa'!B48)</f>
        <v/>
      </c>
      <c r="C48" t="str">
        <f>IF('entri hasil dari isian siswa'!C48="","",'entri hasil dari isian siswa'!C48)</f>
        <v/>
      </c>
      <c r="D48" t="str">
        <f>IF('entri hasil dari isian siswa'!D48="","",'entri hasil dari isian siswa'!D48)</f>
        <v/>
      </c>
      <c r="E48" t="str">
        <f t="shared" si="13"/>
        <v/>
      </c>
      <c r="F48" t="str">
        <f t="shared" si="14"/>
        <v/>
      </c>
      <c r="G48" t="str">
        <f t="shared" si="15"/>
        <v/>
      </c>
      <c r="H48" t="str">
        <f t="shared" si="16"/>
        <v/>
      </c>
      <c r="I48" t="str">
        <f t="shared" si="17"/>
        <v/>
      </c>
      <c r="J48" t="str">
        <f t="shared" si="18"/>
        <v/>
      </c>
      <c r="K48" t="str">
        <f>IF($V48&lt;&gt;"OK","",RANK(E48,$E48:$J48,0)+COUNTIF($E48:E48,E48)-1)</f>
        <v/>
      </c>
      <c r="L48" t="str">
        <f>IF($V48&lt;&gt;"OK","",RANK(F48,$E48:$J48,0)+COUNTIF($E48:F48,F48)-1)</f>
        <v/>
      </c>
      <c r="M48" t="str">
        <f>IF($V48&lt;&gt;"OK","",RANK(G48,$E48:$J48,0)+COUNTIF($E48:G48,G48)-1)</f>
        <v/>
      </c>
      <c r="N48" t="str">
        <f>IF($V48&lt;&gt;"OK","",RANK(H48,$E48:$J48,0)+COUNTIF($E48:H48,H48)-1)</f>
        <v/>
      </c>
      <c r="O48" t="str">
        <f>IF($V48&lt;&gt;"OK","",RANK(I48,$E48:$J48,0)+COUNTIF($E48:I48,I48)-1)</f>
        <v/>
      </c>
      <c r="P48" t="str">
        <f>IF($V48&lt;&gt;"OK","",RANK(J48,$E48:$J48,0)+COUNTIF($E48:J48,J48)-1)</f>
        <v/>
      </c>
      <c r="Q48" t="str">
        <f t="shared" si="19"/>
        <v/>
      </c>
      <c r="R48" t="str">
        <f t="shared" si="20"/>
        <v/>
      </c>
      <c r="S48" t="str">
        <f t="shared" si="21"/>
        <v/>
      </c>
      <c r="T48" t="str">
        <f t="shared" si="22"/>
        <v/>
      </c>
      <c r="U48" s="1" t="str">
        <f>IF($T48="","",IFERROR(VLOOKUP($T48,'Kunci dari RIASEC'!$A$4:$B$123,2,FALSE),"Rekomendasi belum tersedia"))</f>
        <v/>
      </c>
      <c r="V48" t="str">
        <f>IF('entri hasil dari isian siswa'!B48="","",'entri hasil dari isian siswa'!HY48)</f>
        <v/>
      </c>
      <c r="W48" t="str">
        <f>IF($B48="","",SUM('entri hasil dari isian siswa'!E48:O48))</f>
        <v/>
      </c>
      <c r="X48" t="str">
        <f>IF($B48="","",SUM('entri hasil dari isian siswa'!P48:Z48))</f>
        <v/>
      </c>
      <c r="Y48" t="str">
        <f>IF($B48="","",SUM('entri hasil dari isian siswa'!AA48:AK48))</f>
        <v/>
      </c>
      <c r="Z48" t="str">
        <f>IF($B48="","",SUM('entri hasil dari isian siswa'!AL48:AV48))</f>
        <v/>
      </c>
      <c r="AA48" t="str">
        <f>IF($B48="","",SUM('entri hasil dari isian siswa'!AW48:BG48))</f>
        <v/>
      </c>
      <c r="AB48" t="str">
        <f>IF($B48="","",SUM('entri hasil dari isian siswa'!BH48:BR48))</f>
        <v/>
      </c>
      <c r="AC48" t="str">
        <f>IF($B48="","",SUM('entri hasil dari isian siswa'!BS48:CC48))</f>
        <v/>
      </c>
      <c r="AD48" t="str">
        <f>IF($B48="","",SUM('entri hasil dari isian siswa'!CD48:CN48))</f>
        <v/>
      </c>
      <c r="AE48" t="str">
        <f>IF($B48="","",SUM('entri hasil dari isian siswa'!CO48:CY48))</f>
        <v/>
      </c>
      <c r="AF48" t="str">
        <f>IF($B48="","",SUM('entri hasil dari isian siswa'!CZ48:DJ48))</f>
        <v/>
      </c>
      <c r="AG48" t="str">
        <f>IF($B48="","",SUM('entri hasil dari isian siswa'!DK48:DU48))</f>
        <v/>
      </c>
      <c r="AH48" t="str">
        <f>IF($B48="","",SUM('entri hasil dari isian siswa'!DV48:EF48))</f>
        <v/>
      </c>
      <c r="AI48" t="str">
        <f>IF($B48="","",SUM('entri hasil dari isian siswa'!EG48:ET48))</f>
        <v/>
      </c>
      <c r="AJ48" t="str">
        <f>IF($B48="","",SUM('entri hasil dari isian siswa'!EU48:FH48))</f>
        <v/>
      </c>
      <c r="AK48" t="str">
        <f>IF($B48="","",SUM('entri hasil dari isian siswa'!FI48:FV48))</f>
        <v/>
      </c>
      <c r="AL48" t="str">
        <f>IF($B48="","",SUM('entri hasil dari isian siswa'!FW48:GJ48))</f>
        <v/>
      </c>
      <c r="AM48" t="str">
        <f>IF($B48="","",SUM('entri hasil dari isian siswa'!GK48:GX48))</f>
        <v/>
      </c>
      <c r="AN48" t="str">
        <f>IF($B48="","",SUM('entri hasil dari isian siswa'!GY48:HL48))</f>
        <v/>
      </c>
      <c r="AO48" t="str">
        <f>IF($B48="","",'entri hasil dari isian siswa'!HM48+'entri hasil dari isian siswa'!HS48)</f>
        <v/>
      </c>
      <c r="AP48" t="str">
        <f>IF($B48="","",'entri hasil dari isian siswa'!HN48+'entri hasil dari isian siswa'!HT48)</f>
        <v/>
      </c>
      <c r="AQ48" t="str">
        <f>IF($B48="","",'entri hasil dari isian siswa'!HO48+'entri hasil dari isian siswa'!HU48)</f>
        <v/>
      </c>
      <c r="AR48" t="str">
        <f>IF($B48="","",'entri hasil dari isian siswa'!HP48+'entri hasil dari isian siswa'!HV48)</f>
        <v/>
      </c>
      <c r="AS48" t="str">
        <f>IF($B48="","",'entri hasil dari isian siswa'!HQ48+'entri hasil dari isian siswa'!HW48)</f>
        <v/>
      </c>
      <c r="AT48" t="str">
        <f>IF($B48="","",'entri hasil dari isian siswa'!HR48+'entri hasil dari isian siswa'!HX48)</f>
        <v/>
      </c>
      <c r="AU48" s="69" t="str">
        <f t="shared" si="23"/>
        <v/>
      </c>
      <c r="AV48" s="69" t="str">
        <f>IF($AU48="","",IFERROR(VLOOKUP($AU48,'Kunci dari RIASEC'!$J$4:$K$33,2,FALSE),""))</f>
        <v/>
      </c>
    </row>
    <row r="49" spans="1:48">
      <c r="A49">
        <f t="shared" si="12"/>
        <v>45</v>
      </c>
      <c r="B49" t="str">
        <f>IF('entri hasil dari isian siswa'!B49="","",'entri hasil dari isian siswa'!B49)</f>
        <v/>
      </c>
      <c r="C49" t="str">
        <f>IF('entri hasil dari isian siswa'!C49="","",'entri hasil dari isian siswa'!C49)</f>
        <v/>
      </c>
      <c r="D49" t="str">
        <f>IF('entri hasil dari isian siswa'!D49="","",'entri hasil dari isian siswa'!D49)</f>
        <v/>
      </c>
      <c r="E49" t="str">
        <f t="shared" si="13"/>
        <v/>
      </c>
      <c r="F49" t="str">
        <f t="shared" si="14"/>
        <v/>
      </c>
      <c r="G49" t="str">
        <f t="shared" si="15"/>
        <v/>
      </c>
      <c r="H49" t="str">
        <f t="shared" si="16"/>
        <v/>
      </c>
      <c r="I49" t="str">
        <f t="shared" si="17"/>
        <v/>
      </c>
      <c r="J49" t="str">
        <f t="shared" si="18"/>
        <v/>
      </c>
      <c r="K49" t="str">
        <f>IF($V49&lt;&gt;"OK","",RANK(E49,$E49:$J49,0)+COUNTIF($E49:E49,E49)-1)</f>
        <v/>
      </c>
      <c r="L49" t="str">
        <f>IF($V49&lt;&gt;"OK","",RANK(F49,$E49:$J49,0)+COUNTIF($E49:F49,F49)-1)</f>
        <v/>
      </c>
      <c r="M49" t="str">
        <f>IF($V49&lt;&gt;"OK","",RANK(G49,$E49:$J49,0)+COUNTIF($E49:G49,G49)-1)</f>
        <v/>
      </c>
      <c r="N49" t="str">
        <f>IF($V49&lt;&gt;"OK","",RANK(H49,$E49:$J49,0)+COUNTIF($E49:H49,H49)-1)</f>
        <v/>
      </c>
      <c r="O49" t="str">
        <f>IF($V49&lt;&gt;"OK","",RANK(I49,$E49:$J49,0)+COUNTIF($E49:I49,I49)-1)</f>
        <v/>
      </c>
      <c r="P49" t="str">
        <f>IF($V49&lt;&gt;"OK","",RANK(J49,$E49:$J49,0)+COUNTIF($E49:J49,J49)-1)</f>
        <v/>
      </c>
      <c r="Q49" t="str">
        <f t="shared" si="19"/>
        <v/>
      </c>
      <c r="R49" t="str">
        <f t="shared" si="20"/>
        <v/>
      </c>
      <c r="S49" t="str">
        <f t="shared" si="21"/>
        <v/>
      </c>
      <c r="T49" t="str">
        <f t="shared" si="22"/>
        <v/>
      </c>
      <c r="U49" s="1" t="str">
        <f>IF($T49="","",IFERROR(VLOOKUP($T49,'Kunci dari RIASEC'!$A$4:$B$123,2,FALSE),"Rekomendasi belum tersedia"))</f>
        <v/>
      </c>
      <c r="V49" t="str">
        <f>IF('entri hasil dari isian siswa'!B49="","",'entri hasil dari isian siswa'!HY49)</f>
        <v/>
      </c>
      <c r="W49" t="str">
        <f>IF($B49="","",SUM('entri hasil dari isian siswa'!E49:O49))</f>
        <v/>
      </c>
      <c r="X49" t="str">
        <f>IF($B49="","",SUM('entri hasil dari isian siswa'!P49:Z49))</f>
        <v/>
      </c>
      <c r="Y49" t="str">
        <f>IF($B49="","",SUM('entri hasil dari isian siswa'!AA49:AK49))</f>
        <v/>
      </c>
      <c r="Z49" t="str">
        <f>IF($B49="","",SUM('entri hasil dari isian siswa'!AL49:AV49))</f>
        <v/>
      </c>
      <c r="AA49" t="str">
        <f>IF($B49="","",SUM('entri hasil dari isian siswa'!AW49:BG49))</f>
        <v/>
      </c>
      <c r="AB49" t="str">
        <f>IF($B49="","",SUM('entri hasil dari isian siswa'!BH49:BR49))</f>
        <v/>
      </c>
      <c r="AC49" t="str">
        <f>IF($B49="","",SUM('entri hasil dari isian siswa'!BS49:CC49))</f>
        <v/>
      </c>
      <c r="AD49" t="str">
        <f>IF($B49="","",SUM('entri hasil dari isian siswa'!CD49:CN49))</f>
        <v/>
      </c>
      <c r="AE49" t="str">
        <f>IF($B49="","",SUM('entri hasil dari isian siswa'!CO49:CY49))</f>
        <v/>
      </c>
      <c r="AF49" t="str">
        <f>IF($B49="","",SUM('entri hasil dari isian siswa'!CZ49:DJ49))</f>
        <v/>
      </c>
      <c r="AG49" t="str">
        <f>IF($B49="","",SUM('entri hasil dari isian siswa'!DK49:DU49))</f>
        <v/>
      </c>
      <c r="AH49" t="str">
        <f>IF($B49="","",SUM('entri hasil dari isian siswa'!DV49:EF49))</f>
        <v/>
      </c>
      <c r="AI49" t="str">
        <f>IF($B49="","",SUM('entri hasil dari isian siswa'!EG49:ET49))</f>
        <v/>
      </c>
      <c r="AJ49" t="str">
        <f>IF($B49="","",SUM('entri hasil dari isian siswa'!EU49:FH49))</f>
        <v/>
      </c>
      <c r="AK49" t="str">
        <f>IF($B49="","",SUM('entri hasil dari isian siswa'!FI49:FV49))</f>
        <v/>
      </c>
      <c r="AL49" t="str">
        <f>IF($B49="","",SUM('entri hasil dari isian siswa'!FW49:GJ49))</f>
        <v/>
      </c>
      <c r="AM49" t="str">
        <f>IF($B49="","",SUM('entri hasil dari isian siswa'!GK49:GX49))</f>
        <v/>
      </c>
      <c r="AN49" t="str">
        <f>IF($B49="","",SUM('entri hasil dari isian siswa'!GY49:HL49))</f>
        <v/>
      </c>
      <c r="AO49" t="str">
        <f>IF($B49="","",'entri hasil dari isian siswa'!HM49+'entri hasil dari isian siswa'!HS49)</f>
        <v/>
      </c>
      <c r="AP49" t="str">
        <f>IF($B49="","",'entri hasil dari isian siswa'!HN49+'entri hasil dari isian siswa'!HT49)</f>
        <v/>
      </c>
      <c r="AQ49" t="str">
        <f>IF($B49="","",'entri hasil dari isian siswa'!HO49+'entri hasil dari isian siswa'!HU49)</f>
        <v/>
      </c>
      <c r="AR49" t="str">
        <f>IF($B49="","",'entri hasil dari isian siswa'!HP49+'entri hasil dari isian siswa'!HV49)</f>
        <v/>
      </c>
      <c r="AS49" t="str">
        <f>IF($B49="","",'entri hasil dari isian siswa'!HQ49+'entri hasil dari isian siswa'!HW49)</f>
        <v/>
      </c>
      <c r="AT49" t="str">
        <f>IF($B49="","",'entri hasil dari isian siswa'!HR49+'entri hasil dari isian siswa'!HX49)</f>
        <v/>
      </c>
      <c r="AU49" s="69" t="str">
        <f t="shared" si="23"/>
        <v/>
      </c>
      <c r="AV49" s="69" t="str">
        <f>IF($AU49="","",IFERROR(VLOOKUP($AU49,'Kunci dari RIASEC'!$J$4:$K$33,2,FALSE),""))</f>
        <v/>
      </c>
    </row>
    <row r="50" spans="1:48">
      <c r="A50">
        <f t="shared" si="12"/>
        <v>46</v>
      </c>
      <c r="B50" t="str">
        <f>IF('entri hasil dari isian siswa'!B50="","",'entri hasil dari isian siswa'!B50)</f>
        <v/>
      </c>
      <c r="C50" t="str">
        <f>IF('entri hasil dari isian siswa'!C50="","",'entri hasil dari isian siswa'!C50)</f>
        <v/>
      </c>
      <c r="D50" t="str">
        <f>IF('entri hasil dari isian siswa'!D50="","",'entri hasil dari isian siswa'!D50)</f>
        <v/>
      </c>
      <c r="E50" t="str">
        <f t="shared" si="13"/>
        <v/>
      </c>
      <c r="F50" t="str">
        <f t="shared" si="14"/>
        <v/>
      </c>
      <c r="G50" t="str">
        <f t="shared" si="15"/>
        <v/>
      </c>
      <c r="H50" t="str">
        <f t="shared" si="16"/>
        <v/>
      </c>
      <c r="I50" t="str">
        <f t="shared" si="17"/>
        <v/>
      </c>
      <c r="J50" t="str">
        <f t="shared" si="18"/>
        <v/>
      </c>
      <c r="K50" t="str">
        <f>IF($V50&lt;&gt;"OK","",RANK(E50,$E50:$J50,0)+COUNTIF($E50:E50,E50)-1)</f>
        <v/>
      </c>
      <c r="L50" t="str">
        <f>IF($V50&lt;&gt;"OK","",RANK(F50,$E50:$J50,0)+COUNTIF($E50:F50,F50)-1)</f>
        <v/>
      </c>
      <c r="M50" t="str">
        <f>IF($V50&lt;&gt;"OK","",RANK(G50,$E50:$J50,0)+COUNTIF($E50:G50,G50)-1)</f>
        <v/>
      </c>
      <c r="N50" t="str">
        <f>IF($V50&lt;&gt;"OK","",RANK(H50,$E50:$J50,0)+COUNTIF($E50:H50,H50)-1)</f>
        <v/>
      </c>
      <c r="O50" t="str">
        <f>IF($V50&lt;&gt;"OK","",RANK(I50,$E50:$J50,0)+COUNTIF($E50:I50,I50)-1)</f>
        <v/>
      </c>
      <c r="P50" t="str">
        <f>IF($V50&lt;&gt;"OK","",RANK(J50,$E50:$J50,0)+COUNTIF($E50:J50,J50)-1)</f>
        <v/>
      </c>
      <c r="Q50" t="str">
        <f t="shared" si="19"/>
        <v/>
      </c>
      <c r="R50" t="str">
        <f t="shared" si="20"/>
        <v/>
      </c>
      <c r="S50" t="str">
        <f t="shared" si="21"/>
        <v/>
      </c>
      <c r="T50" t="str">
        <f t="shared" si="22"/>
        <v/>
      </c>
      <c r="U50" s="1" t="str">
        <f>IF($T50="","",IFERROR(VLOOKUP($T50,'Kunci dari RIASEC'!$A$4:$B$123,2,FALSE),"Rekomendasi belum tersedia"))</f>
        <v/>
      </c>
      <c r="V50" t="str">
        <f>IF('entri hasil dari isian siswa'!B50="","",'entri hasil dari isian siswa'!HY50)</f>
        <v/>
      </c>
      <c r="W50" t="str">
        <f>IF($B50="","",SUM('entri hasil dari isian siswa'!E50:O50))</f>
        <v/>
      </c>
      <c r="X50" t="str">
        <f>IF($B50="","",SUM('entri hasil dari isian siswa'!P50:Z50))</f>
        <v/>
      </c>
      <c r="Y50" t="str">
        <f>IF($B50="","",SUM('entri hasil dari isian siswa'!AA50:AK50))</f>
        <v/>
      </c>
      <c r="Z50" t="str">
        <f>IF($B50="","",SUM('entri hasil dari isian siswa'!AL50:AV50))</f>
        <v/>
      </c>
      <c r="AA50" t="str">
        <f>IF($B50="","",SUM('entri hasil dari isian siswa'!AW50:BG50))</f>
        <v/>
      </c>
      <c r="AB50" t="str">
        <f>IF($B50="","",SUM('entri hasil dari isian siswa'!BH50:BR50))</f>
        <v/>
      </c>
      <c r="AC50" t="str">
        <f>IF($B50="","",SUM('entri hasil dari isian siswa'!BS50:CC50))</f>
        <v/>
      </c>
      <c r="AD50" t="str">
        <f>IF($B50="","",SUM('entri hasil dari isian siswa'!CD50:CN50))</f>
        <v/>
      </c>
      <c r="AE50" t="str">
        <f>IF($B50="","",SUM('entri hasil dari isian siswa'!CO50:CY50))</f>
        <v/>
      </c>
      <c r="AF50" t="str">
        <f>IF($B50="","",SUM('entri hasil dari isian siswa'!CZ50:DJ50))</f>
        <v/>
      </c>
      <c r="AG50" t="str">
        <f>IF($B50="","",SUM('entri hasil dari isian siswa'!DK50:DU50))</f>
        <v/>
      </c>
      <c r="AH50" t="str">
        <f>IF($B50="","",SUM('entri hasil dari isian siswa'!DV50:EF50))</f>
        <v/>
      </c>
      <c r="AI50" t="str">
        <f>IF($B50="","",SUM('entri hasil dari isian siswa'!EG50:ET50))</f>
        <v/>
      </c>
      <c r="AJ50" t="str">
        <f>IF($B50="","",SUM('entri hasil dari isian siswa'!EU50:FH50))</f>
        <v/>
      </c>
      <c r="AK50" t="str">
        <f>IF($B50="","",SUM('entri hasil dari isian siswa'!FI50:FV50))</f>
        <v/>
      </c>
      <c r="AL50" t="str">
        <f>IF($B50="","",SUM('entri hasil dari isian siswa'!FW50:GJ50))</f>
        <v/>
      </c>
      <c r="AM50" t="str">
        <f>IF($B50="","",SUM('entri hasil dari isian siswa'!GK50:GX50))</f>
        <v/>
      </c>
      <c r="AN50" t="str">
        <f>IF($B50="","",SUM('entri hasil dari isian siswa'!GY50:HL50))</f>
        <v/>
      </c>
      <c r="AO50" t="str">
        <f>IF($B50="","",'entri hasil dari isian siswa'!HM50+'entri hasil dari isian siswa'!HS50)</f>
        <v/>
      </c>
      <c r="AP50" t="str">
        <f>IF($B50="","",'entri hasil dari isian siswa'!HN50+'entri hasil dari isian siswa'!HT50)</f>
        <v/>
      </c>
      <c r="AQ50" t="str">
        <f>IF($B50="","",'entri hasil dari isian siswa'!HO50+'entri hasil dari isian siswa'!HU50)</f>
        <v/>
      </c>
      <c r="AR50" t="str">
        <f>IF($B50="","",'entri hasil dari isian siswa'!HP50+'entri hasil dari isian siswa'!HV50)</f>
        <v/>
      </c>
      <c r="AS50" t="str">
        <f>IF($B50="","",'entri hasil dari isian siswa'!HQ50+'entri hasil dari isian siswa'!HW50)</f>
        <v/>
      </c>
      <c r="AT50" t="str">
        <f>IF($B50="","",'entri hasil dari isian siswa'!HR50+'entri hasil dari isian siswa'!HX50)</f>
        <v/>
      </c>
      <c r="AU50" s="69" t="str">
        <f t="shared" si="23"/>
        <v/>
      </c>
      <c r="AV50" s="69" t="str">
        <f>IF($AU50="","",IFERROR(VLOOKUP($AU50,'Kunci dari RIASEC'!$J$4:$K$33,2,FALSE),""))</f>
        <v/>
      </c>
    </row>
    <row r="51" spans="1:48">
      <c r="A51">
        <f t="shared" si="12"/>
        <v>47</v>
      </c>
      <c r="B51" t="str">
        <f>IF('entri hasil dari isian siswa'!B51="","",'entri hasil dari isian siswa'!B51)</f>
        <v/>
      </c>
      <c r="C51" t="str">
        <f>IF('entri hasil dari isian siswa'!C51="","",'entri hasil dari isian siswa'!C51)</f>
        <v/>
      </c>
      <c r="D51" t="str">
        <f>IF('entri hasil dari isian siswa'!D51="","",'entri hasil dari isian siswa'!D51)</f>
        <v/>
      </c>
      <c r="E51" t="str">
        <f t="shared" si="13"/>
        <v/>
      </c>
      <c r="F51" t="str">
        <f t="shared" si="14"/>
        <v/>
      </c>
      <c r="G51" t="str">
        <f t="shared" si="15"/>
        <v/>
      </c>
      <c r="H51" t="str">
        <f t="shared" si="16"/>
        <v/>
      </c>
      <c r="I51" t="str">
        <f t="shared" si="17"/>
        <v/>
      </c>
      <c r="J51" t="str">
        <f t="shared" si="18"/>
        <v/>
      </c>
      <c r="K51" t="str">
        <f>IF($V51&lt;&gt;"OK","",RANK(E51,$E51:$J51,0)+COUNTIF($E51:E51,E51)-1)</f>
        <v/>
      </c>
      <c r="L51" t="str">
        <f>IF($V51&lt;&gt;"OK","",RANK(F51,$E51:$J51,0)+COUNTIF($E51:F51,F51)-1)</f>
        <v/>
      </c>
      <c r="M51" t="str">
        <f>IF($V51&lt;&gt;"OK","",RANK(G51,$E51:$J51,0)+COUNTIF($E51:G51,G51)-1)</f>
        <v/>
      </c>
      <c r="N51" t="str">
        <f>IF($V51&lt;&gt;"OK","",RANK(H51,$E51:$J51,0)+COUNTIF($E51:H51,H51)-1)</f>
        <v/>
      </c>
      <c r="O51" t="str">
        <f>IF($V51&lt;&gt;"OK","",RANK(I51,$E51:$J51,0)+COUNTIF($E51:I51,I51)-1)</f>
        <v/>
      </c>
      <c r="P51" t="str">
        <f>IF($V51&lt;&gt;"OK","",RANK(J51,$E51:$J51,0)+COUNTIF($E51:J51,J51)-1)</f>
        <v/>
      </c>
      <c r="Q51" t="str">
        <f t="shared" si="19"/>
        <v/>
      </c>
      <c r="R51" t="str">
        <f t="shared" si="20"/>
        <v/>
      </c>
      <c r="S51" t="str">
        <f t="shared" si="21"/>
        <v/>
      </c>
      <c r="T51" t="str">
        <f t="shared" si="22"/>
        <v/>
      </c>
      <c r="U51" s="1" t="str">
        <f>IF($T51="","",IFERROR(VLOOKUP($T51,'Kunci dari RIASEC'!$A$4:$B$123,2,FALSE),"Rekomendasi belum tersedia"))</f>
        <v/>
      </c>
      <c r="V51" t="str">
        <f>IF('entri hasil dari isian siswa'!B51="","",'entri hasil dari isian siswa'!HY51)</f>
        <v/>
      </c>
      <c r="W51" t="str">
        <f>IF($B51="","",SUM('entri hasil dari isian siswa'!E51:O51))</f>
        <v/>
      </c>
      <c r="X51" t="str">
        <f>IF($B51="","",SUM('entri hasil dari isian siswa'!P51:Z51))</f>
        <v/>
      </c>
      <c r="Y51" t="str">
        <f>IF($B51="","",SUM('entri hasil dari isian siswa'!AA51:AK51))</f>
        <v/>
      </c>
      <c r="Z51" t="str">
        <f>IF($B51="","",SUM('entri hasil dari isian siswa'!AL51:AV51))</f>
        <v/>
      </c>
      <c r="AA51" t="str">
        <f>IF($B51="","",SUM('entri hasil dari isian siswa'!AW51:BG51))</f>
        <v/>
      </c>
      <c r="AB51" t="str">
        <f>IF($B51="","",SUM('entri hasil dari isian siswa'!BH51:BR51))</f>
        <v/>
      </c>
      <c r="AC51" t="str">
        <f>IF($B51="","",SUM('entri hasil dari isian siswa'!BS51:CC51))</f>
        <v/>
      </c>
      <c r="AD51" t="str">
        <f>IF($B51="","",SUM('entri hasil dari isian siswa'!CD51:CN51))</f>
        <v/>
      </c>
      <c r="AE51" t="str">
        <f>IF($B51="","",SUM('entri hasil dari isian siswa'!CO51:CY51))</f>
        <v/>
      </c>
      <c r="AF51" t="str">
        <f>IF($B51="","",SUM('entri hasil dari isian siswa'!CZ51:DJ51))</f>
        <v/>
      </c>
      <c r="AG51" t="str">
        <f>IF($B51="","",SUM('entri hasil dari isian siswa'!DK51:DU51))</f>
        <v/>
      </c>
      <c r="AH51" t="str">
        <f>IF($B51="","",SUM('entri hasil dari isian siswa'!DV51:EF51))</f>
        <v/>
      </c>
      <c r="AI51" t="str">
        <f>IF($B51="","",SUM('entri hasil dari isian siswa'!EG51:ET51))</f>
        <v/>
      </c>
      <c r="AJ51" t="str">
        <f>IF($B51="","",SUM('entri hasil dari isian siswa'!EU51:FH51))</f>
        <v/>
      </c>
      <c r="AK51" t="str">
        <f>IF($B51="","",SUM('entri hasil dari isian siswa'!FI51:FV51))</f>
        <v/>
      </c>
      <c r="AL51" t="str">
        <f>IF($B51="","",SUM('entri hasil dari isian siswa'!FW51:GJ51))</f>
        <v/>
      </c>
      <c r="AM51" t="str">
        <f>IF($B51="","",SUM('entri hasil dari isian siswa'!GK51:GX51))</f>
        <v/>
      </c>
      <c r="AN51" t="str">
        <f>IF($B51="","",SUM('entri hasil dari isian siswa'!GY51:HL51))</f>
        <v/>
      </c>
      <c r="AO51" t="str">
        <f>IF($B51="","",'entri hasil dari isian siswa'!HM51+'entri hasil dari isian siswa'!HS51)</f>
        <v/>
      </c>
      <c r="AP51" t="str">
        <f>IF($B51="","",'entri hasil dari isian siswa'!HN51+'entri hasil dari isian siswa'!HT51)</f>
        <v/>
      </c>
      <c r="AQ51" t="str">
        <f>IF($B51="","",'entri hasil dari isian siswa'!HO51+'entri hasil dari isian siswa'!HU51)</f>
        <v/>
      </c>
      <c r="AR51" t="str">
        <f>IF($B51="","",'entri hasil dari isian siswa'!HP51+'entri hasil dari isian siswa'!HV51)</f>
        <v/>
      </c>
      <c r="AS51" t="str">
        <f>IF($B51="","",'entri hasil dari isian siswa'!HQ51+'entri hasil dari isian siswa'!HW51)</f>
        <v/>
      </c>
      <c r="AT51" t="str">
        <f>IF($B51="","",'entri hasil dari isian siswa'!HR51+'entri hasil dari isian siswa'!HX51)</f>
        <v/>
      </c>
      <c r="AU51" s="69" t="str">
        <f t="shared" si="23"/>
        <v/>
      </c>
      <c r="AV51" s="69" t="str">
        <f>IF($AU51="","",IFERROR(VLOOKUP($AU51,'Kunci dari RIASEC'!$J$4:$K$33,2,FALSE),""))</f>
        <v/>
      </c>
    </row>
    <row r="52" spans="1:48">
      <c r="A52">
        <f t="shared" si="12"/>
        <v>48</v>
      </c>
      <c r="B52" t="str">
        <f>IF('entri hasil dari isian siswa'!B52="","",'entri hasil dari isian siswa'!B52)</f>
        <v/>
      </c>
      <c r="C52" t="str">
        <f>IF('entri hasil dari isian siswa'!C52="","",'entri hasil dari isian siswa'!C52)</f>
        <v/>
      </c>
      <c r="D52" t="str">
        <f>IF('entri hasil dari isian siswa'!D52="","",'entri hasil dari isian siswa'!D52)</f>
        <v/>
      </c>
      <c r="E52" t="str">
        <f t="shared" si="13"/>
        <v/>
      </c>
      <c r="F52" t="str">
        <f t="shared" si="14"/>
        <v/>
      </c>
      <c r="G52" t="str">
        <f t="shared" si="15"/>
        <v/>
      </c>
      <c r="H52" t="str">
        <f t="shared" si="16"/>
        <v/>
      </c>
      <c r="I52" t="str">
        <f t="shared" si="17"/>
        <v/>
      </c>
      <c r="J52" t="str">
        <f t="shared" si="18"/>
        <v/>
      </c>
      <c r="K52" t="str">
        <f>IF($V52&lt;&gt;"OK","",RANK(E52,$E52:$J52,0)+COUNTIF($E52:E52,E52)-1)</f>
        <v/>
      </c>
      <c r="L52" t="str">
        <f>IF($V52&lt;&gt;"OK","",RANK(F52,$E52:$J52,0)+COUNTIF($E52:F52,F52)-1)</f>
        <v/>
      </c>
      <c r="M52" t="str">
        <f>IF($V52&lt;&gt;"OK","",RANK(G52,$E52:$J52,0)+COUNTIF($E52:G52,G52)-1)</f>
        <v/>
      </c>
      <c r="N52" t="str">
        <f>IF($V52&lt;&gt;"OK","",RANK(H52,$E52:$J52,0)+COUNTIF($E52:H52,H52)-1)</f>
        <v/>
      </c>
      <c r="O52" t="str">
        <f>IF($V52&lt;&gt;"OK","",RANK(I52,$E52:$J52,0)+COUNTIF($E52:I52,I52)-1)</f>
        <v/>
      </c>
      <c r="P52" t="str">
        <f>IF($V52&lt;&gt;"OK","",RANK(J52,$E52:$J52,0)+COUNTIF($E52:J52,J52)-1)</f>
        <v/>
      </c>
      <c r="Q52" t="str">
        <f t="shared" si="19"/>
        <v/>
      </c>
      <c r="R52" t="str">
        <f t="shared" si="20"/>
        <v/>
      </c>
      <c r="S52" t="str">
        <f t="shared" si="21"/>
        <v/>
      </c>
      <c r="T52" t="str">
        <f t="shared" si="22"/>
        <v/>
      </c>
      <c r="U52" s="1" t="str">
        <f>IF($T52="","",IFERROR(VLOOKUP($T52,'Kunci dari RIASEC'!$A$4:$B$123,2,FALSE),"Rekomendasi belum tersedia"))</f>
        <v/>
      </c>
      <c r="V52" t="str">
        <f>IF('entri hasil dari isian siswa'!B52="","",'entri hasil dari isian siswa'!HY52)</f>
        <v/>
      </c>
      <c r="W52" t="str">
        <f>IF($B52="","",SUM('entri hasil dari isian siswa'!E52:O52))</f>
        <v/>
      </c>
      <c r="X52" t="str">
        <f>IF($B52="","",SUM('entri hasil dari isian siswa'!P52:Z52))</f>
        <v/>
      </c>
      <c r="Y52" t="str">
        <f>IF($B52="","",SUM('entri hasil dari isian siswa'!AA52:AK52))</f>
        <v/>
      </c>
      <c r="Z52" t="str">
        <f>IF($B52="","",SUM('entri hasil dari isian siswa'!AL52:AV52))</f>
        <v/>
      </c>
      <c r="AA52" t="str">
        <f>IF($B52="","",SUM('entri hasil dari isian siswa'!AW52:BG52))</f>
        <v/>
      </c>
      <c r="AB52" t="str">
        <f>IF($B52="","",SUM('entri hasil dari isian siswa'!BH52:BR52))</f>
        <v/>
      </c>
      <c r="AC52" t="str">
        <f>IF($B52="","",SUM('entri hasil dari isian siswa'!BS52:CC52))</f>
        <v/>
      </c>
      <c r="AD52" t="str">
        <f>IF($B52="","",SUM('entri hasil dari isian siswa'!CD52:CN52))</f>
        <v/>
      </c>
      <c r="AE52" t="str">
        <f>IF($B52="","",SUM('entri hasil dari isian siswa'!CO52:CY52))</f>
        <v/>
      </c>
      <c r="AF52" t="str">
        <f>IF($B52="","",SUM('entri hasil dari isian siswa'!CZ52:DJ52))</f>
        <v/>
      </c>
      <c r="AG52" t="str">
        <f>IF($B52="","",SUM('entri hasil dari isian siswa'!DK52:DU52))</f>
        <v/>
      </c>
      <c r="AH52" t="str">
        <f>IF($B52="","",SUM('entri hasil dari isian siswa'!DV52:EF52))</f>
        <v/>
      </c>
      <c r="AI52" t="str">
        <f>IF($B52="","",SUM('entri hasil dari isian siswa'!EG52:ET52))</f>
        <v/>
      </c>
      <c r="AJ52" t="str">
        <f>IF($B52="","",SUM('entri hasil dari isian siswa'!EU52:FH52))</f>
        <v/>
      </c>
      <c r="AK52" t="str">
        <f>IF($B52="","",SUM('entri hasil dari isian siswa'!FI52:FV52))</f>
        <v/>
      </c>
      <c r="AL52" t="str">
        <f>IF($B52="","",SUM('entri hasil dari isian siswa'!FW52:GJ52))</f>
        <v/>
      </c>
      <c r="AM52" t="str">
        <f>IF($B52="","",SUM('entri hasil dari isian siswa'!GK52:GX52))</f>
        <v/>
      </c>
      <c r="AN52" t="str">
        <f>IF($B52="","",SUM('entri hasil dari isian siswa'!GY52:HL52))</f>
        <v/>
      </c>
      <c r="AO52" t="str">
        <f>IF($B52="","",'entri hasil dari isian siswa'!HM52+'entri hasil dari isian siswa'!HS52)</f>
        <v/>
      </c>
      <c r="AP52" t="str">
        <f>IF($B52="","",'entri hasil dari isian siswa'!HN52+'entri hasil dari isian siswa'!HT52)</f>
        <v/>
      </c>
      <c r="AQ52" t="str">
        <f>IF($B52="","",'entri hasil dari isian siswa'!HO52+'entri hasil dari isian siswa'!HU52)</f>
        <v/>
      </c>
      <c r="AR52" t="str">
        <f>IF($B52="","",'entri hasil dari isian siswa'!HP52+'entri hasil dari isian siswa'!HV52)</f>
        <v/>
      </c>
      <c r="AS52" t="str">
        <f>IF($B52="","",'entri hasil dari isian siswa'!HQ52+'entri hasil dari isian siswa'!HW52)</f>
        <v/>
      </c>
      <c r="AT52" t="str">
        <f>IF($B52="","",'entri hasil dari isian siswa'!HR52+'entri hasil dari isian siswa'!HX52)</f>
        <v/>
      </c>
      <c r="AU52" s="69" t="str">
        <f t="shared" si="23"/>
        <v/>
      </c>
      <c r="AV52" s="69" t="str">
        <f>IF($AU52="","",IFERROR(VLOOKUP($AU52,'Kunci dari RIASEC'!$J$4:$K$33,2,FALSE),""))</f>
        <v/>
      </c>
    </row>
    <row r="53" spans="1:48">
      <c r="A53">
        <f t="shared" si="12"/>
        <v>49</v>
      </c>
      <c r="B53" t="str">
        <f>IF('entri hasil dari isian siswa'!B53="","",'entri hasil dari isian siswa'!B53)</f>
        <v/>
      </c>
      <c r="C53" t="str">
        <f>IF('entri hasil dari isian siswa'!C53="","",'entri hasil dari isian siswa'!C53)</f>
        <v/>
      </c>
      <c r="D53" t="str">
        <f>IF('entri hasil dari isian siswa'!D53="","",'entri hasil dari isian siswa'!D53)</f>
        <v/>
      </c>
      <c r="E53" t="str">
        <f t="shared" si="13"/>
        <v/>
      </c>
      <c r="F53" t="str">
        <f t="shared" si="14"/>
        <v/>
      </c>
      <c r="G53" t="str">
        <f t="shared" si="15"/>
        <v/>
      </c>
      <c r="H53" t="str">
        <f t="shared" si="16"/>
        <v/>
      </c>
      <c r="I53" t="str">
        <f t="shared" si="17"/>
        <v/>
      </c>
      <c r="J53" t="str">
        <f t="shared" si="18"/>
        <v/>
      </c>
      <c r="K53" t="str">
        <f>IF($V53&lt;&gt;"OK","",RANK(E53,$E53:$J53,0)+COUNTIF($E53:E53,E53)-1)</f>
        <v/>
      </c>
      <c r="L53" t="str">
        <f>IF($V53&lt;&gt;"OK","",RANK(F53,$E53:$J53,0)+COUNTIF($E53:F53,F53)-1)</f>
        <v/>
      </c>
      <c r="M53" t="str">
        <f>IF($V53&lt;&gt;"OK","",RANK(G53,$E53:$J53,0)+COUNTIF($E53:G53,G53)-1)</f>
        <v/>
      </c>
      <c r="N53" t="str">
        <f>IF($V53&lt;&gt;"OK","",RANK(H53,$E53:$J53,0)+COUNTIF($E53:H53,H53)-1)</f>
        <v/>
      </c>
      <c r="O53" t="str">
        <f>IF($V53&lt;&gt;"OK","",RANK(I53,$E53:$J53,0)+COUNTIF($E53:I53,I53)-1)</f>
        <v/>
      </c>
      <c r="P53" t="str">
        <f>IF($V53&lt;&gt;"OK","",RANK(J53,$E53:$J53,0)+COUNTIF($E53:J53,J53)-1)</f>
        <v/>
      </c>
      <c r="Q53" t="str">
        <f t="shared" si="19"/>
        <v/>
      </c>
      <c r="R53" t="str">
        <f t="shared" si="20"/>
        <v/>
      </c>
      <c r="S53" t="str">
        <f t="shared" si="21"/>
        <v/>
      </c>
      <c r="T53" t="str">
        <f t="shared" si="22"/>
        <v/>
      </c>
      <c r="U53" s="1" t="str">
        <f>IF($T53="","",IFERROR(VLOOKUP($T53,'Kunci dari RIASEC'!$A$4:$B$123,2,FALSE),"Rekomendasi belum tersedia"))</f>
        <v/>
      </c>
      <c r="V53" t="str">
        <f>IF('entri hasil dari isian siswa'!B53="","",'entri hasil dari isian siswa'!HY53)</f>
        <v/>
      </c>
      <c r="W53" t="str">
        <f>IF($B53="","",SUM('entri hasil dari isian siswa'!E53:O53))</f>
        <v/>
      </c>
      <c r="X53" t="str">
        <f>IF($B53="","",SUM('entri hasil dari isian siswa'!P53:Z53))</f>
        <v/>
      </c>
      <c r="Y53" t="str">
        <f>IF($B53="","",SUM('entri hasil dari isian siswa'!AA53:AK53))</f>
        <v/>
      </c>
      <c r="Z53" t="str">
        <f>IF($B53="","",SUM('entri hasil dari isian siswa'!AL53:AV53))</f>
        <v/>
      </c>
      <c r="AA53" t="str">
        <f>IF($B53="","",SUM('entri hasil dari isian siswa'!AW53:BG53))</f>
        <v/>
      </c>
      <c r="AB53" t="str">
        <f>IF($B53="","",SUM('entri hasil dari isian siswa'!BH53:BR53))</f>
        <v/>
      </c>
      <c r="AC53" t="str">
        <f>IF($B53="","",SUM('entri hasil dari isian siswa'!BS53:CC53))</f>
        <v/>
      </c>
      <c r="AD53" t="str">
        <f>IF($B53="","",SUM('entri hasil dari isian siswa'!CD53:CN53))</f>
        <v/>
      </c>
      <c r="AE53" t="str">
        <f>IF($B53="","",SUM('entri hasil dari isian siswa'!CO53:CY53))</f>
        <v/>
      </c>
      <c r="AF53" t="str">
        <f>IF($B53="","",SUM('entri hasil dari isian siswa'!CZ53:DJ53))</f>
        <v/>
      </c>
      <c r="AG53" t="str">
        <f>IF($B53="","",SUM('entri hasil dari isian siswa'!DK53:DU53))</f>
        <v/>
      </c>
      <c r="AH53" t="str">
        <f>IF($B53="","",SUM('entri hasil dari isian siswa'!DV53:EF53))</f>
        <v/>
      </c>
      <c r="AI53" t="str">
        <f>IF($B53="","",SUM('entri hasil dari isian siswa'!EG53:ET53))</f>
        <v/>
      </c>
      <c r="AJ53" t="str">
        <f>IF($B53="","",SUM('entri hasil dari isian siswa'!EU53:FH53))</f>
        <v/>
      </c>
      <c r="AK53" t="str">
        <f>IF($B53="","",SUM('entri hasil dari isian siswa'!FI53:FV53))</f>
        <v/>
      </c>
      <c r="AL53" t="str">
        <f>IF($B53="","",SUM('entri hasil dari isian siswa'!FW53:GJ53))</f>
        <v/>
      </c>
      <c r="AM53" t="str">
        <f>IF($B53="","",SUM('entri hasil dari isian siswa'!GK53:GX53))</f>
        <v/>
      </c>
      <c r="AN53" t="str">
        <f>IF($B53="","",SUM('entri hasil dari isian siswa'!GY53:HL53))</f>
        <v/>
      </c>
      <c r="AO53" t="str">
        <f>IF($B53="","",'entri hasil dari isian siswa'!HM53+'entri hasil dari isian siswa'!HS53)</f>
        <v/>
      </c>
      <c r="AP53" t="str">
        <f>IF($B53="","",'entri hasil dari isian siswa'!HN53+'entri hasil dari isian siswa'!HT53)</f>
        <v/>
      </c>
      <c r="AQ53" t="str">
        <f>IF($B53="","",'entri hasil dari isian siswa'!HO53+'entri hasil dari isian siswa'!HU53)</f>
        <v/>
      </c>
      <c r="AR53" t="str">
        <f>IF($B53="","",'entri hasil dari isian siswa'!HP53+'entri hasil dari isian siswa'!HV53)</f>
        <v/>
      </c>
      <c r="AS53" t="str">
        <f>IF($B53="","",'entri hasil dari isian siswa'!HQ53+'entri hasil dari isian siswa'!HW53)</f>
        <v/>
      </c>
      <c r="AT53" t="str">
        <f>IF($B53="","",'entri hasil dari isian siswa'!HR53+'entri hasil dari isian siswa'!HX53)</f>
        <v/>
      </c>
      <c r="AU53" s="69" t="str">
        <f t="shared" si="23"/>
        <v/>
      </c>
      <c r="AV53" s="69" t="str">
        <f>IF($AU53="","",IFERROR(VLOOKUP($AU53,'Kunci dari RIASEC'!$J$4:$K$33,2,FALSE),""))</f>
        <v/>
      </c>
    </row>
    <row r="54" spans="1:48">
      <c r="A54">
        <f t="shared" si="12"/>
        <v>50</v>
      </c>
      <c r="B54" t="str">
        <f>IF('entri hasil dari isian siswa'!B54="","",'entri hasil dari isian siswa'!B54)</f>
        <v/>
      </c>
      <c r="C54" t="str">
        <f>IF('entri hasil dari isian siswa'!C54="","",'entri hasil dari isian siswa'!C54)</f>
        <v/>
      </c>
      <c r="D54" t="str">
        <f>IF('entri hasil dari isian siswa'!D54="","",'entri hasil dari isian siswa'!D54)</f>
        <v/>
      </c>
      <c r="E54" t="str">
        <f t="shared" si="13"/>
        <v/>
      </c>
      <c r="F54" t="str">
        <f t="shared" si="14"/>
        <v/>
      </c>
      <c r="G54" t="str">
        <f t="shared" si="15"/>
        <v/>
      </c>
      <c r="H54" t="str">
        <f t="shared" si="16"/>
        <v/>
      </c>
      <c r="I54" t="str">
        <f t="shared" si="17"/>
        <v/>
      </c>
      <c r="J54" t="str">
        <f t="shared" si="18"/>
        <v/>
      </c>
      <c r="K54" t="str">
        <f>IF($V54&lt;&gt;"OK","",RANK(E54,$E54:$J54,0)+COUNTIF($E54:E54,E54)-1)</f>
        <v/>
      </c>
      <c r="L54" t="str">
        <f>IF($V54&lt;&gt;"OK","",RANK(F54,$E54:$J54,0)+COUNTIF($E54:F54,F54)-1)</f>
        <v/>
      </c>
      <c r="M54" t="str">
        <f>IF($V54&lt;&gt;"OK","",RANK(G54,$E54:$J54,0)+COUNTIF($E54:G54,G54)-1)</f>
        <v/>
      </c>
      <c r="N54" t="str">
        <f>IF($V54&lt;&gt;"OK","",RANK(H54,$E54:$J54,0)+COUNTIF($E54:H54,H54)-1)</f>
        <v/>
      </c>
      <c r="O54" t="str">
        <f>IF($V54&lt;&gt;"OK","",RANK(I54,$E54:$J54,0)+COUNTIF($E54:I54,I54)-1)</f>
        <v/>
      </c>
      <c r="P54" t="str">
        <f>IF($V54&lt;&gt;"OK","",RANK(J54,$E54:$J54,0)+COUNTIF($E54:J54,J54)-1)</f>
        <v/>
      </c>
      <c r="Q54" t="str">
        <f t="shared" si="19"/>
        <v/>
      </c>
      <c r="R54" t="str">
        <f t="shared" si="20"/>
        <v/>
      </c>
      <c r="S54" t="str">
        <f t="shared" si="21"/>
        <v/>
      </c>
      <c r="T54" t="str">
        <f t="shared" si="22"/>
        <v/>
      </c>
      <c r="U54" s="1" t="str">
        <f>IF($T54="","",IFERROR(VLOOKUP($T54,'Kunci dari RIASEC'!$A$4:$B$123,2,FALSE),"Rekomendasi belum tersedia"))</f>
        <v/>
      </c>
      <c r="V54" t="str">
        <f>IF('entri hasil dari isian siswa'!B54="","",'entri hasil dari isian siswa'!HY54)</f>
        <v/>
      </c>
      <c r="W54" t="str">
        <f>IF($B54="","",SUM('entri hasil dari isian siswa'!E54:O54))</f>
        <v/>
      </c>
      <c r="X54" t="str">
        <f>IF($B54="","",SUM('entri hasil dari isian siswa'!P54:Z54))</f>
        <v/>
      </c>
      <c r="Y54" t="str">
        <f>IF($B54="","",SUM('entri hasil dari isian siswa'!AA54:AK54))</f>
        <v/>
      </c>
      <c r="Z54" t="str">
        <f>IF($B54="","",SUM('entri hasil dari isian siswa'!AL54:AV54))</f>
        <v/>
      </c>
      <c r="AA54" t="str">
        <f>IF($B54="","",SUM('entri hasil dari isian siswa'!AW54:BG54))</f>
        <v/>
      </c>
      <c r="AB54" t="str">
        <f>IF($B54="","",SUM('entri hasil dari isian siswa'!BH54:BR54))</f>
        <v/>
      </c>
      <c r="AC54" t="str">
        <f>IF($B54="","",SUM('entri hasil dari isian siswa'!BS54:CC54))</f>
        <v/>
      </c>
      <c r="AD54" t="str">
        <f>IF($B54="","",SUM('entri hasil dari isian siswa'!CD54:CN54))</f>
        <v/>
      </c>
      <c r="AE54" t="str">
        <f>IF($B54="","",SUM('entri hasil dari isian siswa'!CO54:CY54))</f>
        <v/>
      </c>
      <c r="AF54" t="str">
        <f>IF($B54="","",SUM('entri hasil dari isian siswa'!CZ54:DJ54))</f>
        <v/>
      </c>
      <c r="AG54" t="str">
        <f>IF($B54="","",SUM('entri hasil dari isian siswa'!DK54:DU54))</f>
        <v/>
      </c>
      <c r="AH54" t="str">
        <f>IF($B54="","",SUM('entri hasil dari isian siswa'!DV54:EF54))</f>
        <v/>
      </c>
      <c r="AI54" t="str">
        <f>IF($B54="","",SUM('entri hasil dari isian siswa'!EG54:ET54))</f>
        <v/>
      </c>
      <c r="AJ54" t="str">
        <f>IF($B54="","",SUM('entri hasil dari isian siswa'!EU54:FH54))</f>
        <v/>
      </c>
      <c r="AK54" t="str">
        <f>IF($B54="","",SUM('entri hasil dari isian siswa'!FI54:FV54))</f>
        <v/>
      </c>
      <c r="AL54" t="str">
        <f>IF($B54="","",SUM('entri hasil dari isian siswa'!FW54:GJ54))</f>
        <v/>
      </c>
      <c r="AM54" t="str">
        <f>IF($B54="","",SUM('entri hasil dari isian siswa'!GK54:GX54))</f>
        <v/>
      </c>
      <c r="AN54" t="str">
        <f>IF($B54="","",SUM('entri hasil dari isian siswa'!GY54:HL54))</f>
        <v/>
      </c>
      <c r="AO54" t="str">
        <f>IF($B54="","",'entri hasil dari isian siswa'!HM54+'entri hasil dari isian siswa'!HS54)</f>
        <v/>
      </c>
      <c r="AP54" t="str">
        <f>IF($B54="","",'entri hasil dari isian siswa'!HN54+'entri hasil dari isian siswa'!HT54)</f>
        <v/>
      </c>
      <c r="AQ54" t="str">
        <f>IF($B54="","",'entri hasil dari isian siswa'!HO54+'entri hasil dari isian siswa'!HU54)</f>
        <v/>
      </c>
      <c r="AR54" t="str">
        <f>IF($B54="","",'entri hasil dari isian siswa'!HP54+'entri hasil dari isian siswa'!HV54)</f>
        <v/>
      </c>
      <c r="AS54" t="str">
        <f>IF($B54="","",'entri hasil dari isian siswa'!HQ54+'entri hasil dari isian siswa'!HW54)</f>
        <v/>
      </c>
      <c r="AT54" t="str">
        <f>IF($B54="","",'entri hasil dari isian siswa'!HR54+'entri hasil dari isian siswa'!HX54)</f>
        <v/>
      </c>
      <c r="AU54" s="69" t="str">
        <f t="shared" si="23"/>
        <v/>
      </c>
      <c r="AV54" s="69" t="str">
        <f>IF($AU54="","",IFERROR(VLOOKUP($AU54,'Kunci dari RIASEC'!$J$4:$K$33,2,FALSE),""))</f>
        <v/>
      </c>
    </row>
    <row r="55" spans="1:48">
      <c r="A55">
        <f t="shared" si="12"/>
        <v>51</v>
      </c>
      <c r="B55" t="str">
        <f>IF('entri hasil dari isian siswa'!B55="","",'entri hasil dari isian siswa'!B55)</f>
        <v/>
      </c>
      <c r="C55" t="str">
        <f>IF('entri hasil dari isian siswa'!C55="","",'entri hasil dari isian siswa'!C55)</f>
        <v/>
      </c>
      <c r="D55" t="str">
        <f>IF('entri hasil dari isian siswa'!D55="","",'entri hasil dari isian siswa'!D55)</f>
        <v/>
      </c>
      <c r="E55" t="str">
        <f t="shared" si="13"/>
        <v/>
      </c>
      <c r="F55" t="str">
        <f t="shared" si="14"/>
        <v/>
      </c>
      <c r="G55" t="str">
        <f t="shared" si="15"/>
        <v/>
      </c>
      <c r="H55" t="str">
        <f t="shared" si="16"/>
        <v/>
      </c>
      <c r="I55" t="str">
        <f t="shared" si="17"/>
        <v/>
      </c>
      <c r="J55" t="str">
        <f t="shared" si="18"/>
        <v/>
      </c>
      <c r="K55" t="str">
        <f>IF($V55&lt;&gt;"OK","",RANK(E55,$E55:$J55,0)+COUNTIF($E55:E55,E55)-1)</f>
        <v/>
      </c>
      <c r="L55" t="str">
        <f>IF($V55&lt;&gt;"OK","",RANK(F55,$E55:$J55,0)+COUNTIF($E55:F55,F55)-1)</f>
        <v/>
      </c>
      <c r="M55" t="str">
        <f>IF($V55&lt;&gt;"OK","",RANK(G55,$E55:$J55,0)+COUNTIF($E55:G55,G55)-1)</f>
        <v/>
      </c>
      <c r="N55" t="str">
        <f>IF($V55&lt;&gt;"OK","",RANK(H55,$E55:$J55,0)+COUNTIF($E55:H55,H55)-1)</f>
        <v/>
      </c>
      <c r="O55" t="str">
        <f>IF($V55&lt;&gt;"OK","",RANK(I55,$E55:$J55,0)+COUNTIF($E55:I55,I55)-1)</f>
        <v/>
      </c>
      <c r="P55" t="str">
        <f>IF($V55&lt;&gt;"OK","",RANK(J55,$E55:$J55,0)+COUNTIF($E55:J55,J55)-1)</f>
        <v/>
      </c>
      <c r="Q55" t="str">
        <f t="shared" si="19"/>
        <v/>
      </c>
      <c r="R55" t="str">
        <f t="shared" si="20"/>
        <v/>
      </c>
      <c r="S55" t="str">
        <f t="shared" si="21"/>
        <v/>
      </c>
      <c r="T55" t="str">
        <f t="shared" si="22"/>
        <v/>
      </c>
      <c r="U55" s="1" t="str">
        <f>IF($T55="","",IFERROR(VLOOKUP($T55,'Kunci dari RIASEC'!$A$4:$B$123,2,FALSE),"Rekomendasi belum tersedia"))</f>
        <v/>
      </c>
      <c r="V55" t="str">
        <f>IF('entri hasil dari isian siswa'!B55="","",'entri hasil dari isian siswa'!HY55)</f>
        <v/>
      </c>
      <c r="W55" t="str">
        <f>IF($B55="","",SUM('entri hasil dari isian siswa'!E55:O55))</f>
        <v/>
      </c>
      <c r="X55" t="str">
        <f>IF($B55="","",SUM('entri hasil dari isian siswa'!P55:Z55))</f>
        <v/>
      </c>
      <c r="Y55" t="str">
        <f>IF($B55="","",SUM('entri hasil dari isian siswa'!AA55:AK55))</f>
        <v/>
      </c>
      <c r="Z55" t="str">
        <f>IF($B55="","",SUM('entri hasil dari isian siswa'!AL55:AV55))</f>
        <v/>
      </c>
      <c r="AA55" t="str">
        <f>IF($B55="","",SUM('entri hasil dari isian siswa'!AW55:BG55))</f>
        <v/>
      </c>
      <c r="AB55" t="str">
        <f>IF($B55="","",SUM('entri hasil dari isian siswa'!BH55:BR55))</f>
        <v/>
      </c>
      <c r="AC55" t="str">
        <f>IF($B55="","",SUM('entri hasil dari isian siswa'!BS55:CC55))</f>
        <v/>
      </c>
      <c r="AD55" t="str">
        <f>IF($B55="","",SUM('entri hasil dari isian siswa'!CD55:CN55))</f>
        <v/>
      </c>
      <c r="AE55" t="str">
        <f>IF($B55="","",SUM('entri hasil dari isian siswa'!CO55:CY55))</f>
        <v/>
      </c>
      <c r="AF55" t="str">
        <f>IF($B55="","",SUM('entri hasil dari isian siswa'!CZ55:DJ55))</f>
        <v/>
      </c>
      <c r="AG55" t="str">
        <f>IF($B55="","",SUM('entri hasil dari isian siswa'!DK55:DU55))</f>
        <v/>
      </c>
      <c r="AH55" t="str">
        <f>IF($B55="","",SUM('entri hasil dari isian siswa'!DV55:EF55))</f>
        <v/>
      </c>
      <c r="AI55" t="str">
        <f>IF($B55="","",SUM('entri hasil dari isian siswa'!EG55:ET55))</f>
        <v/>
      </c>
      <c r="AJ55" t="str">
        <f>IF($B55="","",SUM('entri hasil dari isian siswa'!EU55:FH55))</f>
        <v/>
      </c>
      <c r="AK55" t="str">
        <f>IF($B55="","",SUM('entri hasil dari isian siswa'!FI55:FV55))</f>
        <v/>
      </c>
      <c r="AL55" t="str">
        <f>IF($B55="","",SUM('entri hasil dari isian siswa'!FW55:GJ55))</f>
        <v/>
      </c>
      <c r="AM55" t="str">
        <f>IF($B55="","",SUM('entri hasil dari isian siswa'!GK55:GX55))</f>
        <v/>
      </c>
      <c r="AN55" t="str">
        <f>IF($B55="","",SUM('entri hasil dari isian siswa'!GY55:HL55))</f>
        <v/>
      </c>
      <c r="AO55" t="str">
        <f>IF($B55="","",'entri hasil dari isian siswa'!HM55+'entri hasil dari isian siswa'!HS55)</f>
        <v/>
      </c>
      <c r="AP55" t="str">
        <f>IF($B55="","",'entri hasil dari isian siswa'!HN55+'entri hasil dari isian siswa'!HT55)</f>
        <v/>
      </c>
      <c r="AQ55" t="str">
        <f>IF($B55="","",'entri hasil dari isian siswa'!HO55+'entri hasil dari isian siswa'!HU55)</f>
        <v/>
      </c>
      <c r="AR55" t="str">
        <f>IF($B55="","",'entri hasil dari isian siswa'!HP55+'entri hasil dari isian siswa'!HV55)</f>
        <v/>
      </c>
      <c r="AS55" t="str">
        <f>IF($B55="","",'entri hasil dari isian siswa'!HQ55+'entri hasil dari isian siswa'!HW55)</f>
        <v/>
      </c>
      <c r="AT55" t="str">
        <f>IF($B55="","",'entri hasil dari isian siswa'!HR55+'entri hasil dari isian siswa'!HX55)</f>
        <v/>
      </c>
      <c r="AU55" s="69" t="str">
        <f t="shared" si="23"/>
        <v/>
      </c>
      <c r="AV55" s="69" t="str">
        <f>IF($AU55="","",IFERROR(VLOOKUP($AU55,'Kunci dari RIASEC'!$J$4:$K$33,2,FALSE),""))</f>
        <v/>
      </c>
    </row>
    <row r="56" spans="1:48">
      <c r="A56">
        <f t="shared" si="12"/>
        <v>52</v>
      </c>
      <c r="B56" t="str">
        <f>IF('entri hasil dari isian siswa'!B56="","",'entri hasil dari isian siswa'!B56)</f>
        <v/>
      </c>
      <c r="C56" t="str">
        <f>IF('entri hasil dari isian siswa'!C56="","",'entri hasil dari isian siswa'!C56)</f>
        <v/>
      </c>
      <c r="D56" t="str">
        <f>IF('entri hasil dari isian siswa'!D56="","",'entri hasil dari isian siswa'!D56)</f>
        <v/>
      </c>
      <c r="E56" t="str">
        <f t="shared" si="13"/>
        <v/>
      </c>
      <c r="F56" t="str">
        <f t="shared" si="14"/>
        <v/>
      </c>
      <c r="G56" t="str">
        <f t="shared" si="15"/>
        <v/>
      </c>
      <c r="H56" t="str">
        <f t="shared" si="16"/>
        <v/>
      </c>
      <c r="I56" t="str">
        <f t="shared" si="17"/>
        <v/>
      </c>
      <c r="J56" t="str">
        <f t="shared" si="18"/>
        <v/>
      </c>
      <c r="K56" t="str">
        <f>IF($V56&lt;&gt;"OK","",RANK(E56,$E56:$J56,0)+COUNTIF($E56:E56,E56)-1)</f>
        <v/>
      </c>
      <c r="L56" t="str">
        <f>IF($V56&lt;&gt;"OK","",RANK(F56,$E56:$J56,0)+COUNTIF($E56:F56,F56)-1)</f>
        <v/>
      </c>
      <c r="M56" t="str">
        <f>IF($V56&lt;&gt;"OK","",RANK(G56,$E56:$J56,0)+COUNTIF($E56:G56,G56)-1)</f>
        <v/>
      </c>
      <c r="N56" t="str">
        <f>IF($V56&lt;&gt;"OK","",RANK(H56,$E56:$J56,0)+COUNTIF($E56:H56,H56)-1)</f>
        <v/>
      </c>
      <c r="O56" t="str">
        <f>IF($V56&lt;&gt;"OK","",RANK(I56,$E56:$J56,0)+COUNTIF($E56:I56,I56)-1)</f>
        <v/>
      </c>
      <c r="P56" t="str">
        <f>IF($V56&lt;&gt;"OK","",RANK(J56,$E56:$J56,0)+COUNTIF($E56:J56,J56)-1)</f>
        <v/>
      </c>
      <c r="Q56" t="str">
        <f t="shared" si="19"/>
        <v/>
      </c>
      <c r="R56" t="str">
        <f t="shared" si="20"/>
        <v/>
      </c>
      <c r="S56" t="str">
        <f t="shared" si="21"/>
        <v/>
      </c>
      <c r="T56" t="str">
        <f t="shared" si="22"/>
        <v/>
      </c>
      <c r="U56" s="1" t="str">
        <f>IF($T56="","",IFERROR(VLOOKUP($T56,'Kunci dari RIASEC'!$A$4:$B$123,2,FALSE),"Rekomendasi belum tersedia"))</f>
        <v/>
      </c>
      <c r="V56" t="str">
        <f>IF('entri hasil dari isian siswa'!B56="","",'entri hasil dari isian siswa'!HY56)</f>
        <v/>
      </c>
      <c r="W56" t="str">
        <f>IF($B56="","",SUM('entri hasil dari isian siswa'!E56:O56))</f>
        <v/>
      </c>
      <c r="X56" t="str">
        <f>IF($B56="","",SUM('entri hasil dari isian siswa'!P56:Z56))</f>
        <v/>
      </c>
      <c r="Y56" t="str">
        <f>IF($B56="","",SUM('entri hasil dari isian siswa'!AA56:AK56))</f>
        <v/>
      </c>
      <c r="Z56" t="str">
        <f>IF($B56="","",SUM('entri hasil dari isian siswa'!AL56:AV56))</f>
        <v/>
      </c>
      <c r="AA56" t="str">
        <f>IF($B56="","",SUM('entri hasil dari isian siswa'!AW56:BG56))</f>
        <v/>
      </c>
      <c r="AB56" t="str">
        <f>IF($B56="","",SUM('entri hasil dari isian siswa'!BH56:BR56))</f>
        <v/>
      </c>
      <c r="AC56" t="str">
        <f>IF($B56="","",SUM('entri hasil dari isian siswa'!BS56:CC56))</f>
        <v/>
      </c>
      <c r="AD56" t="str">
        <f>IF($B56="","",SUM('entri hasil dari isian siswa'!CD56:CN56))</f>
        <v/>
      </c>
      <c r="AE56" t="str">
        <f>IF($B56="","",SUM('entri hasil dari isian siswa'!CO56:CY56))</f>
        <v/>
      </c>
      <c r="AF56" t="str">
        <f>IF($B56="","",SUM('entri hasil dari isian siswa'!CZ56:DJ56))</f>
        <v/>
      </c>
      <c r="AG56" t="str">
        <f>IF($B56="","",SUM('entri hasil dari isian siswa'!DK56:DU56))</f>
        <v/>
      </c>
      <c r="AH56" t="str">
        <f>IF($B56="","",SUM('entri hasil dari isian siswa'!DV56:EF56))</f>
        <v/>
      </c>
      <c r="AI56" t="str">
        <f>IF($B56="","",SUM('entri hasil dari isian siswa'!EG56:ET56))</f>
        <v/>
      </c>
      <c r="AJ56" t="str">
        <f>IF($B56="","",SUM('entri hasil dari isian siswa'!EU56:FH56))</f>
        <v/>
      </c>
      <c r="AK56" t="str">
        <f>IF($B56="","",SUM('entri hasil dari isian siswa'!FI56:FV56))</f>
        <v/>
      </c>
      <c r="AL56" t="str">
        <f>IF($B56="","",SUM('entri hasil dari isian siswa'!FW56:GJ56))</f>
        <v/>
      </c>
      <c r="AM56" t="str">
        <f>IF($B56="","",SUM('entri hasil dari isian siswa'!GK56:GX56))</f>
        <v/>
      </c>
      <c r="AN56" t="str">
        <f>IF($B56="","",SUM('entri hasil dari isian siswa'!GY56:HL56))</f>
        <v/>
      </c>
      <c r="AO56" t="str">
        <f>IF($B56="","",'entri hasil dari isian siswa'!HM56+'entri hasil dari isian siswa'!HS56)</f>
        <v/>
      </c>
      <c r="AP56" t="str">
        <f>IF($B56="","",'entri hasil dari isian siswa'!HN56+'entri hasil dari isian siswa'!HT56)</f>
        <v/>
      </c>
      <c r="AQ56" t="str">
        <f>IF($B56="","",'entri hasil dari isian siswa'!HO56+'entri hasil dari isian siswa'!HU56)</f>
        <v/>
      </c>
      <c r="AR56" t="str">
        <f>IF($B56="","",'entri hasil dari isian siswa'!HP56+'entri hasil dari isian siswa'!HV56)</f>
        <v/>
      </c>
      <c r="AS56" t="str">
        <f>IF($B56="","",'entri hasil dari isian siswa'!HQ56+'entri hasil dari isian siswa'!HW56)</f>
        <v/>
      </c>
      <c r="AT56" t="str">
        <f>IF($B56="","",'entri hasil dari isian siswa'!HR56+'entri hasil dari isian siswa'!HX56)</f>
        <v/>
      </c>
      <c r="AU56" s="69" t="str">
        <f t="shared" si="23"/>
        <v/>
      </c>
      <c r="AV56" s="69" t="str">
        <f>IF($AU56="","",IFERROR(VLOOKUP($AU56,'Kunci dari RIASEC'!$J$4:$K$33,2,FALSE),""))</f>
        <v/>
      </c>
    </row>
    <row r="57" spans="1:48">
      <c r="A57">
        <f t="shared" si="12"/>
        <v>53</v>
      </c>
      <c r="B57" t="str">
        <f>IF('entri hasil dari isian siswa'!B57="","",'entri hasil dari isian siswa'!B57)</f>
        <v/>
      </c>
      <c r="C57" t="str">
        <f>IF('entri hasil dari isian siswa'!C57="","",'entri hasil dari isian siswa'!C57)</f>
        <v/>
      </c>
      <c r="D57" t="str">
        <f>IF('entri hasil dari isian siswa'!D57="","",'entri hasil dari isian siswa'!D57)</f>
        <v/>
      </c>
      <c r="E57" t="str">
        <f t="shared" si="13"/>
        <v/>
      </c>
      <c r="F57" t="str">
        <f t="shared" si="14"/>
        <v/>
      </c>
      <c r="G57" t="str">
        <f t="shared" si="15"/>
        <v/>
      </c>
      <c r="H57" t="str">
        <f t="shared" si="16"/>
        <v/>
      </c>
      <c r="I57" t="str">
        <f t="shared" si="17"/>
        <v/>
      </c>
      <c r="J57" t="str">
        <f t="shared" si="18"/>
        <v/>
      </c>
      <c r="K57" t="str">
        <f>IF($V57&lt;&gt;"OK","",RANK(E57,$E57:$J57,0)+COUNTIF($E57:E57,E57)-1)</f>
        <v/>
      </c>
      <c r="L57" t="str">
        <f>IF($V57&lt;&gt;"OK","",RANK(F57,$E57:$J57,0)+COUNTIF($E57:F57,F57)-1)</f>
        <v/>
      </c>
      <c r="M57" t="str">
        <f>IF($V57&lt;&gt;"OK","",RANK(G57,$E57:$J57,0)+COUNTIF($E57:G57,G57)-1)</f>
        <v/>
      </c>
      <c r="N57" t="str">
        <f>IF($V57&lt;&gt;"OK","",RANK(H57,$E57:$J57,0)+COUNTIF($E57:H57,H57)-1)</f>
        <v/>
      </c>
      <c r="O57" t="str">
        <f>IF($V57&lt;&gt;"OK","",RANK(I57,$E57:$J57,0)+COUNTIF($E57:I57,I57)-1)</f>
        <v/>
      </c>
      <c r="P57" t="str">
        <f>IF($V57&lt;&gt;"OK","",RANK(J57,$E57:$J57,0)+COUNTIF($E57:J57,J57)-1)</f>
        <v/>
      </c>
      <c r="Q57" t="str">
        <f t="shared" si="19"/>
        <v/>
      </c>
      <c r="R57" t="str">
        <f t="shared" si="20"/>
        <v/>
      </c>
      <c r="S57" t="str">
        <f t="shared" si="21"/>
        <v/>
      </c>
      <c r="T57" t="str">
        <f t="shared" si="22"/>
        <v/>
      </c>
      <c r="U57" s="1" t="str">
        <f>IF($T57="","",IFERROR(VLOOKUP($T57,'Kunci dari RIASEC'!$A$4:$B$123,2,FALSE),"Rekomendasi belum tersedia"))</f>
        <v/>
      </c>
      <c r="V57" t="str">
        <f>IF('entri hasil dari isian siswa'!B57="","",'entri hasil dari isian siswa'!HY57)</f>
        <v/>
      </c>
      <c r="W57" t="str">
        <f>IF($B57="","",SUM('entri hasil dari isian siswa'!E57:O57))</f>
        <v/>
      </c>
      <c r="X57" t="str">
        <f>IF($B57="","",SUM('entri hasil dari isian siswa'!P57:Z57))</f>
        <v/>
      </c>
      <c r="Y57" t="str">
        <f>IF($B57="","",SUM('entri hasil dari isian siswa'!AA57:AK57))</f>
        <v/>
      </c>
      <c r="Z57" t="str">
        <f>IF($B57="","",SUM('entri hasil dari isian siswa'!AL57:AV57))</f>
        <v/>
      </c>
      <c r="AA57" t="str">
        <f>IF($B57="","",SUM('entri hasil dari isian siswa'!AW57:BG57))</f>
        <v/>
      </c>
      <c r="AB57" t="str">
        <f>IF($B57="","",SUM('entri hasil dari isian siswa'!BH57:BR57))</f>
        <v/>
      </c>
      <c r="AC57" t="str">
        <f>IF($B57="","",SUM('entri hasil dari isian siswa'!BS57:CC57))</f>
        <v/>
      </c>
      <c r="AD57" t="str">
        <f>IF($B57="","",SUM('entri hasil dari isian siswa'!CD57:CN57))</f>
        <v/>
      </c>
      <c r="AE57" t="str">
        <f>IF($B57="","",SUM('entri hasil dari isian siswa'!CO57:CY57))</f>
        <v/>
      </c>
      <c r="AF57" t="str">
        <f>IF($B57="","",SUM('entri hasil dari isian siswa'!CZ57:DJ57))</f>
        <v/>
      </c>
      <c r="AG57" t="str">
        <f>IF($B57="","",SUM('entri hasil dari isian siswa'!DK57:DU57))</f>
        <v/>
      </c>
      <c r="AH57" t="str">
        <f>IF($B57="","",SUM('entri hasil dari isian siswa'!DV57:EF57))</f>
        <v/>
      </c>
      <c r="AI57" t="str">
        <f>IF($B57="","",SUM('entri hasil dari isian siswa'!EG57:ET57))</f>
        <v/>
      </c>
      <c r="AJ57" t="str">
        <f>IF($B57="","",SUM('entri hasil dari isian siswa'!EU57:FH57))</f>
        <v/>
      </c>
      <c r="AK57" t="str">
        <f>IF($B57="","",SUM('entri hasil dari isian siswa'!FI57:FV57))</f>
        <v/>
      </c>
      <c r="AL57" t="str">
        <f>IF($B57="","",SUM('entri hasil dari isian siswa'!FW57:GJ57))</f>
        <v/>
      </c>
      <c r="AM57" t="str">
        <f>IF($B57="","",SUM('entri hasil dari isian siswa'!GK57:GX57))</f>
        <v/>
      </c>
      <c r="AN57" t="str">
        <f>IF($B57="","",SUM('entri hasil dari isian siswa'!GY57:HL57))</f>
        <v/>
      </c>
      <c r="AO57" t="str">
        <f>IF($B57="","",'entri hasil dari isian siswa'!HM57+'entri hasil dari isian siswa'!HS57)</f>
        <v/>
      </c>
      <c r="AP57" t="str">
        <f>IF($B57="","",'entri hasil dari isian siswa'!HN57+'entri hasil dari isian siswa'!HT57)</f>
        <v/>
      </c>
      <c r="AQ57" t="str">
        <f>IF($B57="","",'entri hasil dari isian siswa'!HO57+'entri hasil dari isian siswa'!HU57)</f>
        <v/>
      </c>
      <c r="AR57" t="str">
        <f>IF($B57="","",'entri hasil dari isian siswa'!HP57+'entri hasil dari isian siswa'!HV57)</f>
        <v/>
      </c>
      <c r="AS57" t="str">
        <f>IF($B57="","",'entri hasil dari isian siswa'!HQ57+'entri hasil dari isian siswa'!HW57)</f>
        <v/>
      </c>
      <c r="AT57" t="str">
        <f>IF($B57="","",'entri hasil dari isian siswa'!HR57+'entri hasil dari isian siswa'!HX57)</f>
        <v/>
      </c>
      <c r="AU57" s="69" t="str">
        <f t="shared" si="23"/>
        <v/>
      </c>
      <c r="AV57" s="69" t="str">
        <f>IF($AU57="","",IFERROR(VLOOKUP($AU57,'Kunci dari RIASEC'!$J$4:$K$33,2,FALSE),""))</f>
        <v/>
      </c>
    </row>
    <row r="58" spans="1:48">
      <c r="A58">
        <f t="shared" si="12"/>
        <v>54</v>
      </c>
      <c r="B58" t="str">
        <f>IF('entri hasil dari isian siswa'!B58="","",'entri hasil dari isian siswa'!B58)</f>
        <v/>
      </c>
      <c r="C58" t="str">
        <f>IF('entri hasil dari isian siswa'!C58="","",'entri hasil dari isian siswa'!C58)</f>
        <v/>
      </c>
      <c r="D58" t="str">
        <f>IF('entri hasil dari isian siswa'!D58="","",'entri hasil dari isian siswa'!D58)</f>
        <v/>
      </c>
      <c r="E58" t="str">
        <f t="shared" si="13"/>
        <v/>
      </c>
      <c r="F58" t="str">
        <f t="shared" si="14"/>
        <v/>
      </c>
      <c r="G58" t="str">
        <f t="shared" si="15"/>
        <v/>
      </c>
      <c r="H58" t="str">
        <f t="shared" si="16"/>
        <v/>
      </c>
      <c r="I58" t="str">
        <f t="shared" si="17"/>
        <v/>
      </c>
      <c r="J58" t="str">
        <f t="shared" si="18"/>
        <v/>
      </c>
      <c r="K58" t="str">
        <f>IF($V58&lt;&gt;"OK","",RANK(E58,$E58:$J58,0)+COUNTIF($E58:E58,E58)-1)</f>
        <v/>
      </c>
      <c r="L58" t="str">
        <f>IF($V58&lt;&gt;"OK","",RANK(F58,$E58:$J58,0)+COUNTIF($E58:F58,F58)-1)</f>
        <v/>
      </c>
      <c r="M58" t="str">
        <f>IF($V58&lt;&gt;"OK","",RANK(G58,$E58:$J58,0)+COUNTIF($E58:G58,G58)-1)</f>
        <v/>
      </c>
      <c r="N58" t="str">
        <f>IF($V58&lt;&gt;"OK","",RANK(H58,$E58:$J58,0)+COUNTIF($E58:H58,H58)-1)</f>
        <v/>
      </c>
      <c r="O58" t="str">
        <f>IF($V58&lt;&gt;"OK","",RANK(I58,$E58:$J58,0)+COUNTIF($E58:I58,I58)-1)</f>
        <v/>
      </c>
      <c r="P58" t="str">
        <f>IF($V58&lt;&gt;"OK","",RANK(J58,$E58:$J58,0)+COUNTIF($E58:J58,J58)-1)</f>
        <v/>
      </c>
      <c r="Q58" t="str">
        <f t="shared" si="19"/>
        <v/>
      </c>
      <c r="R58" t="str">
        <f t="shared" si="20"/>
        <v/>
      </c>
      <c r="S58" t="str">
        <f t="shared" si="21"/>
        <v/>
      </c>
      <c r="T58" t="str">
        <f t="shared" si="22"/>
        <v/>
      </c>
      <c r="U58" s="1" t="str">
        <f>IF($T58="","",IFERROR(VLOOKUP($T58,'Kunci dari RIASEC'!$A$4:$B$123,2,FALSE),"Rekomendasi belum tersedia"))</f>
        <v/>
      </c>
      <c r="V58" t="str">
        <f>IF('entri hasil dari isian siswa'!B58="","",'entri hasil dari isian siswa'!HY58)</f>
        <v/>
      </c>
      <c r="W58" t="str">
        <f>IF($B58="","",SUM('entri hasil dari isian siswa'!E58:O58))</f>
        <v/>
      </c>
      <c r="X58" t="str">
        <f>IF($B58="","",SUM('entri hasil dari isian siswa'!P58:Z58))</f>
        <v/>
      </c>
      <c r="Y58" t="str">
        <f>IF($B58="","",SUM('entri hasil dari isian siswa'!AA58:AK58))</f>
        <v/>
      </c>
      <c r="Z58" t="str">
        <f>IF($B58="","",SUM('entri hasil dari isian siswa'!AL58:AV58))</f>
        <v/>
      </c>
      <c r="AA58" t="str">
        <f>IF($B58="","",SUM('entri hasil dari isian siswa'!AW58:BG58))</f>
        <v/>
      </c>
      <c r="AB58" t="str">
        <f>IF($B58="","",SUM('entri hasil dari isian siswa'!BH58:BR58))</f>
        <v/>
      </c>
      <c r="AC58" t="str">
        <f>IF($B58="","",SUM('entri hasil dari isian siswa'!BS58:CC58))</f>
        <v/>
      </c>
      <c r="AD58" t="str">
        <f>IF($B58="","",SUM('entri hasil dari isian siswa'!CD58:CN58))</f>
        <v/>
      </c>
      <c r="AE58" t="str">
        <f>IF($B58="","",SUM('entri hasil dari isian siswa'!CO58:CY58))</f>
        <v/>
      </c>
      <c r="AF58" t="str">
        <f>IF($B58="","",SUM('entri hasil dari isian siswa'!CZ58:DJ58))</f>
        <v/>
      </c>
      <c r="AG58" t="str">
        <f>IF($B58="","",SUM('entri hasil dari isian siswa'!DK58:DU58))</f>
        <v/>
      </c>
      <c r="AH58" t="str">
        <f>IF($B58="","",SUM('entri hasil dari isian siswa'!DV58:EF58))</f>
        <v/>
      </c>
      <c r="AI58" t="str">
        <f>IF($B58="","",SUM('entri hasil dari isian siswa'!EG58:ET58))</f>
        <v/>
      </c>
      <c r="AJ58" t="str">
        <f>IF($B58="","",SUM('entri hasil dari isian siswa'!EU58:FH58))</f>
        <v/>
      </c>
      <c r="AK58" t="str">
        <f>IF($B58="","",SUM('entri hasil dari isian siswa'!FI58:FV58))</f>
        <v/>
      </c>
      <c r="AL58" t="str">
        <f>IF($B58="","",SUM('entri hasil dari isian siswa'!FW58:GJ58))</f>
        <v/>
      </c>
      <c r="AM58" t="str">
        <f>IF($B58="","",SUM('entri hasil dari isian siswa'!GK58:GX58))</f>
        <v/>
      </c>
      <c r="AN58" t="str">
        <f>IF($B58="","",SUM('entri hasil dari isian siswa'!GY58:HL58))</f>
        <v/>
      </c>
      <c r="AO58" t="str">
        <f>IF($B58="","",'entri hasil dari isian siswa'!HM58+'entri hasil dari isian siswa'!HS58)</f>
        <v/>
      </c>
      <c r="AP58" t="str">
        <f>IF($B58="","",'entri hasil dari isian siswa'!HN58+'entri hasil dari isian siswa'!HT58)</f>
        <v/>
      </c>
      <c r="AQ58" t="str">
        <f>IF($B58="","",'entri hasil dari isian siswa'!HO58+'entri hasil dari isian siswa'!HU58)</f>
        <v/>
      </c>
      <c r="AR58" t="str">
        <f>IF($B58="","",'entri hasil dari isian siswa'!HP58+'entri hasil dari isian siswa'!HV58)</f>
        <v/>
      </c>
      <c r="AS58" t="str">
        <f>IF($B58="","",'entri hasil dari isian siswa'!HQ58+'entri hasil dari isian siswa'!HW58)</f>
        <v/>
      </c>
      <c r="AT58" t="str">
        <f>IF($B58="","",'entri hasil dari isian siswa'!HR58+'entri hasil dari isian siswa'!HX58)</f>
        <v/>
      </c>
      <c r="AU58" s="69" t="str">
        <f t="shared" si="23"/>
        <v/>
      </c>
      <c r="AV58" s="69" t="str">
        <f>IF($AU58="","",IFERROR(VLOOKUP($AU58,'Kunci dari RIASEC'!$J$4:$K$33,2,FALSE),""))</f>
        <v/>
      </c>
    </row>
    <row r="59" spans="1:48">
      <c r="A59">
        <f t="shared" si="12"/>
        <v>55</v>
      </c>
      <c r="B59" t="str">
        <f>IF('entri hasil dari isian siswa'!B59="","",'entri hasil dari isian siswa'!B59)</f>
        <v/>
      </c>
      <c r="C59" t="str">
        <f>IF('entri hasil dari isian siswa'!C59="","",'entri hasil dari isian siswa'!C59)</f>
        <v/>
      </c>
      <c r="D59" t="str">
        <f>IF('entri hasil dari isian siswa'!D59="","",'entri hasil dari isian siswa'!D59)</f>
        <v/>
      </c>
      <c r="E59" t="str">
        <f t="shared" si="13"/>
        <v/>
      </c>
      <c r="F59" t="str">
        <f t="shared" si="14"/>
        <v/>
      </c>
      <c r="G59" t="str">
        <f t="shared" si="15"/>
        <v/>
      </c>
      <c r="H59" t="str">
        <f t="shared" si="16"/>
        <v/>
      </c>
      <c r="I59" t="str">
        <f t="shared" si="17"/>
        <v/>
      </c>
      <c r="J59" t="str">
        <f t="shared" si="18"/>
        <v/>
      </c>
      <c r="K59" t="str">
        <f>IF($V59&lt;&gt;"OK","",RANK(E59,$E59:$J59,0)+COUNTIF($E59:E59,E59)-1)</f>
        <v/>
      </c>
      <c r="L59" t="str">
        <f>IF($V59&lt;&gt;"OK","",RANK(F59,$E59:$J59,0)+COUNTIF($E59:F59,F59)-1)</f>
        <v/>
      </c>
      <c r="M59" t="str">
        <f>IF($V59&lt;&gt;"OK","",RANK(G59,$E59:$J59,0)+COUNTIF($E59:G59,G59)-1)</f>
        <v/>
      </c>
      <c r="N59" t="str">
        <f>IF($V59&lt;&gt;"OK","",RANK(H59,$E59:$J59,0)+COUNTIF($E59:H59,H59)-1)</f>
        <v/>
      </c>
      <c r="O59" t="str">
        <f>IF($V59&lt;&gt;"OK","",RANK(I59,$E59:$J59,0)+COUNTIF($E59:I59,I59)-1)</f>
        <v/>
      </c>
      <c r="P59" t="str">
        <f>IF($V59&lt;&gt;"OK","",RANK(J59,$E59:$J59,0)+COUNTIF($E59:J59,J59)-1)</f>
        <v/>
      </c>
      <c r="Q59" t="str">
        <f t="shared" si="19"/>
        <v/>
      </c>
      <c r="R59" t="str">
        <f t="shared" si="20"/>
        <v/>
      </c>
      <c r="S59" t="str">
        <f t="shared" si="21"/>
        <v/>
      </c>
      <c r="T59" t="str">
        <f t="shared" si="22"/>
        <v/>
      </c>
      <c r="U59" s="1" t="str">
        <f>IF($T59="","",IFERROR(VLOOKUP($T59,'Kunci dari RIASEC'!$A$4:$B$123,2,FALSE),"Rekomendasi belum tersedia"))</f>
        <v/>
      </c>
      <c r="V59" t="str">
        <f>IF('entri hasil dari isian siswa'!B59="","",'entri hasil dari isian siswa'!HY59)</f>
        <v/>
      </c>
      <c r="W59" t="str">
        <f>IF($B59="","",SUM('entri hasil dari isian siswa'!E59:O59))</f>
        <v/>
      </c>
      <c r="X59" t="str">
        <f>IF($B59="","",SUM('entri hasil dari isian siswa'!P59:Z59))</f>
        <v/>
      </c>
      <c r="Y59" t="str">
        <f>IF($B59="","",SUM('entri hasil dari isian siswa'!AA59:AK59))</f>
        <v/>
      </c>
      <c r="Z59" t="str">
        <f>IF($B59="","",SUM('entri hasil dari isian siswa'!AL59:AV59))</f>
        <v/>
      </c>
      <c r="AA59" t="str">
        <f>IF($B59="","",SUM('entri hasil dari isian siswa'!AW59:BG59))</f>
        <v/>
      </c>
      <c r="AB59" t="str">
        <f>IF($B59="","",SUM('entri hasil dari isian siswa'!BH59:BR59))</f>
        <v/>
      </c>
      <c r="AC59" t="str">
        <f>IF($B59="","",SUM('entri hasil dari isian siswa'!BS59:CC59))</f>
        <v/>
      </c>
      <c r="AD59" t="str">
        <f>IF($B59="","",SUM('entri hasil dari isian siswa'!CD59:CN59))</f>
        <v/>
      </c>
      <c r="AE59" t="str">
        <f>IF($B59="","",SUM('entri hasil dari isian siswa'!CO59:CY59))</f>
        <v/>
      </c>
      <c r="AF59" t="str">
        <f>IF($B59="","",SUM('entri hasil dari isian siswa'!CZ59:DJ59))</f>
        <v/>
      </c>
      <c r="AG59" t="str">
        <f>IF($B59="","",SUM('entri hasil dari isian siswa'!DK59:DU59))</f>
        <v/>
      </c>
      <c r="AH59" t="str">
        <f>IF($B59="","",SUM('entri hasil dari isian siswa'!DV59:EF59))</f>
        <v/>
      </c>
      <c r="AI59" t="str">
        <f>IF($B59="","",SUM('entri hasil dari isian siswa'!EG59:ET59))</f>
        <v/>
      </c>
      <c r="AJ59" t="str">
        <f>IF($B59="","",SUM('entri hasil dari isian siswa'!EU59:FH59))</f>
        <v/>
      </c>
      <c r="AK59" t="str">
        <f>IF($B59="","",SUM('entri hasil dari isian siswa'!FI59:FV59))</f>
        <v/>
      </c>
      <c r="AL59" t="str">
        <f>IF($B59="","",SUM('entri hasil dari isian siswa'!FW59:GJ59))</f>
        <v/>
      </c>
      <c r="AM59" t="str">
        <f>IF($B59="","",SUM('entri hasil dari isian siswa'!GK59:GX59))</f>
        <v/>
      </c>
      <c r="AN59" t="str">
        <f>IF($B59="","",SUM('entri hasil dari isian siswa'!GY59:HL59))</f>
        <v/>
      </c>
      <c r="AO59" t="str">
        <f>IF($B59="","",'entri hasil dari isian siswa'!HM59+'entri hasil dari isian siswa'!HS59)</f>
        <v/>
      </c>
      <c r="AP59" t="str">
        <f>IF($B59="","",'entri hasil dari isian siswa'!HN59+'entri hasil dari isian siswa'!HT59)</f>
        <v/>
      </c>
      <c r="AQ59" t="str">
        <f>IF($B59="","",'entri hasil dari isian siswa'!HO59+'entri hasil dari isian siswa'!HU59)</f>
        <v/>
      </c>
      <c r="AR59" t="str">
        <f>IF($B59="","",'entri hasil dari isian siswa'!HP59+'entri hasil dari isian siswa'!HV59)</f>
        <v/>
      </c>
      <c r="AS59" t="str">
        <f>IF($B59="","",'entri hasil dari isian siswa'!HQ59+'entri hasil dari isian siswa'!HW59)</f>
        <v/>
      </c>
      <c r="AT59" t="str">
        <f>IF($B59="","",'entri hasil dari isian siswa'!HR59+'entri hasil dari isian siswa'!HX59)</f>
        <v/>
      </c>
      <c r="AU59" s="69" t="str">
        <f t="shared" si="23"/>
        <v/>
      </c>
      <c r="AV59" s="69" t="str">
        <f>IF($AU59="","",IFERROR(VLOOKUP($AU59,'Kunci dari RIASEC'!$J$4:$K$33,2,FALSE),""))</f>
        <v/>
      </c>
    </row>
    <row r="60" spans="1:48">
      <c r="A60">
        <f t="shared" si="12"/>
        <v>56</v>
      </c>
      <c r="B60" t="str">
        <f>IF('entri hasil dari isian siswa'!B60="","",'entri hasil dari isian siswa'!B60)</f>
        <v/>
      </c>
      <c r="C60" t="str">
        <f>IF('entri hasil dari isian siswa'!C60="","",'entri hasil dari isian siswa'!C60)</f>
        <v/>
      </c>
      <c r="D60" t="str">
        <f>IF('entri hasil dari isian siswa'!D60="","",'entri hasil dari isian siswa'!D60)</f>
        <v/>
      </c>
      <c r="E60" t="str">
        <f t="shared" si="13"/>
        <v/>
      </c>
      <c r="F60" t="str">
        <f t="shared" si="14"/>
        <v/>
      </c>
      <c r="G60" t="str">
        <f t="shared" si="15"/>
        <v/>
      </c>
      <c r="H60" t="str">
        <f t="shared" si="16"/>
        <v/>
      </c>
      <c r="I60" t="str">
        <f t="shared" si="17"/>
        <v/>
      </c>
      <c r="J60" t="str">
        <f t="shared" si="18"/>
        <v/>
      </c>
      <c r="K60" t="str">
        <f>IF($V60&lt;&gt;"OK","",RANK(E60,$E60:$J60,0)+COUNTIF($E60:E60,E60)-1)</f>
        <v/>
      </c>
      <c r="L60" t="str">
        <f>IF($V60&lt;&gt;"OK","",RANK(F60,$E60:$J60,0)+COUNTIF($E60:F60,F60)-1)</f>
        <v/>
      </c>
      <c r="M60" t="str">
        <f>IF($V60&lt;&gt;"OK","",RANK(G60,$E60:$J60,0)+COUNTIF($E60:G60,G60)-1)</f>
        <v/>
      </c>
      <c r="N60" t="str">
        <f>IF($V60&lt;&gt;"OK","",RANK(H60,$E60:$J60,0)+COUNTIF($E60:H60,H60)-1)</f>
        <v/>
      </c>
      <c r="O60" t="str">
        <f>IF($V60&lt;&gt;"OK","",RANK(I60,$E60:$J60,0)+COUNTIF($E60:I60,I60)-1)</f>
        <v/>
      </c>
      <c r="P60" t="str">
        <f>IF($V60&lt;&gt;"OK","",RANK(J60,$E60:$J60,0)+COUNTIF($E60:J60,J60)-1)</f>
        <v/>
      </c>
      <c r="Q60" t="str">
        <f t="shared" si="19"/>
        <v/>
      </c>
      <c r="R60" t="str">
        <f t="shared" si="20"/>
        <v/>
      </c>
      <c r="S60" t="str">
        <f t="shared" si="21"/>
        <v/>
      </c>
      <c r="T60" t="str">
        <f t="shared" si="22"/>
        <v/>
      </c>
      <c r="U60" s="1" t="str">
        <f>IF($T60="","",IFERROR(VLOOKUP($T60,'Kunci dari RIASEC'!$A$4:$B$123,2,FALSE),"Rekomendasi belum tersedia"))</f>
        <v/>
      </c>
      <c r="V60" t="str">
        <f>IF('entri hasil dari isian siswa'!B60="","",'entri hasil dari isian siswa'!HY60)</f>
        <v/>
      </c>
      <c r="W60" t="str">
        <f>IF($B60="","",SUM('entri hasil dari isian siswa'!E60:O60))</f>
        <v/>
      </c>
      <c r="X60" t="str">
        <f>IF($B60="","",SUM('entri hasil dari isian siswa'!P60:Z60))</f>
        <v/>
      </c>
      <c r="Y60" t="str">
        <f>IF($B60="","",SUM('entri hasil dari isian siswa'!AA60:AK60))</f>
        <v/>
      </c>
      <c r="Z60" t="str">
        <f>IF($B60="","",SUM('entri hasil dari isian siswa'!AL60:AV60))</f>
        <v/>
      </c>
      <c r="AA60" t="str">
        <f>IF($B60="","",SUM('entri hasil dari isian siswa'!AW60:BG60))</f>
        <v/>
      </c>
      <c r="AB60" t="str">
        <f>IF($B60="","",SUM('entri hasil dari isian siswa'!BH60:BR60))</f>
        <v/>
      </c>
      <c r="AC60" t="str">
        <f>IF($B60="","",SUM('entri hasil dari isian siswa'!BS60:CC60))</f>
        <v/>
      </c>
      <c r="AD60" t="str">
        <f>IF($B60="","",SUM('entri hasil dari isian siswa'!CD60:CN60))</f>
        <v/>
      </c>
      <c r="AE60" t="str">
        <f>IF($B60="","",SUM('entri hasil dari isian siswa'!CO60:CY60))</f>
        <v/>
      </c>
      <c r="AF60" t="str">
        <f>IF($B60="","",SUM('entri hasil dari isian siswa'!CZ60:DJ60))</f>
        <v/>
      </c>
      <c r="AG60" t="str">
        <f>IF($B60="","",SUM('entri hasil dari isian siswa'!DK60:DU60))</f>
        <v/>
      </c>
      <c r="AH60" t="str">
        <f>IF($B60="","",SUM('entri hasil dari isian siswa'!DV60:EF60))</f>
        <v/>
      </c>
      <c r="AI60" t="str">
        <f>IF($B60="","",SUM('entri hasil dari isian siswa'!EG60:ET60))</f>
        <v/>
      </c>
      <c r="AJ60" t="str">
        <f>IF($B60="","",SUM('entri hasil dari isian siswa'!EU60:FH60))</f>
        <v/>
      </c>
      <c r="AK60" t="str">
        <f>IF($B60="","",SUM('entri hasil dari isian siswa'!FI60:FV60))</f>
        <v/>
      </c>
      <c r="AL60" t="str">
        <f>IF($B60="","",SUM('entri hasil dari isian siswa'!FW60:GJ60))</f>
        <v/>
      </c>
      <c r="AM60" t="str">
        <f>IF($B60="","",SUM('entri hasil dari isian siswa'!GK60:GX60))</f>
        <v/>
      </c>
      <c r="AN60" t="str">
        <f>IF($B60="","",SUM('entri hasil dari isian siswa'!GY60:HL60))</f>
        <v/>
      </c>
      <c r="AO60" t="str">
        <f>IF($B60="","",'entri hasil dari isian siswa'!HM60+'entri hasil dari isian siswa'!HS60)</f>
        <v/>
      </c>
      <c r="AP60" t="str">
        <f>IF($B60="","",'entri hasil dari isian siswa'!HN60+'entri hasil dari isian siswa'!HT60)</f>
        <v/>
      </c>
      <c r="AQ60" t="str">
        <f>IF($B60="","",'entri hasil dari isian siswa'!HO60+'entri hasil dari isian siswa'!HU60)</f>
        <v/>
      </c>
      <c r="AR60" t="str">
        <f>IF($B60="","",'entri hasil dari isian siswa'!HP60+'entri hasil dari isian siswa'!HV60)</f>
        <v/>
      </c>
      <c r="AS60" t="str">
        <f>IF($B60="","",'entri hasil dari isian siswa'!HQ60+'entri hasil dari isian siswa'!HW60)</f>
        <v/>
      </c>
      <c r="AT60" t="str">
        <f>IF($B60="","",'entri hasil dari isian siswa'!HR60+'entri hasil dari isian siswa'!HX60)</f>
        <v/>
      </c>
      <c r="AU60" s="69" t="str">
        <f t="shared" si="23"/>
        <v/>
      </c>
      <c r="AV60" s="69" t="str">
        <f>IF($AU60="","",IFERROR(VLOOKUP($AU60,'Kunci dari RIASEC'!$J$4:$K$33,2,FALSE),""))</f>
        <v/>
      </c>
    </row>
    <row r="61" spans="1:48">
      <c r="A61">
        <f t="shared" si="12"/>
        <v>57</v>
      </c>
      <c r="B61" t="str">
        <f>IF('entri hasil dari isian siswa'!B61="","",'entri hasil dari isian siswa'!B61)</f>
        <v/>
      </c>
      <c r="C61" t="str">
        <f>IF('entri hasil dari isian siswa'!C61="","",'entri hasil dari isian siswa'!C61)</f>
        <v/>
      </c>
      <c r="D61" t="str">
        <f>IF('entri hasil dari isian siswa'!D61="","",'entri hasil dari isian siswa'!D61)</f>
        <v/>
      </c>
      <c r="E61" t="str">
        <f t="shared" si="13"/>
        <v/>
      </c>
      <c r="F61" t="str">
        <f t="shared" si="14"/>
        <v/>
      </c>
      <c r="G61" t="str">
        <f t="shared" si="15"/>
        <v/>
      </c>
      <c r="H61" t="str">
        <f t="shared" si="16"/>
        <v/>
      </c>
      <c r="I61" t="str">
        <f t="shared" si="17"/>
        <v/>
      </c>
      <c r="J61" t="str">
        <f t="shared" si="18"/>
        <v/>
      </c>
      <c r="K61" t="str">
        <f>IF($V61&lt;&gt;"OK","",RANK(E61,$E61:$J61,0)+COUNTIF($E61:E61,E61)-1)</f>
        <v/>
      </c>
      <c r="L61" t="str">
        <f>IF($V61&lt;&gt;"OK","",RANK(F61,$E61:$J61,0)+COUNTIF($E61:F61,F61)-1)</f>
        <v/>
      </c>
      <c r="M61" t="str">
        <f>IF($V61&lt;&gt;"OK","",RANK(G61,$E61:$J61,0)+COUNTIF($E61:G61,G61)-1)</f>
        <v/>
      </c>
      <c r="N61" t="str">
        <f>IF($V61&lt;&gt;"OK","",RANK(H61,$E61:$J61,0)+COUNTIF($E61:H61,H61)-1)</f>
        <v/>
      </c>
      <c r="O61" t="str">
        <f>IF($V61&lt;&gt;"OK","",RANK(I61,$E61:$J61,0)+COUNTIF($E61:I61,I61)-1)</f>
        <v/>
      </c>
      <c r="P61" t="str">
        <f>IF($V61&lt;&gt;"OK","",RANK(J61,$E61:$J61,0)+COUNTIF($E61:J61,J61)-1)</f>
        <v/>
      </c>
      <c r="Q61" t="str">
        <f t="shared" si="19"/>
        <v/>
      </c>
      <c r="R61" t="str">
        <f t="shared" si="20"/>
        <v/>
      </c>
      <c r="S61" t="str">
        <f t="shared" si="21"/>
        <v/>
      </c>
      <c r="T61" t="str">
        <f t="shared" si="22"/>
        <v/>
      </c>
      <c r="U61" s="1" t="str">
        <f>IF($T61="","",IFERROR(VLOOKUP($T61,'Kunci dari RIASEC'!$A$4:$B$123,2,FALSE),"Rekomendasi belum tersedia"))</f>
        <v/>
      </c>
      <c r="V61" t="str">
        <f>IF('entri hasil dari isian siswa'!B61="","",'entri hasil dari isian siswa'!HY61)</f>
        <v/>
      </c>
      <c r="W61" t="str">
        <f>IF($B61="","",SUM('entri hasil dari isian siswa'!E61:O61))</f>
        <v/>
      </c>
      <c r="X61" t="str">
        <f>IF($B61="","",SUM('entri hasil dari isian siswa'!P61:Z61))</f>
        <v/>
      </c>
      <c r="Y61" t="str">
        <f>IF($B61="","",SUM('entri hasil dari isian siswa'!AA61:AK61))</f>
        <v/>
      </c>
      <c r="Z61" t="str">
        <f>IF($B61="","",SUM('entri hasil dari isian siswa'!AL61:AV61))</f>
        <v/>
      </c>
      <c r="AA61" t="str">
        <f>IF($B61="","",SUM('entri hasil dari isian siswa'!AW61:BG61))</f>
        <v/>
      </c>
      <c r="AB61" t="str">
        <f>IF($B61="","",SUM('entri hasil dari isian siswa'!BH61:BR61))</f>
        <v/>
      </c>
      <c r="AC61" t="str">
        <f>IF($B61="","",SUM('entri hasil dari isian siswa'!BS61:CC61))</f>
        <v/>
      </c>
      <c r="AD61" t="str">
        <f>IF($B61="","",SUM('entri hasil dari isian siswa'!CD61:CN61))</f>
        <v/>
      </c>
      <c r="AE61" t="str">
        <f>IF($B61="","",SUM('entri hasil dari isian siswa'!CO61:CY61))</f>
        <v/>
      </c>
      <c r="AF61" t="str">
        <f>IF($B61="","",SUM('entri hasil dari isian siswa'!CZ61:DJ61))</f>
        <v/>
      </c>
      <c r="AG61" t="str">
        <f>IF($B61="","",SUM('entri hasil dari isian siswa'!DK61:DU61))</f>
        <v/>
      </c>
      <c r="AH61" t="str">
        <f>IF($B61="","",SUM('entri hasil dari isian siswa'!DV61:EF61))</f>
        <v/>
      </c>
      <c r="AI61" t="str">
        <f>IF($B61="","",SUM('entri hasil dari isian siswa'!EG61:ET61))</f>
        <v/>
      </c>
      <c r="AJ61" t="str">
        <f>IF($B61="","",SUM('entri hasil dari isian siswa'!EU61:FH61))</f>
        <v/>
      </c>
      <c r="AK61" t="str">
        <f>IF($B61="","",SUM('entri hasil dari isian siswa'!FI61:FV61))</f>
        <v/>
      </c>
      <c r="AL61" t="str">
        <f>IF($B61="","",SUM('entri hasil dari isian siswa'!FW61:GJ61))</f>
        <v/>
      </c>
      <c r="AM61" t="str">
        <f>IF($B61="","",SUM('entri hasil dari isian siswa'!GK61:GX61))</f>
        <v/>
      </c>
      <c r="AN61" t="str">
        <f>IF($B61="","",SUM('entri hasil dari isian siswa'!GY61:HL61))</f>
        <v/>
      </c>
      <c r="AO61" t="str">
        <f>IF($B61="","",'entri hasil dari isian siswa'!HM61+'entri hasil dari isian siswa'!HS61)</f>
        <v/>
      </c>
      <c r="AP61" t="str">
        <f>IF($B61="","",'entri hasil dari isian siswa'!HN61+'entri hasil dari isian siswa'!HT61)</f>
        <v/>
      </c>
      <c r="AQ61" t="str">
        <f>IF($B61="","",'entri hasil dari isian siswa'!HO61+'entri hasil dari isian siswa'!HU61)</f>
        <v/>
      </c>
      <c r="AR61" t="str">
        <f>IF($B61="","",'entri hasil dari isian siswa'!HP61+'entri hasil dari isian siswa'!HV61)</f>
        <v/>
      </c>
      <c r="AS61" t="str">
        <f>IF($B61="","",'entri hasil dari isian siswa'!HQ61+'entri hasil dari isian siswa'!HW61)</f>
        <v/>
      </c>
      <c r="AT61" t="str">
        <f>IF($B61="","",'entri hasil dari isian siswa'!HR61+'entri hasil dari isian siswa'!HX61)</f>
        <v/>
      </c>
      <c r="AU61" s="69" t="str">
        <f t="shared" si="23"/>
        <v/>
      </c>
      <c r="AV61" s="69" t="str">
        <f>IF($AU61="","",IFERROR(VLOOKUP($AU61,'Kunci dari RIASEC'!$J$4:$K$33,2,FALSE),""))</f>
        <v/>
      </c>
    </row>
    <row r="62" spans="1:48">
      <c r="A62">
        <f t="shared" si="12"/>
        <v>58</v>
      </c>
      <c r="B62" t="str">
        <f>IF('entri hasil dari isian siswa'!B62="","",'entri hasil dari isian siswa'!B62)</f>
        <v/>
      </c>
      <c r="C62" t="str">
        <f>IF('entri hasil dari isian siswa'!C62="","",'entri hasil dari isian siswa'!C62)</f>
        <v/>
      </c>
      <c r="D62" t="str">
        <f>IF('entri hasil dari isian siswa'!D62="","",'entri hasil dari isian siswa'!D62)</f>
        <v/>
      </c>
      <c r="E62" t="str">
        <f t="shared" si="13"/>
        <v/>
      </c>
      <c r="F62" t="str">
        <f t="shared" si="14"/>
        <v/>
      </c>
      <c r="G62" t="str">
        <f t="shared" si="15"/>
        <v/>
      </c>
      <c r="H62" t="str">
        <f t="shared" si="16"/>
        <v/>
      </c>
      <c r="I62" t="str">
        <f t="shared" si="17"/>
        <v/>
      </c>
      <c r="J62" t="str">
        <f t="shared" si="18"/>
        <v/>
      </c>
      <c r="K62" t="str">
        <f>IF($V62&lt;&gt;"OK","",RANK(E62,$E62:$J62,0)+COUNTIF($E62:E62,E62)-1)</f>
        <v/>
      </c>
      <c r="L62" t="str">
        <f>IF($V62&lt;&gt;"OK","",RANK(F62,$E62:$J62,0)+COUNTIF($E62:F62,F62)-1)</f>
        <v/>
      </c>
      <c r="M62" t="str">
        <f>IF($V62&lt;&gt;"OK","",RANK(G62,$E62:$J62,0)+COUNTIF($E62:G62,G62)-1)</f>
        <v/>
      </c>
      <c r="N62" t="str">
        <f>IF($V62&lt;&gt;"OK","",RANK(H62,$E62:$J62,0)+COUNTIF($E62:H62,H62)-1)</f>
        <v/>
      </c>
      <c r="O62" t="str">
        <f>IF($V62&lt;&gt;"OK","",RANK(I62,$E62:$J62,0)+COUNTIF($E62:I62,I62)-1)</f>
        <v/>
      </c>
      <c r="P62" t="str">
        <f>IF($V62&lt;&gt;"OK","",RANK(J62,$E62:$J62,0)+COUNTIF($E62:J62,J62)-1)</f>
        <v/>
      </c>
      <c r="Q62" t="str">
        <f t="shared" si="19"/>
        <v/>
      </c>
      <c r="R62" t="str">
        <f t="shared" si="20"/>
        <v/>
      </c>
      <c r="S62" t="str">
        <f t="shared" si="21"/>
        <v/>
      </c>
      <c r="T62" t="str">
        <f t="shared" si="22"/>
        <v/>
      </c>
      <c r="U62" s="1" t="str">
        <f>IF($T62="","",IFERROR(VLOOKUP($T62,'Kunci dari RIASEC'!$A$4:$B$123,2,FALSE),"Rekomendasi belum tersedia"))</f>
        <v/>
      </c>
      <c r="V62" t="str">
        <f>IF('entri hasil dari isian siswa'!B62="","",'entri hasil dari isian siswa'!HY62)</f>
        <v/>
      </c>
      <c r="W62" t="str">
        <f>IF($B62="","",SUM('entri hasil dari isian siswa'!E62:O62))</f>
        <v/>
      </c>
      <c r="X62" t="str">
        <f>IF($B62="","",SUM('entri hasil dari isian siswa'!P62:Z62))</f>
        <v/>
      </c>
      <c r="Y62" t="str">
        <f>IF($B62="","",SUM('entri hasil dari isian siswa'!AA62:AK62))</f>
        <v/>
      </c>
      <c r="Z62" t="str">
        <f>IF($B62="","",SUM('entri hasil dari isian siswa'!AL62:AV62))</f>
        <v/>
      </c>
      <c r="AA62" t="str">
        <f>IF($B62="","",SUM('entri hasil dari isian siswa'!AW62:BG62))</f>
        <v/>
      </c>
      <c r="AB62" t="str">
        <f>IF($B62="","",SUM('entri hasil dari isian siswa'!BH62:BR62))</f>
        <v/>
      </c>
      <c r="AC62" t="str">
        <f>IF($B62="","",SUM('entri hasil dari isian siswa'!BS62:CC62))</f>
        <v/>
      </c>
      <c r="AD62" t="str">
        <f>IF($B62="","",SUM('entri hasil dari isian siswa'!CD62:CN62))</f>
        <v/>
      </c>
      <c r="AE62" t="str">
        <f>IF($B62="","",SUM('entri hasil dari isian siswa'!CO62:CY62))</f>
        <v/>
      </c>
      <c r="AF62" t="str">
        <f>IF($B62="","",SUM('entri hasil dari isian siswa'!CZ62:DJ62))</f>
        <v/>
      </c>
      <c r="AG62" t="str">
        <f>IF($B62="","",SUM('entri hasil dari isian siswa'!DK62:DU62))</f>
        <v/>
      </c>
      <c r="AH62" t="str">
        <f>IF($B62="","",SUM('entri hasil dari isian siswa'!DV62:EF62))</f>
        <v/>
      </c>
      <c r="AI62" t="str">
        <f>IF($B62="","",SUM('entri hasil dari isian siswa'!EG62:ET62))</f>
        <v/>
      </c>
      <c r="AJ62" t="str">
        <f>IF($B62="","",SUM('entri hasil dari isian siswa'!EU62:FH62))</f>
        <v/>
      </c>
      <c r="AK62" t="str">
        <f>IF($B62="","",SUM('entri hasil dari isian siswa'!FI62:FV62))</f>
        <v/>
      </c>
      <c r="AL62" t="str">
        <f>IF($B62="","",SUM('entri hasil dari isian siswa'!FW62:GJ62))</f>
        <v/>
      </c>
      <c r="AM62" t="str">
        <f>IF($B62="","",SUM('entri hasil dari isian siswa'!GK62:GX62))</f>
        <v/>
      </c>
      <c r="AN62" t="str">
        <f>IF($B62="","",SUM('entri hasil dari isian siswa'!GY62:HL62))</f>
        <v/>
      </c>
      <c r="AO62" t="str">
        <f>IF($B62="","",'entri hasil dari isian siswa'!HM62+'entri hasil dari isian siswa'!HS62)</f>
        <v/>
      </c>
      <c r="AP62" t="str">
        <f>IF($B62="","",'entri hasil dari isian siswa'!HN62+'entri hasil dari isian siswa'!HT62)</f>
        <v/>
      </c>
      <c r="AQ62" t="str">
        <f>IF($B62="","",'entri hasil dari isian siswa'!HO62+'entri hasil dari isian siswa'!HU62)</f>
        <v/>
      </c>
      <c r="AR62" t="str">
        <f>IF($B62="","",'entri hasil dari isian siswa'!HP62+'entri hasil dari isian siswa'!HV62)</f>
        <v/>
      </c>
      <c r="AS62" t="str">
        <f>IF($B62="","",'entri hasil dari isian siswa'!HQ62+'entri hasil dari isian siswa'!HW62)</f>
        <v/>
      </c>
      <c r="AT62" t="str">
        <f>IF($B62="","",'entri hasil dari isian siswa'!HR62+'entri hasil dari isian siswa'!HX62)</f>
        <v/>
      </c>
      <c r="AU62" s="69" t="str">
        <f t="shared" si="23"/>
        <v/>
      </c>
      <c r="AV62" s="69" t="str">
        <f>IF($AU62="","",IFERROR(VLOOKUP($AU62,'Kunci dari RIASEC'!$J$4:$K$33,2,FALSE),""))</f>
        <v/>
      </c>
    </row>
    <row r="63" spans="1:48">
      <c r="A63">
        <f t="shared" si="12"/>
        <v>59</v>
      </c>
      <c r="B63" t="str">
        <f>IF('entri hasil dari isian siswa'!B63="","",'entri hasil dari isian siswa'!B63)</f>
        <v/>
      </c>
      <c r="C63" t="str">
        <f>IF('entri hasil dari isian siswa'!C63="","",'entri hasil dari isian siswa'!C63)</f>
        <v/>
      </c>
      <c r="D63" t="str">
        <f>IF('entri hasil dari isian siswa'!D63="","",'entri hasil dari isian siswa'!D63)</f>
        <v/>
      </c>
      <c r="E63" t="str">
        <f t="shared" si="13"/>
        <v/>
      </c>
      <c r="F63" t="str">
        <f t="shared" si="14"/>
        <v/>
      </c>
      <c r="G63" t="str">
        <f t="shared" si="15"/>
        <v/>
      </c>
      <c r="H63" t="str">
        <f t="shared" si="16"/>
        <v/>
      </c>
      <c r="I63" t="str">
        <f t="shared" si="17"/>
        <v/>
      </c>
      <c r="J63" t="str">
        <f t="shared" si="18"/>
        <v/>
      </c>
      <c r="K63" t="str">
        <f>IF($V63&lt;&gt;"OK","",RANK(E63,$E63:$J63,0)+COUNTIF($E63:E63,E63)-1)</f>
        <v/>
      </c>
      <c r="L63" t="str">
        <f>IF($V63&lt;&gt;"OK","",RANK(F63,$E63:$J63,0)+COUNTIF($E63:F63,F63)-1)</f>
        <v/>
      </c>
      <c r="M63" t="str">
        <f>IF($V63&lt;&gt;"OK","",RANK(G63,$E63:$J63,0)+COUNTIF($E63:G63,G63)-1)</f>
        <v/>
      </c>
      <c r="N63" t="str">
        <f>IF($V63&lt;&gt;"OK","",RANK(H63,$E63:$J63,0)+COUNTIF($E63:H63,H63)-1)</f>
        <v/>
      </c>
      <c r="O63" t="str">
        <f>IF($V63&lt;&gt;"OK","",RANK(I63,$E63:$J63,0)+COUNTIF($E63:I63,I63)-1)</f>
        <v/>
      </c>
      <c r="P63" t="str">
        <f>IF($V63&lt;&gt;"OK","",RANK(J63,$E63:$J63,0)+COUNTIF($E63:J63,J63)-1)</f>
        <v/>
      </c>
      <c r="Q63" t="str">
        <f t="shared" si="19"/>
        <v/>
      </c>
      <c r="R63" t="str">
        <f t="shared" si="20"/>
        <v/>
      </c>
      <c r="S63" t="str">
        <f t="shared" si="21"/>
        <v/>
      </c>
      <c r="T63" t="str">
        <f t="shared" si="22"/>
        <v/>
      </c>
      <c r="U63" s="1" t="str">
        <f>IF($T63="","",IFERROR(VLOOKUP($T63,'Kunci dari RIASEC'!$A$4:$B$123,2,FALSE),"Rekomendasi belum tersedia"))</f>
        <v/>
      </c>
      <c r="V63" t="str">
        <f>IF('entri hasil dari isian siswa'!B63="","",'entri hasil dari isian siswa'!HY63)</f>
        <v/>
      </c>
      <c r="W63" t="str">
        <f>IF($B63="","",SUM('entri hasil dari isian siswa'!E63:O63))</f>
        <v/>
      </c>
      <c r="X63" t="str">
        <f>IF($B63="","",SUM('entri hasil dari isian siswa'!P63:Z63))</f>
        <v/>
      </c>
      <c r="Y63" t="str">
        <f>IF($B63="","",SUM('entri hasil dari isian siswa'!AA63:AK63))</f>
        <v/>
      </c>
      <c r="Z63" t="str">
        <f>IF($B63="","",SUM('entri hasil dari isian siswa'!AL63:AV63))</f>
        <v/>
      </c>
      <c r="AA63" t="str">
        <f>IF($B63="","",SUM('entri hasil dari isian siswa'!AW63:BG63))</f>
        <v/>
      </c>
      <c r="AB63" t="str">
        <f>IF($B63="","",SUM('entri hasil dari isian siswa'!BH63:BR63))</f>
        <v/>
      </c>
      <c r="AC63" t="str">
        <f>IF($B63="","",SUM('entri hasil dari isian siswa'!BS63:CC63))</f>
        <v/>
      </c>
      <c r="AD63" t="str">
        <f>IF($B63="","",SUM('entri hasil dari isian siswa'!CD63:CN63))</f>
        <v/>
      </c>
      <c r="AE63" t="str">
        <f>IF($B63="","",SUM('entri hasil dari isian siswa'!CO63:CY63))</f>
        <v/>
      </c>
      <c r="AF63" t="str">
        <f>IF($B63="","",SUM('entri hasil dari isian siswa'!CZ63:DJ63))</f>
        <v/>
      </c>
      <c r="AG63" t="str">
        <f>IF($B63="","",SUM('entri hasil dari isian siswa'!DK63:DU63))</f>
        <v/>
      </c>
      <c r="AH63" t="str">
        <f>IF($B63="","",SUM('entri hasil dari isian siswa'!DV63:EF63))</f>
        <v/>
      </c>
      <c r="AI63" t="str">
        <f>IF($B63="","",SUM('entri hasil dari isian siswa'!EG63:ET63))</f>
        <v/>
      </c>
      <c r="AJ63" t="str">
        <f>IF($B63="","",SUM('entri hasil dari isian siswa'!EU63:FH63))</f>
        <v/>
      </c>
      <c r="AK63" t="str">
        <f>IF($B63="","",SUM('entri hasil dari isian siswa'!FI63:FV63))</f>
        <v/>
      </c>
      <c r="AL63" t="str">
        <f>IF($B63="","",SUM('entri hasil dari isian siswa'!FW63:GJ63))</f>
        <v/>
      </c>
      <c r="AM63" t="str">
        <f>IF($B63="","",SUM('entri hasil dari isian siswa'!GK63:GX63))</f>
        <v/>
      </c>
      <c r="AN63" t="str">
        <f>IF($B63="","",SUM('entri hasil dari isian siswa'!GY63:HL63))</f>
        <v/>
      </c>
      <c r="AO63" t="str">
        <f>IF($B63="","",'entri hasil dari isian siswa'!HM63+'entri hasil dari isian siswa'!HS63)</f>
        <v/>
      </c>
      <c r="AP63" t="str">
        <f>IF($B63="","",'entri hasil dari isian siswa'!HN63+'entri hasil dari isian siswa'!HT63)</f>
        <v/>
      </c>
      <c r="AQ63" t="str">
        <f>IF($B63="","",'entri hasil dari isian siswa'!HO63+'entri hasil dari isian siswa'!HU63)</f>
        <v/>
      </c>
      <c r="AR63" t="str">
        <f>IF($B63="","",'entri hasil dari isian siswa'!HP63+'entri hasil dari isian siswa'!HV63)</f>
        <v/>
      </c>
      <c r="AS63" t="str">
        <f>IF($B63="","",'entri hasil dari isian siswa'!HQ63+'entri hasil dari isian siswa'!HW63)</f>
        <v/>
      </c>
      <c r="AT63" t="str">
        <f>IF($B63="","",'entri hasil dari isian siswa'!HR63+'entri hasil dari isian siswa'!HX63)</f>
        <v/>
      </c>
      <c r="AU63" s="69" t="str">
        <f t="shared" si="23"/>
        <v/>
      </c>
      <c r="AV63" s="69" t="str">
        <f>IF($AU63="","",IFERROR(VLOOKUP($AU63,'Kunci dari RIASEC'!$J$4:$K$33,2,FALSE),""))</f>
        <v/>
      </c>
    </row>
    <row r="64" spans="1:48">
      <c r="A64">
        <f t="shared" si="12"/>
        <v>60</v>
      </c>
      <c r="B64" t="str">
        <f>IF('entri hasil dari isian siswa'!B64="","",'entri hasil dari isian siswa'!B64)</f>
        <v/>
      </c>
      <c r="C64" t="str">
        <f>IF('entri hasil dari isian siswa'!C64="","",'entri hasil dari isian siswa'!C64)</f>
        <v/>
      </c>
      <c r="D64" t="str">
        <f>IF('entri hasil dari isian siswa'!D64="","",'entri hasil dari isian siswa'!D64)</f>
        <v/>
      </c>
      <c r="E64" t="str">
        <f t="shared" si="13"/>
        <v/>
      </c>
      <c r="F64" t="str">
        <f t="shared" si="14"/>
        <v/>
      </c>
      <c r="G64" t="str">
        <f t="shared" si="15"/>
        <v/>
      </c>
      <c r="H64" t="str">
        <f t="shared" si="16"/>
        <v/>
      </c>
      <c r="I64" t="str">
        <f t="shared" si="17"/>
        <v/>
      </c>
      <c r="J64" t="str">
        <f t="shared" si="18"/>
        <v/>
      </c>
      <c r="K64" t="str">
        <f>IF($V64&lt;&gt;"OK","",RANK(E64,$E64:$J64,0)+COUNTIF($E64:E64,E64)-1)</f>
        <v/>
      </c>
      <c r="L64" t="str">
        <f>IF($V64&lt;&gt;"OK","",RANK(F64,$E64:$J64,0)+COUNTIF($E64:F64,F64)-1)</f>
        <v/>
      </c>
      <c r="M64" t="str">
        <f>IF($V64&lt;&gt;"OK","",RANK(G64,$E64:$J64,0)+COUNTIF($E64:G64,G64)-1)</f>
        <v/>
      </c>
      <c r="N64" t="str">
        <f>IF($V64&lt;&gt;"OK","",RANK(H64,$E64:$J64,0)+COUNTIF($E64:H64,H64)-1)</f>
        <v/>
      </c>
      <c r="O64" t="str">
        <f>IF($V64&lt;&gt;"OK","",RANK(I64,$E64:$J64,0)+COUNTIF($E64:I64,I64)-1)</f>
        <v/>
      </c>
      <c r="P64" t="str">
        <f>IF($V64&lt;&gt;"OK","",RANK(J64,$E64:$J64,0)+COUNTIF($E64:J64,J64)-1)</f>
        <v/>
      </c>
      <c r="Q64" t="str">
        <f t="shared" si="19"/>
        <v/>
      </c>
      <c r="R64" t="str">
        <f t="shared" si="20"/>
        <v/>
      </c>
      <c r="S64" t="str">
        <f t="shared" si="21"/>
        <v/>
      </c>
      <c r="T64" t="str">
        <f t="shared" si="22"/>
        <v/>
      </c>
      <c r="U64" s="1" t="str">
        <f>IF($T64="","",IFERROR(VLOOKUP($T64,'Kunci dari RIASEC'!$A$4:$B$123,2,FALSE),"Rekomendasi belum tersedia"))</f>
        <v/>
      </c>
      <c r="V64" t="str">
        <f>IF('entri hasil dari isian siswa'!B64="","",'entri hasil dari isian siswa'!HY64)</f>
        <v/>
      </c>
      <c r="W64" t="str">
        <f>IF($B64="","",SUM('entri hasil dari isian siswa'!E64:O64))</f>
        <v/>
      </c>
      <c r="X64" t="str">
        <f>IF($B64="","",SUM('entri hasil dari isian siswa'!P64:Z64))</f>
        <v/>
      </c>
      <c r="Y64" t="str">
        <f>IF($B64="","",SUM('entri hasil dari isian siswa'!AA64:AK64))</f>
        <v/>
      </c>
      <c r="Z64" t="str">
        <f>IF($B64="","",SUM('entri hasil dari isian siswa'!AL64:AV64))</f>
        <v/>
      </c>
      <c r="AA64" t="str">
        <f>IF($B64="","",SUM('entri hasil dari isian siswa'!AW64:BG64))</f>
        <v/>
      </c>
      <c r="AB64" t="str">
        <f>IF($B64="","",SUM('entri hasil dari isian siswa'!BH64:BR64))</f>
        <v/>
      </c>
      <c r="AC64" t="str">
        <f>IF($B64="","",SUM('entri hasil dari isian siswa'!BS64:CC64))</f>
        <v/>
      </c>
      <c r="AD64" t="str">
        <f>IF($B64="","",SUM('entri hasil dari isian siswa'!CD64:CN64))</f>
        <v/>
      </c>
      <c r="AE64" t="str">
        <f>IF($B64="","",SUM('entri hasil dari isian siswa'!CO64:CY64))</f>
        <v/>
      </c>
      <c r="AF64" t="str">
        <f>IF($B64="","",SUM('entri hasil dari isian siswa'!CZ64:DJ64))</f>
        <v/>
      </c>
      <c r="AG64" t="str">
        <f>IF($B64="","",SUM('entri hasil dari isian siswa'!DK64:DU64))</f>
        <v/>
      </c>
      <c r="AH64" t="str">
        <f>IF($B64="","",SUM('entri hasil dari isian siswa'!DV64:EF64))</f>
        <v/>
      </c>
      <c r="AI64" t="str">
        <f>IF($B64="","",SUM('entri hasil dari isian siswa'!EG64:ET64))</f>
        <v/>
      </c>
      <c r="AJ64" t="str">
        <f>IF($B64="","",SUM('entri hasil dari isian siswa'!EU64:FH64))</f>
        <v/>
      </c>
      <c r="AK64" t="str">
        <f>IF($B64="","",SUM('entri hasil dari isian siswa'!FI64:FV64))</f>
        <v/>
      </c>
      <c r="AL64" t="str">
        <f>IF($B64="","",SUM('entri hasil dari isian siswa'!FW64:GJ64))</f>
        <v/>
      </c>
      <c r="AM64" t="str">
        <f>IF($B64="","",SUM('entri hasil dari isian siswa'!GK64:GX64))</f>
        <v/>
      </c>
      <c r="AN64" t="str">
        <f>IF($B64="","",SUM('entri hasil dari isian siswa'!GY64:HL64))</f>
        <v/>
      </c>
      <c r="AO64" t="str">
        <f>IF($B64="","",'entri hasil dari isian siswa'!HM64+'entri hasil dari isian siswa'!HS64)</f>
        <v/>
      </c>
      <c r="AP64" t="str">
        <f>IF($B64="","",'entri hasil dari isian siswa'!HN64+'entri hasil dari isian siswa'!HT64)</f>
        <v/>
      </c>
      <c r="AQ64" t="str">
        <f>IF($B64="","",'entri hasil dari isian siswa'!HO64+'entri hasil dari isian siswa'!HU64)</f>
        <v/>
      </c>
      <c r="AR64" t="str">
        <f>IF($B64="","",'entri hasil dari isian siswa'!HP64+'entri hasil dari isian siswa'!HV64)</f>
        <v/>
      </c>
      <c r="AS64" t="str">
        <f>IF($B64="","",'entri hasil dari isian siswa'!HQ64+'entri hasil dari isian siswa'!HW64)</f>
        <v/>
      </c>
      <c r="AT64" t="str">
        <f>IF($B64="","",'entri hasil dari isian siswa'!HR64+'entri hasil dari isian siswa'!HX64)</f>
        <v/>
      </c>
      <c r="AU64" s="69" t="str">
        <f t="shared" si="23"/>
        <v/>
      </c>
      <c r="AV64" s="69" t="str">
        <f>IF($AU64="","",IFERROR(VLOOKUP($AU64,'Kunci dari RIASEC'!$J$4:$K$33,2,FALSE),""))</f>
        <v/>
      </c>
    </row>
    <row r="65" spans="1:48">
      <c r="A65">
        <f t="shared" si="12"/>
        <v>61</v>
      </c>
      <c r="B65" t="str">
        <f>IF('entri hasil dari isian siswa'!B65="","",'entri hasil dari isian siswa'!B65)</f>
        <v/>
      </c>
      <c r="C65" t="str">
        <f>IF('entri hasil dari isian siswa'!C65="","",'entri hasil dari isian siswa'!C65)</f>
        <v/>
      </c>
      <c r="D65" t="str">
        <f>IF('entri hasil dari isian siswa'!D65="","",'entri hasil dari isian siswa'!D65)</f>
        <v/>
      </c>
      <c r="E65" t="str">
        <f t="shared" si="13"/>
        <v/>
      </c>
      <c r="F65" t="str">
        <f t="shared" si="14"/>
        <v/>
      </c>
      <c r="G65" t="str">
        <f t="shared" si="15"/>
        <v/>
      </c>
      <c r="H65" t="str">
        <f t="shared" si="16"/>
        <v/>
      </c>
      <c r="I65" t="str">
        <f t="shared" si="17"/>
        <v/>
      </c>
      <c r="J65" t="str">
        <f t="shared" si="18"/>
        <v/>
      </c>
      <c r="K65" t="str">
        <f>IF($V65&lt;&gt;"OK","",RANK(E65,$E65:$J65,0)+COUNTIF($E65:E65,E65)-1)</f>
        <v/>
      </c>
      <c r="L65" t="str">
        <f>IF($V65&lt;&gt;"OK","",RANK(F65,$E65:$J65,0)+COUNTIF($E65:F65,F65)-1)</f>
        <v/>
      </c>
      <c r="M65" t="str">
        <f>IF($V65&lt;&gt;"OK","",RANK(G65,$E65:$J65,0)+COUNTIF($E65:G65,G65)-1)</f>
        <v/>
      </c>
      <c r="N65" t="str">
        <f>IF($V65&lt;&gt;"OK","",RANK(H65,$E65:$J65,0)+COUNTIF($E65:H65,H65)-1)</f>
        <v/>
      </c>
      <c r="O65" t="str">
        <f>IF($V65&lt;&gt;"OK","",RANK(I65,$E65:$J65,0)+COUNTIF($E65:I65,I65)-1)</f>
        <v/>
      </c>
      <c r="P65" t="str">
        <f>IF($V65&lt;&gt;"OK","",RANK(J65,$E65:$J65,0)+COUNTIF($E65:J65,J65)-1)</f>
        <v/>
      </c>
      <c r="Q65" t="str">
        <f t="shared" si="19"/>
        <v/>
      </c>
      <c r="R65" t="str">
        <f t="shared" si="20"/>
        <v/>
      </c>
      <c r="S65" t="str">
        <f t="shared" si="21"/>
        <v/>
      </c>
      <c r="T65" t="str">
        <f t="shared" si="22"/>
        <v/>
      </c>
      <c r="U65" s="1" t="str">
        <f>IF($T65="","",IFERROR(VLOOKUP($T65,'Kunci dari RIASEC'!$A$4:$B$123,2,FALSE),"Rekomendasi belum tersedia"))</f>
        <v/>
      </c>
      <c r="V65" t="str">
        <f>IF('entri hasil dari isian siswa'!B65="","",'entri hasil dari isian siswa'!HY65)</f>
        <v/>
      </c>
      <c r="W65" t="str">
        <f>IF($B65="","",SUM('entri hasil dari isian siswa'!E65:O65))</f>
        <v/>
      </c>
      <c r="X65" t="str">
        <f>IF($B65="","",SUM('entri hasil dari isian siswa'!P65:Z65))</f>
        <v/>
      </c>
      <c r="Y65" t="str">
        <f>IF($B65="","",SUM('entri hasil dari isian siswa'!AA65:AK65))</f>
        <v/>
      </c>
      <c r="Z65" t="str">
        <f>IF($B65="","",SUM('entri hasil dari isian siswa'!AL65:AV65))</f>
        <v/>
      </c>
      <c r="AA65" t="str">
        <f>IF($B65="","",SUM('entri hasil dari isian siswa'!AW65:BG65))</f>
        <v/>
      </c>
      <c r="AB65" t="str">
        <f>IF($B65="","",SUM('entri hasil dari isian siswa'!BH65:BR65))</f>
        <v/>
      </c>
      <c r="AC65" t="str">
        <f>IF($B65="","",SUM('entri hasil dari isian siswa'!BS65:CC65))</f>
        <v/>
      </c>
      <c r="AD65" t="str">
        <f>IF($B65="","",SUM('entri hasil dari isian siswa'!CD65:CN65))</f>
        <v/>
      </c>
      <c r="AE65" t="str">
        <f>IF($B65="","",SUM('entri hasil dari isian siswa'!CO65:CY65))</f>
        <v/>
      </c>
      <c r="AF65" t="str">
        <f>IF($B65="","",SUM('entri hasil dari isian siswa'!CZ65:DJ65))</f>
        <v/>
      </c>
      <c r="AG65" t="str">
        <f>IF($B65="","",SUM('entri hasil dari isian siswa'!DK65:DU65))</f>
        <v/>
      </c>
      <c r="AH65" t="str">
        <f>IF($B65="","",SUM('entri hasil dari isian siswa'!DV65:EF65))</f>
        <v/>
      </c>
      <c r="AI65" t="str">
        <f>IF($B65="","",SUM('entri hasil dari isian siswa'!EG65:ET65))</f>
        <v/>
      </c>
      <c r="AJ65" t="str">
        <f>IF($B65="","",SUM('entri hasil dari isian siswa'!EU65:FH65))</f>
        <v/>
      </c>
      <c r="AK65" t="str">
        <f>IF($B65="","",SUM('entri hasil dari isian siswa'!FI65:FV65))</f>
        <v/>
      </c>
      <c r="AL65" t="str">
        <f>IF($B65="","",SUM('entri hasil dari isian siswa'!FW65:GJ65))</f>
        <v/>
      </c>
      <c r="AM65" t="str">
        <f>IF($B65="","",SUM('entri hasil dari isian siswa'!GK65:GX65))</f>
        <v/>
      </c>
      <c r="AN65" t="str">
        <f>IF($B65="","",SUM('entri hasil dari isian siswa'!GY65:HL65))</f>
        <v/>
      </c>
      <c r="AO65" t="str">
        <f>IF($B65="","",'entri hasil dari isian siswa'!HM65+'entri hasil dari isian siswa'!HS65)</f>
        <v/>
      </c>
      <c r="AP65" t="str">
        <f>IF($B65="","",'entri hasil dari isian siswa'!HN65+'entri hasil dari isian siswa'!HT65)</f>
        <v/>
      </c>
      <c r="AQ65" t="str">
        <f>IF($B65="","",'entri hasil dari isian siswa'!HO65+'entri hasil dari isian siswa'!HU65)</f>
        <v/>
      </c>
      <c r="AR65" t="str">
        <f>IF($B65="","",'entri hasil dari isian siswa'!HP65+'entri hasil dari isian siswa'!HV65)</f>
        <v/>
      </c>
      <c r="AS65" t="str">
        <f>IF($B65="","",'entri hasil dari isian siswa'!HQ65+'entri hasil dari isian siswa'!HW65)</f>
        <v/>
      </c>
      <c r="AT65" t="str">
        <f>IF($B65="","",'entri hasil dari isian siswa'!HR65+'entri hasil dari isian siswa'!HX65)</f>
        <v/>
      </c>
      <c r="AU65" s="69" t="str">
        <f t="shared" si="23"/>
        <v/>
      </c>
      <c r="AV65" s="69" t="str">
        <f>IF($AU65="","",IFERROR(VLOOKUP($AU65,'Kunci dari RIASEC'!$J$4:$K$33,2,FALSE),""))</f>
        <v/>
      </c>
    </row>
    <row r="66" spans="1:48">
      <c r="A66">
        <f t="shared" si="12"/>
        <v>62</v>
      </c>
      <c r="B66" t="str">
        <f>IF('entri hasil dari isian siswa'!B66="","",'entri hasil dari isian siswa'!B66)</f>
        <v/>
      </c>
      <c r="C66" t="str">
        <f>IF('entri hasil dari isian siswa'!C66="","",'entri hasil dari isian siswa'!C66)</f>
        <v/>
      </c>
      <c r="D66" t="str">
        <f>IF('entri hasil dari isian siswa'!D66="","",'entri hasil dari isian siswa'!D66)</f>
        <v/>
      </c>
      <c r="E66" t="str">
        <f t="shared" si="13"/>
        <v/>
      </c>
      <c r="F66" t="str">
        <f t="shared" si="14"/>
        <v/>
      </c>
      <c r="G66" t="str">
        <f t="shared" si="15"/>
        <v/>
      </c>
      <c r="H66" t="str">
        <f t="shared" si="16"/>
        <v/>
      </c>
      <c r="I66" t="str">
        <f t="shared" si="17"/>
        <v/>
      </c>
      <c r="J66" t="str">
        <f t="shared" si="18"/>
        <v/>
      </c>
      <c r="K66" t="str">
        <f>IF($V66&lt;&gt;"OK","",RANK(E66,$E66:$J66,0)+COUNTIF($E66:E66,E66)-1)</f>
        <v/>
      </c>
      <c r="L66" t="str">
        <f>IF($V66&lt;&gt;"OK","",RANK(F66,$E66:$J66,0)+COUNTIF($E66:F66,F66)-1)</f>
        <v/>
      </c>
      <c r="M66" t="str">
        <f>IF($V66&lt;&gt;"OK","",RANK(G66,$E66:$J66,0)+COUNTIF($E66:G66,G66)-1)</f>
        <v/>
      </c>
      <c r="N66" t="str">
        <f>IF($V66&lt;&gt;"OK","",RANK(H66,$E66:$J66,0)+COUNTIF($E66:H66,H66)-1)</f>
        <v/>
      </c>
      <c r="O66" t="str">
        <f>IF($V66&lt;&gt;"OK","",RANK(I66,$E66:$J66,0)+COUNTIF($E66:I66,I66)-1)</f>
        <v/>
      </c>
      <c r="P66" t="str">
        <f>IF($V66&lt;&gt;"OK","",RANK(J66,$E66:$J66,0)+COUNTIF($E66:J66,J66)-1)</f>
        <v/>
      </c>
      <c r="Q66" t="str">
        <f t="shared" si="19"/>
        <v/>
      </c>
      <c r="R66" t="str">
        <f t="shared" si="20"/>
        <v/>
      </c>
      <c r="S66" t="str">
        <f t="shared" si="21"/>
        <v/>
      </c>
      <c r="T66" t="str">
        <f t="shared" si="22"/>
        <v/>
      </c>
      <c r="U66" s="1" t="str">
        <f>IF($T66="","",IFERROR(VLOOKUP($T66,'Kunci dari RIASEC'!$A$4:$B$123,2,FALSE),"Rekomendasi belum tersedia"))</f>
        <v/>
      </c>
      <c r="V66" t="str">
        <f>IF('entri hasil dari isian siswa'!B66="","",'entri hasil dari isian siswa'!HY66)</f>
        <v/>
      </c>
      <c r="W66" t="str">
        <f>IF($B66="","",SUM('entri hasil dari isian siswa'!E66:O66))</f>
        <v/>
      </c>
      <c r="X66" t="str">
        <f>IF($B66="","",SUM('entri hasil dari isian siswa'!P66:Z66))</f>
        <v/>
      </c>
      <c r="Y66" t="str">
        <f>IF($B66="","",SUM('entri hasil dari isian siswa'!AA66:AK66))</f>
        <v/>
      </c>
      <c r="Z66" t="str">
        <f>IF($B66="","",SUM('entri hasil dari isian siswa'!AL66:AV66))</f>
        <v/>
      </c>
      <c r="AA66" t="str">
        <f>IF($B66="","",SUM('entri hasil dari isian siswa'!AW66:BG66))</f>
        <v/>
      </c>
      <c r="AB66" t="str">
        <f>IF($B66="","",SUM('entri hasil dari isian siswa'!BH66:BR66))</f>
        <v/>
      </c>
      <c r="AC66" t="str">
        <f>IF($B66="","",SUM('entri hasil dari isian siswa'!BS66:CC66))</f>
        <v/>
      </c>
      <c r="AD66" t="str">
        <f>IF($B66="","",SUM('entri hasil dari isian siswa'!CD66:CN66))</f>
        <v/>
      </c>
      <c r="AE66" t="str">
        <f>IF($B66="","",SUM('entri hasil dari isian siswa'!CO66:CY66))</f>
        <v/>
      </c>
      <c r="AF66" t="str">
        <f>IF($B66="","",SUM('entri hasil dari isian siswa'!CZ66:DJ66))</f>
        <v/>
      </c>
      <c r="AG66" t="str">
        <f>IF($B66="","",SUM('entri hasil dari isian siswa'!DK66:DU66))</f>
        <v/>
      </c>
      <c r="AH66" t="str">
        <f>IF($B66="","",SUM('entri hasil dari isian siswa'!DV66:EF66))</f>
        <v/>
      </c>
      <c r="AI66" t="str">
        <f>IF($B66="","",SUM('entri hasil dari isian siswa'!EG66:ET66))</f>
        <v/>
      </c>
      <c r="AJ66" t="str">
        <f>IF($B66="","",SUM('entri hasil dari isian siswa'!EU66:FH66))</f>
        <v/>
      </c>
      <c r="AK66" t="str">
        <f>IF($B66="","",SUM('entri hasil dari isian siswa'!FI66:FV66))</f>
        <v/>
      </c>
      <c r="AL66" t="str">
        <f>IF($B66="","",SUM('entri hasil dari isian siswa'!FW66:GJ66))</f>
        <v/>
      </c>
      <c r="AM66" t="str">
        <f>IF($B66="","",SUM('entri hasil dari isian siswa'!GK66:GX66))</f>
        <v/>
      </c>
      <c r="AN66" t="str">
        <f>IF($B66="","",SUM('entri hasil dari isian siswa'!GY66:HL66))</f>
        <v/>
      </c>
      <c r="AO66" t="str">
        <f>IF($B66="","",'entri hasil dari isian siswa'!HM66+'entri hasil dari isian siswa'!HS66)</f>
        <v/>
      </c>
      <c r="AP66" t="str">
        <f>IF($B66="","",'entri hasil dari isian siswa'!HN66+'entri hasil dari isian siswa'!HT66)</f>
        <v/>
      </c>
      <c r="AQ66" t="str">
        <f>IF($B66="","",'entri hasil dari isian siswa'!HO66+'entri hasil dari isian siswa'!HU66)</f>
        <v/>
      </c>
      <c r="AR66" t="str">
        <f>IF($B66="","",'entri hasil dari isian siswa'!HP66+'entri hasil dari isian siswa'!HV66)</f>
        <v/>
      </c>
      <c r="AS66" t="str">
        <f>IF($B66="","",'entri hasil dari isian siswa'!HQ66+'entri hasil dari isian siswa'!HW66)</f>
        <v/>
      </c>
      <c r="AT66" t="str">
        <f>IF($B66="","",'entri hasil dari isian siswa'!HR66+'entri hasil dari isian siswa'!HX66)</f>
        <v/>
      </c>
      <c r="AU66" s="69" t="str">
        <f t="shared" si="23"/>
        <v/>
      </c>
      <c r="AV66" s="69" t="str">
        <f>IF($AU66="","",IFERROR(VLOOKUP($AU66,'Kunci dari RIASEC'!$J$4:$K$33,2,FALSE),""))</f>
        <v/>
      </c>
    </row>
    <row r="67" spans="1:48">
      <c r="A67">
        <f t="shared" si="12"/>
        <v>63</v>
      </c>
      <c r="B67" t="str">
        <f>IF('entri hasil dari isian siswa'!B67="","",'entri hasil dari isian siswa'!B67)</f>
        <v/>
      </c>
      <c r="C67" t="str">
        <f>IF('entri hasil dari isian siswa'!C67="","",'entri hasil dari isian siswa'!C67)</f>
        <v/>
      </c>
      <c r="D67" t="str">
        <f>IF('entri hasil dari isian siswa'!D67="","",'entri hasil dari isian siswa'!D67)</f>
        <v/>
      </c>
      <c r="E67" t="str">
        <f t="shared" si="13"/>
        <v/>
      </c>
      <c r="F67" t="str">
        <f t="shared" si="14"/>
        <v/>
      </c>
      <c r="G67" t="str">
        <f t="shared" si="15"/>
        <v/>
      </c>
      <c r="H67" t="str">
        <f t="shared" si="16"/>
        <v/>
      </c>
      <c r="I67" t="str">
        <f t="shared" si="17"/>
        <v/>
      </c>
      <c r="J67" t="str">
        <f t="shared" si="18"/>
        <v/>
      </c>
      <c r="K67" t="str">
        <f>IF($V67&lt;&gt;"OK","",RANK(E67,$E67:$J67,0)+COUNTIF($E67:E67,E67)-1)</f>
        <v/>
      </c>
      <c r="L67" t="str">
        <f>IF($V67&lt;&gt;"OK","",RANK(F67,$E67:$J67,0)+COUNTIF($E67:F67,F67)-1)</f>
        <v/>
      </c>
      <c r="M67" t="str">
        <f>IF($V67&lt;&gt;"OK","",RANK(G67,$E67:$J67,0)+COUNTIF($E67:G67,G67)-1)</f>
        <v/>
      </c>
      <c r="N67" t="str">
        <f>IF($V67&lt;&gt;"OK","",RANK(H67,$E67:$J67,0)+COUNTIF($E67:H67,H67)-1)</f>
        <v/>
      </c>
      <c r="O67" t="str">
        <f>IF($V67&lt;&gt;"OK","",RANK(I67,$E67:$J67,0)+COUNTIF($E67:I67,I67)-1)</f>
        <v/>
      </c>
      <c r="P67" t="str">
        <f>IF($V67&lt;&gt;"OK","",RANK(J67,$E67:$J67,0)+COUNTIF($E67:J67,J67)-1)</f>
        <v/>
      </c>
      <c r="Q67" t="str">
        <f t="shared" si="19"/>
        <v/>
      </c>
      <c r="R67" t="str">
        <f t="shared" si="20"/>
        <v/>
      </c>
      <c r="S67" t="str">
        <f t="shared" si="21"/>
        <v/>
      </c>
      <c r="T67" t="str">
        <f t="shared" si="22"/>
        <v/>
      </c>
      <c r="U67" s="1" t="str">
        <f>IF($T67="","",IFERROR(VLOOKUP($T67,'Kunci dari RIASEC'!$A$4:$B$123,2,FALSE),"Rekomendasi belum tersedia"))</f>
        <v/>
      </c>
      <c r="V67" t="str">
        <f>IF('entri hasil dari isian siswa'!B67="","",'entri hasil dari isian siswa'!HY67)</f>
        <v/>
      </c>
      <c r="W67" t="str">
        <f>IF($B67="","",SUM('entri hasil dari isian siswa'!E67:O67))</f>
        <v/>
      </c>
      <c r="X67" t="str">
        <f>IF($B67="","",SUM('entri hasil dari isian siswa'!P67:Z67))</f>
        <v/>
      </c>
      <c r="Y67" t="str">
        <f>IF($B67="","",SUM('entri hasil dari isian siswa'!AA67:AK67))</f>
        <v/>
      </c>
      <c r="Z67" t="str">
        <f>IF($B67="","",SUM('entri hasil dari isian siswa'!AL67:AV67))</f>
        <v/>
      </c>
      <c r="AA67" t="str">
        <f>IF($B67="","",SUM('entri hasil dari isian siswa'!AW67:BG67))</f>
        <v/>
      </c>
      <c r="AB67" t="str">
        <f>IF($B67="","",SUM('entri hasil dari isian siswa'!BH67:BR67))</f>
        <v/>
      </c>
      <c r="AC67" t="str">
        <f>IF($B67="","",SUM('entri hasil dari isian siswa'!BS67:CC67))</f>
        <v/>
      </c>
      <c r="AD67" t="str">
        <f>IF($B67="","",SUM('entri hasil dari isian siswa'!CD67:CN67))</f>
        <v/>
      </c>
      <c r="AE67" t="str">
        <f>IF($B67="","",SUM('entri hasil dari isian siswa'!CO67:CY67))</f>
        <v/>
      </c>
      <c r="AF67" t="str">
        <f>IF($B67="","",SUM('entri hasil dari isian siswa'!CZ67:DJ67))</f>
        <v/>
      </c>
      <c r="AG67" t="str">
        <f>IF($B67="","",SUM('entri hasil dari isian siswa'!DK67:DU67))</f>
        <v/>
      </c>
      <c r="AH67" t="str">
        <f>IF($B67="","",SUM('entri hasil dari isian siswa'!DV67:EF67))</f>
        <v/>
      </c>
      <c r="AI67" t="str">
        <f>IF($B67="","",SUM('entri hasil dari isian siswa'!EG67:ET67))</f>
        <v/>
      </c>
      <c r="AJ67" t="str">
        <f>IF($B67="","",SUM('entri hasil dari isian siswa'!EU67:FH67))</f>
        <v/>
      </c>
      <c r="AK67" t="str">
        <f>IF($B67="","",SUM('entri hasil dari isian siswa'!FI67:FV67))</f>
        <v/>
      </c>
      <c r="AL67" t="str">
        <f>IF($B67="","",SUM('entri hasil dari isian siswa'!FW67:GJ67))</f>
        <v/>
      </c>
      <c r="AM67" t="str">
        <f>IF($B67="","",SUM('entri hasil dari isian siswa'!GK67:GX67))</f>
        <v/>
      </c>
      <c r="AN67" t="str">
        <f>IF($B67="","",SUM('entri hasil dari isian siswa'!GY67:HL67))</f>
        <v/>
      </c>
      <c r="AO67" t="str">
        <f>IF($B67="","",'entri hasil dari isian siswa'!HM67+'entri hasil dari isian siswa'!HS67)</f>
        <v/>
      </c>
      <c r="AP67" t="str">
        <f>IF($B67="","",'entri hasil dari isian siswa'!HN67+'entri hasil dari isian siswa'!HT67)</f>
        <v/>
      </c>
      <c r="AQ67" t="str">
        <f>IF($B67="","",'entri hasil dari isian siswa'!HO67+'entri hasil dari isian siswa'!HU67)</f>
        <v/>
      </c>
      <c r="AR67" t="str">
        <f>IF($B67="","",'entri hasil dari isian siswa'!HP67+'entri hasil dari isian siswa'!HV67)</f>
        <v/>
      </c>
      <c r="AS67" t="str">
        <f>IF($B67="","",'entri hasil dari isian siswa'!HQ67+'entri hasil dari isian siswa'!HW67)</f>
        <v/>
      </c>
      <c r="AT67" t="str">
        <f>IF($B67="","",'entri hasil dari isian siswa'!HR67+'entri hasil dari isian siswa'!HX67)</f>
        <v/>
      </c>
      <c r="AU67" s="69" t="str">
        <f t="shared" si="23"/>
        <v/>
      </c>
      <c r="AV67" s="69" t="str">
        <f>IF($AU67="","",IFERROR(VLOOKUP($AU67,'Kunci dari RIASEC'!$J$4:$K$33,2,FALSE),""))</f>
        <v/>
      </c>
    </row>
    <row r="68" spans="1:48">
      <c r="A68">
        <f t="shared" si="12"/>
        <v>64</v>
      </c>
      <c r="B68" t="str">
        <f>IF('entri hasil dari isian siswa'!B68="","",'entri hasil dari isian siswa'!B68)</f>
        <v/>
      </c>
      <c r="C68" t="str">
        <f>IF('entri hasil dari isian siswa'!C68="","",'entri hasil dari isian siswa'!C68)</f>
        <v/>
      </c>
      <c r="D68" t="str">
        <f>IF('entri hasil dari isian siswa'!D68="","",'entri hasil dari isian siswa'!D68)</f>
        <v/>
      </c>
      <c r="E68" t="str">
        <f t="shared" si="13"/>
        <v/>
      </c>
      <c r="F68" t="str">
        <f t="shared" si="14"/>
        <v/>
      </c>
      <c r="G68" t="str">
        <f t="shared" si="15"/>
        <v/>
      </c>
      <c r="H68" t="str">
        <f t="shared" si="16"/>
        <v/>
      </c>
      <c r="I68" t="str">
        <f t="shared" si="17"/>
        <v/>
      </c>
      <c r="J68" t="str">
        <f t="shared" si="18"/>
        <v/>
      </c>
      <c r="K68" t="str">
        <f>IF($V68&lt;&gt;"OK","",RANK(E68,$E68:$J68,0)+COUNTIF($E68:E68,E68)-1)</f>
        <v/>
      </c>
      <c r="L68" t="str">
        <f>IF($V68&lt;&gt;"OK","",RANK(F68,$E68:$J68,0)+COUNTIF($E68:F68,F68)-1)</f>
        <v/>
      </c>
      <c r="M68" t="str">
        <f>IF($V68&lt;&gt;"OK","",RANK(G68,$E68:$J68,0)+COUNTIF($E68:G68,G68)-1)</f>
        <v/>
      </c>
      <c r="N68" t="str">
        <f>IF($V68&lt;&gt;"OK","",RANK(H68,$E68:$J68,0)+COUNTIF($E68:H68,H68)-1)</f>
        <v/>
      </c>
      <c r="O68" t="str">
        <f>IF($V68&lt;&gt;"OK","",RANK(I68,$E68:$J68,0)+COUNTIF($E68:I68,I68)-1)</f>
        <v/>
      </c>
      <c r="P68" t="str">
        <f>IF($V68&lt;&gt;"OK","",RANK(J68,$E68:$J68,0)+COUNTIF($E68:J68,J68)-1)</f>
        <v/>
      </c>
      <c r="Q68" t="str">
        <f t="shared" si="19"/>
        <v/>
      </c>
      <c r="R68" t="str">
        <f t="shared" si="20"/>
        <v/>
      </c>
      <c r="S68" t="str">
        <f t="shared" si="21"/>
        <v/>
      </c>
      <c r="T68" t="str">
        <f t="shared" si="22"/>
        <v/>
      </c>
      <c r="U68" s="1" t="str">
        <f>IF($T68="","",IFERROR(VLOOKUP($T68,'Kunci dari RIASEC'!$A$4:$B$123,2,FALSE),"Rekomendasi belum tersedia"))</f>
        <v/>
      </c>
      <c r="V68" t="str">
        <f>IF('entri hasil dari isian siswa'!B68="","",'entri hasil dari isian siswa'!HY68)</f>
        <v/>
      </c>
      <c r="W68" t="str">
        <f>IF($B68="","",SUM('entri hasil dari isian siswa'!E68:O68))</f>
        <v/>
      </c>
      <c r="X68" t="str">
        <f>IF($B68="","",SUM('entri hasil dari isian siswa'!P68:Z68))</f>
        <v/>
      </c>
      <c r="Y68" t="str">
        <f>IF($B68="","",SUM('entri hasil dari isian siswa'!AA68:AK68))</f>
        <v/>
      </c>
      <c r="Z68" t="str">
        <f>IF($B68="","",SUM('entri hasil dari isian siswa'!AL68:AV68))</f>
        <v/>
      </c>
      <c r="AA68" t="str">
        <f>IF($B68="","",SUM('entri hasil dari isian siswa'!AW68:BG68))</f>
        <v/>
      </c>
      <c r="AB68" t="str">
        <f>IF($B68="","",SUM('entri hasil dari isian siswa'!BH68:BR68))</f>
        <v/>
      </c>
      <c r="AC68" t="str">
        <f>IF($B68="","",SUM('entri hasil dari isian siswa'!BS68:CC68))</f>
        <v/>
      </c>
      <c r="AD68" t="str">
        <f>IF($B68="","",SUM('entri hasil dari isian siswa'!CD68:CN68))</f>
        <v/>
      </c>
      <c r="AE68" t="str">
        <f>IF($B68="","",SUM('entri hasil dari isian siswa'!CO68:CY68))</f>
        <v/>
      </c>
      <c r="AF68" t="str">
        <f>IF($B68="","",SUM('entri hasil dari isian siswa'!CZ68:DJ68))</f>
        <v/>
      </c>
      <c r="AG68" t="str">
        <f>IF($B68="","",SUM('entri hasil dari isian siswa'!DK68:DU68))</f>
        <v/>
      </c>
      <c r="AH68" t="str">
        <f>IF($B68="","",SUM('entri hasil dari isian siswa'!DV68:EF68))</f>
        <v/>
      </c>
      <c r="AI68" t="str">
        <f>IF($B68="","",SUM('entri hasil dari isian siswa'!EG68:ET68))</f>
        <v/>
      </c>
      <c r="AJ68" t="str">
        <f>IF($B68="","",SUM('entri hasil dari isian siswa'!EU68:FH68))</f>
        <v/>
      </c>
      <c r="AK68" t="str">
        <f>IF($B68="","",SUM('entri hasil dari isian siswa'!FI68:FV68))</f>
        <v/>
      </c>
      <c r="AL68" t="str">
        <f>IF($B68="","",SUM('entri hasil dari isian siswa'!FW68:GJ68))</f>
        <v/>
      </c>
      <c r="AM68" t="str">
        <f>IF($B68="","",SUM('entri hasil dari isian siswa'!GK68:GX68))</f>
        <v/>
      </c>
      <c r="AN68" t="str">
        <f>IF($B68="","",SUM('entri hasil dari isian siswa'!GY68:HL68))</f>
        <v/>
      </c>
      <c r="AO68" t="str">
        <f>IF($B68="","",'entri hasil dari isian siswa'!HM68+'entri hasil dari isian siswa'!HS68)</f>
        <v/>
      </c>
      <c r="AP68" t="str">
        <f>IF($B68="","",'entri hasil dari isian siswa'!HN68+'entri hasil dari isian siswa'!HT68)</f>
        <v/>
      </c>
      <c r="AQ68" t="str">
        <f>IF($B68="","",'entri hasil dari isian siswa'!HO68+'entri hasil dari isian siswa'!HU68)</f>
        <v/>
      </c>
      <c r="AR68" t="str">
        <f>IF($B68="","",'entri hasil dari isian siswa'!HP68+'entri hasil dari isian siswa'!HV68)</f>
        <v/>
      </c>
      <c r="AS68" t="str">
        <f>IF($B68="","",'entri hasil dari isian siswa'!HQ68+'entri hasil dari isian siswa'!HW68)</f>
        <v/>
      </c>
      <c r="AT68" t="str">
        <f>IF($B68="","",'entri hasil dari isian siswa'!HR68+'entri hasil dari isian siswa'!HX68)</f>
        <v/>
      </c>
      <c r="AU68" s="69" t="str">
        <f t="shared" si="23"/>
        <v/>
      </c>
      <c r="AV68" s="69" t="str">
        <f>IF($AU68="","",IFERROR(VLOOKUP($AU68,'Kunci dari RIASEC'!$J$4:$K$33,2,FALSE),""))</f>
        <v/>
      </c>
    </row>
    <row r="69" spans="1:48">
      <c r="A69">
        <f t="shared" ref="A69:A100" si="24">ROW()-4</f>
        <v>65</v>
      </c>
      <c r="B69" t="str">
        <f>IF('entri hasil dari isian siswa'!B69="","",'entri hasil dari isian siswa'!B69)</f>
        <v/>
      </c>
      <c r="C69" t="str">
        <f>IF('entri hasil dari isian siswa'!C69="","",'entri hasil dari isian siswa'!C69)</f>
        <v/>
      </c>
      <c r="D69" t="str">
        <f>IF('entri hasil dari isian siswa'!D69="","",'entri hasil dari isian siswa'!D69)</f>
        <v/>
      </c>
      <c r="E69" t="str">
        <f t="shared" ref="E69:E100" si="25">IF($B69="","",W69+AC69+AI69+AO69)</f>
        <v/>
      </c>
      <c r="F69" t="str">
        <f t="shared" ref="F69:F100" si="26">IF($B69="","",X69+AD69+AJ69+AP69)</f>
        <v/>
      </c>
      <c r="G69" t="str">
        <f t="shared" ref="G69:G100" si="27">IF($B69="","",Y69+AE69+AK69+AQ69)</f>
        <v/>
      </c>
      <c r="H69" t="str">
        <f t="shared" ref="H69:H100" si="28">IF($B69="","",Z69+AF69+AL69+AR69)</f>
        <v/>
      </c>
      <c r="I69" t="str">
        <f t="shared" ref="I69:I100" si="29">IF($B69="","",AA69+AG69+AM69+AS69)</f>
        <v/>
      </c>
      <c r="J69" t="str">
        <f t="shared" ref="J69:J100" si="30">IF($B69="","",AB69+AH69+AN69+AT69)</f>
        <v/>
      </c>
      <c r="K69" t="str">
        <f>IF($V69&lt;&gt;"OK","",RANK(E69,$E69:$J69,0)+COUNTIF($E69:E69,E69)-1)</f>
        <v/>
      </c>
      <c r="L69" t="str">
        <f>IF($V69&lt;&gt;"OK","",RANK(F69,$E69:$J69,0)+COUNTIF($E69:F69,F69)-1)</f>
        <v/>
      </c>
      <c r="M69" t="str">
        <f>IF($V69&lt;&gt;"OK","",RANK(G69,$E69:$J69,0)+COUNTIF($E69:G69,G69)-1)</f>
        <v/>
      </c>
      <c r="N69" t="str">
        <f>IF($V69&lt;&gt;"OK","",RANK(H69,$E69:$J69,0)+COUNTIF($E69:H69,H69)-1)</f>
        <v/>
      </c>
      <c r="O69" t="str">
        <f>IF($V69&lt;&gt;"OK","",RANK(I69,$E69:$J69,0)+COUNTIF($E69:I69,I69)-1)</f>
        <v/>
      </c>
      <c r="P69" t="str">
        <f>IF($V69&lt;&gt;"OK","",RANK(J69,$E69:$J69,0)+COUNTIF($E69:J69,J69)-1)</f>
        <v/>
      </c>
      <c r="Q69" t="str">
        <f t="shared" ref="Q69:Q100" si="31">IF($V69&lt;&gt;"OK","",INDEX($E$4:$J$4,1,MATCH(1,$K69:$P69,0)))</f>
        <v/>
      </c>
      <c r="R69" t="str">
        <f t="shared" ref="R69:R100" si="32">IF($V69&lt;&gt;"OK","",INDEX($E$4:$J$4,1,MATCH(2,$K69:$P69,0)))</f>
        <v/>
      </c>
      <c r="S69" t="str">
        <f t="shared" ref="S69:S100" si="33">IF($V69&lt;&gt;"OK","",INDEX($E$4:$J$4,1,MATCH(3,$K69:$P69,0)))</f>
        <v/>
      </c>
      <c r="T69" t="str">
        <f t="shared" ref="T69:T100" si="34">IF($V69&lt;&gt;"OK","",Q69&amp;R69&amp;S69)</f>
        <v/>
      </c>
      <c r="U69" s="1" t="str">
        <f>IF($T69="","",IFERROR(VLOOKUP($T69,'Kunci dari RIASEC'!$A$4:$B$123,2,FALSE),"Rekomendasi belum tersedia"))</f>
        <v/>
      </c>
      <c r="V69" t="str">
        <f>IF('entri hasil dari isian siswa'!B69="","",'entri hasil dari isian siswa'!HY69)</f>
        <v/>
      </c>
      <c r="W69" t="str">
        <f>IF($B69="","",SUM('entri hasil dari isian siswa'!E69:O69))</f>
        <v/>
      </c>
      <c r="X69" t="str">
        <f>IF($B69="","",SUM('entri hasil dari isian siswa'!P69:Z69))</f>
        <v/>
      </c>
      <c r="Y69" t="str">
        <f>IF($B69="","",SUM('entri hasil dari isian siswa'!AA69:AK69))</f>
        <v/>
      </c>
      <c r="Z69" t="str">
        <f>IF($B69="","",SUM('entri hasil dari isian siswa'!AL69:AV69))</f>
        <v/>
      </c>
      <c r="AA69" t="str">
        <f>IF($B69="","",SUM('entri hasil dari isian siswa'!AW69:BG69))</f>
        <v/>
      </c>
      <c r="AB69" t="str">
        <f>IF($B69="","",SUM('entri hasil dari isian siswa'!BH69:BR69))</f>
        <v/>
      </c>
      <c r="AC69" t="str">
        <f>IF($B69="","",SUM('entri hasil dari isian siswa'!BS69:CC69))</f>
        <v/>
      </c>
      <c r="AD69" t="str">
        <f>IF($B69="","",SUM('entri hasil dari isian siswa'!CD69:CN69))</f>
        <v/>
      </c>
      <c r="AE69" t="str">
        <f>IF($B69="","",SUM('entri hasil dari isian siswa'!CO69:CY69))</f>
        <v/>
      </c>
      <c r="AF69" t="str">
        <f>IF($B69="","",SUM('entri hasil dari isian siswa'!CZ69:DJ69))</f>
        <v/>
      </c>
      <c r="AG69" t="str">
        <f>IF($B69="","",SUM('entri hasil dari isian siswa'!DK69:DU69))</f>
        <v/>
      </c>
      <c r="AH69" t="str">
        <f>IF($B69="","",SUM('entri hasil dari isian siswa'!DV69:EF69))</f>
        <v/>
      </c>
      <c r="AI69" t="str">
        <f>IF($B69="","",SUM('entri hasil dari isian siswa'!EG69:ET69))</f>
        <v/>
      </c>
      <c r="AJ69" t="str">
        <f>IF($B69="","",SUM('entri hasil dari isian siswa'!EU69:FH69))</f>
        <v/>
      </c>
      <c r="AK69" t="str">
        <f>IF($B69="","",SUM('entri hasil dari isian siswa'!FI69:FV69))</f>
        <v/>
      </c>
      <c r="AL69" t="str">
        <f>IF($B69="","",SUM('entri hasil dari isian siswa'!FW69:GJ69))</f>
        <v/>
      </c>
      <c r="AM69" t="str">
        <f>IF($B69="","",SUM('entri hasil dari isian siswa'!GK69:GX69))</f>
        <v/>
      </c>
      <c r="AN69" t="str">
        <f>IF($B69="","",SUM('entri hasil dari isian siswa'!GY69:HL69))</f>
        <v/>
      </c>
      <c r="AO69" t="str">
        <f>IF($B69="","",'entri hasil dari isian siswa'!HM69+'entri hasil dari isian siswa'!HS69)</f>
        <v/>
      </c>
      <c r="AP69" t="str">
        <f>IF($B69="","",'entri hasil dari isian siswa'!HN69+'entri hasil dari isian siswa'!HT69)</f>
        <v/>
      </c>
      <c r="AQ69" t="str">
        <f>IF($B69="","",'entri hasil dari isian siswa'!HO69+'entri hasil dari isian siswa'!HU69)</f>
        <v/>
      </c>
      <c r="AR69" t="str">
        <f>IF($B69="","",'entri hasil dari isian siswa'!HP69+'entri hasil dari isian siswa'!HV69)</f>
        <v/>
      </c>
      <c r="AS69" t="str">
        <f>IF($B69="","",'entri hasil dari isian siswa'!HQ69+'entri hasil dari isian siswa'!HW69)</f>
        <v/>
      </c>
      <c r="AT69" t="str">
        <f>IF($B69="","",'entri hasil dari isian siswa'!HR69+'entri hasil dari isian siswa'!HX69)</f>
        <v/>
      </c>
      <c r="AU69" s="69" t="str">
        <f t="shared" ref="AU69:AU100" si="35">IF($T69="","",LEFT($T69,2))</f>
        <v/>
      </c>
      <c r="AV69" s="69" t="str">
        <f>IF($AU69="","",IFERROR(VLOOKUP($AU69,'Kunci dari RIASEC'!$J$4:$K$33,2,FALSE),""))</f>
        <v/>
      </c>
    </row>
    <row r="70" spans="1:48">
      <c r="A70">
        <f t="shared" si="24"/>
        <v>66</v>
      </c>
      <c r="B70" t="str">
        <f>IF('entri hasil dari isian siswa'!B70="","",'entri hasil dari isian siswa'!B70)</f>
        <v/>
      </c>
      <c r="C70" t="str">
        <f>IF('entri hasil dari isian siswa'!C70="","",'entri hasil dari isian siswa'!C70)</f>
        <v/>
      </c>
      <c r="D70" t="str">
        <f>IF('entri hasil dari isian siswa'!D70="","",'entri hasil dari isian siswa'!D70)</f>
        <v/>
      </c>
      <c r="E70" t="str">
        <f t="shared" si="25"/>
        <v/>
      </c>
      <c r="F70" t="str">
        <f t="shared" si="26"/>
        <v/>
      </c>
      <c r="G70" t="str">
        <f t="shared" si="27"/>
        <v/>
      </c>
      <c r="H70" t="str">
        <f t="shared" si="28"/>
        <v/>
      </c>
      <c r="I70" t="str">
        <f t="shared" si="29"/>
        <v/>
      </c>
      <c r="J70" t="str">
        <f t="shared" si="30"/>
        <v/>
      </c>
      <c r="K70" t="str">
        <f>IF($V70&lt;&gt;"OK","",RANK(E70,$E70:$J70,0)+COUNTIF($E70:E70,E70)-1)</f>
        <v/>
      </c>
      <c r="L70" t="str">
        <f>IF($V70&lt;&gt;"OK","",RANK(F70,$E70:$J70,0)+COUNTIF($E70:F70,F70)-1)</f>
        <v/>
      </c>
      <c r="M70" t="str">
        <f>IF($V70&lt;&gt;"OK","",RANK(G70,$E70:$J70,0)+COUNTIF($E70:G70,G70)-1)</f>
        <v/>
      </c>
      <c r="N70" t="str">
        <f>IF($V70&lt;&gt;"OK","",RANK(H70,$E70:$J70,0)+COUNTIF($E70:H70,H70)-1)</f>
        <v/>
      </c>
      <c r="O70" t="str">
        <f>IF($V70&lt;&gt;"OK","",RANK(I70,$E70:$J70,0)+COUNTIF($E70:I70,I70)-1)</f>
        <v/>
      </c>
      <c r="P70" t="str">
        <f>IF($V70&lt;&gt;"OK","",RANK(J70,$E70:$J70,0)+COUNTIF($E70:J70,J70)-1)</f>
        <v/>
      </c>
      <c r="Q70" t="str">
        <f t="shared" si="31"/>
        <v/>
      </c>
      <c r="R70" t="str">
        <f t="shared" si="32"/>
        <v/>
      </c>
      <c r="S70" t="str">
        <f t="shared" si="33"/>
        <v/>
      </c>
      <c r="T70" t="str">
        <f t="shared" si="34"/>
        <v/>
      </c>
      <c r="U70" s="1" t="str">
        <f>IF($T70="","",IFERROR(VLOOKUP($T70,'Kunci dari RIASEC'!$A$4:$B$123,2,FALSE),"Rekomendasi belum tersedia"))</f>
        <v/>
      </c>
      <c r="V70" t="str">
        <f>IF('entri hasil dari isian siswa'!B70="","",'entri hasil dari isian siswa'!HY70)</f>
        <v/>
      </c>
      <c r="W70" t="str">
        <f>IF($B70="","",SUM('entri hasil dari isian siswa'!E70:O70))</f>
        <v/>
      </c>
      <c r="X70" t="str">
        <f>IF($B70="","",SUM('entri hasil dari isian siswa'!P70:Z70))</f>
        <v/>
      </c>
      <c r="Y70" t="str">
        <f>IF($B70="","",SUM('entri hasil dari isian siswa'!AA70:AK70))</f>
        <v/>
      </c>
      <c r="Z70" t="str">
        <f>IF($B70="","",SUM('entri hasil dari isian siswa'!AL70:AV70))</f>
        <v/>
      </c>
      <c r="AA70" t="str">
        <f>IF($B70="","",SUM('entri hasil dari isian siswa'!AW70:BG70))</f>
        <v/>
      </c>
      <c r="AB70" t="str">
        <f>IF($B70="","",SUM('entri hasil dari isian siswa'!BH70:BR70))</f>
        <v/>
      </c>
      <c r="AC70" t="str">
        <f>IF($B70="","",SUM('entri hasil dari isian siswa'!BS70:CC70))</f>
        <v/>
      </c>
      <c r="AD70" t="str">
        <f>IF($B70="","",SUM('entri hasil dari isian siswa'!CD70:CN70))</f>
        <v/>
      </c>
      <c r="AE70" t="str">
        <f>IF($B70="","",SUM('entri hasil dari isian siswa'!CO70:CY70))</f>
        <v/>
      </c>
      <c r="AF70" t="str">
        <f>IF($B70="","",SUM('entri hasil dari isian siswa'!CZ70:DJ70))</f>
        <v/>
      </c>
      <c r="AG70" t="str">
        <f>IF($B70="","",SUM('entri hasil dari isian siswa'!DK70:DU70))</f>
        <v/>
      </c>
      <c r="AH70" t="str">
        <f>IF($B70="","",SUM('entri hasil dari isian siswa'!DV70:EF70))</f>
        <v/>
      </c>
      <c r="AI70" t="str">
        <f>IF($B70="","",SUM('entri hasil dari isian siswa'!EG70:ET70))</f>
        <v/>
      </c>
      <c r="AJ70" t="str">
        <f>IF($B70="","",SUM('entri hasil dari isian siswa'!EU70:FH70))</f>
        <v/>
      </c>
      <c r="AK70" t="str">
        <f>IF($B70="","",SUM('entri hasil dari isian siswa'!FI70:FV70))</f>
        <v/>
      </c>
      <c r="AL70" t="str">
        <f>IF($B70="","",SUM('entri hasil dari isian siswa'!FW70:GJ70))</f>
        <v/>
      </c>
      <c r="AM70" t="str">
        <f>IF($B70="","",SUM('entri hasil dari isian siswa'!GK70:GX70))</f>
        <v/>
      </c>
      <c r="AN70" t="str">
        <f>IF($B70="","",SUM('entri hasil dari isian siswa'!GY70:HL70))</f>
        <v/>
      </c>
      <c r="AO70" t="str">
        <f>IF($B70="","",'entri hasil dari isian siswa'!HM70+'entri hasil dari isian siswa'!HS70)</f>
        <v/>
      </c>
      <c r="AP70" t="str">
        <f>IF($B70="","",'entri hasil dari isian siswa'!HN70+'entri hasil dari isian siswa'!HT70)</f>
        <v/>
      </c>
      <c r="AQ70" t="str">
        <f>IF($B70="","",'entri hasil dari isian siswa'!HO70+'entri hasil dari isian siswa'!HU70)</f>
        <v/>
      </c>
      <c r="AR70" t="str">
        <f>IF($B70="","",'entri hasil dari isian siswa'!HP70+'entri hasil dari isian siswa'!HV70)</f>
        <v/>
      </c>
      <c r="AS70" t="str">
        <f>IF($B70="","",'entri hasil dari isian siswa'!HQ70+'entri hasil dari isian siswa'!HW70)</f>
        <v/>
      </c>
      <c r="AT70" t="str">
        <f>IF($B70="","",'entri hasil dari isian siswa'!HR70+'entri hasil dari isian siswa'!HX70)</f>
        <v/>
      </c>
      <c r="AU70" s="69" t="str">
        <f t="shared" si="35"/>
        <v/>
      </c>
      <c r="AV70" s="69" t="str">
        <f>IF($AU70="","",IFERROR(VLOOKUP($AU70,'Kunci dari RIASEC'!$J$4:$K$33,2,FALSE),""))</f>
        <v/>
      </c>
    </row>
    <row r="71" spans="1:48">
      <c r="A71">
        <f t="shared" si="24"/>
        <v>67</v>
      </c>
      <c r="B71" t="str">
        <f>IF('entri hasil dari isian siswa'!B71="","",'entri hasil dari isian siswa'!B71)</f>
        <v/>
      </c>
      <c r="C71" t="str">
        <f>IF('entri hasil dari isian siswa'!C71="","",'entri hasil dari isian siswa'!C71)</f>
        <v/>
      </c>
      <c r="D71" t="str">
        <f>IF('entri hasil dari isian siswa'!D71="","",'entri hasil dari isian siswa'!D71)</f>
        <v/>
      </c>
      <c r="E71" t="str">
        <f t="shared" si="25"/>
        <v/>
      </c>
      <c r="F71" t="str">
        <f t="shared" si="26"/>
        <v/>
      </c>
      <c r="G71" t="str">
        <f t="shared" si="27"/>
        <v/>
      </c>
      <c r="H71" t="str">
        <f t="shared" si="28"/>
        <v/>
      </c>
      <c r="I71" t="str">
        <f t="shared" si="29"/>
        <v/>
      </c>
      <c r="J71" t="str">
        <f t="shared" si="30"/>
        <v/>
      </c>
      <c r="K71" t="str">
        <f>IF($V71&lt;&gt;"OK","",RANK(E71,$E71:$J71,0)+COUNTIF($E71:E71,E71)-1)</f>
        <v/>
      </c>
      <c r="L71" t="str">
        <f>IF($V71&lt;&gt;"OK","",RANK(F71,$E71:$J71,0)+COUNTIF($E71:F71,F71)-1)</f>
        <v/>
      </c>
      <c r="M71" t="str">
        <f>IF($V71&lt;&gt;"OK","",RANK(G71,$E71:$J71,0)+COUNTIF($E71:G71,G71)-1)</f>
        <v/>
      </c>
      <c r="N71" t="str">
        <f>IF($V71&lt;&gt;"OK","",RANK(H71,$E71:$J71,0)+COUNTIF($E71:H71,H71)-1)</f>
        <v/>
      </c>
      <c r="O71" t="str">
        <f>IF($V71&lt;&gt;"OK","",RANK(I71,$E71:$J71,0)+COUNTIF($E71:I71,I71)-1)</f>
        <v/>
      </c>
      <c r="P71" t="str">
        <f>IF($V71&lt;&gt;"OK","",RANK(J71,$E71:$J71,0)+COUNTIF($E71:J71,J71)-1)</f>
        <v/>
      </c>
      <c r="Q71" t="str">
        <f t="shared" si="31"/>
        <v/>
      </c>
      <c r="R71" t="str">
        <f t="shared" si="32"/>
        <v/>
      </c>
      <c r="S71" t="str">
        <f t="shared" si="33"/>
        <v/>
      </c>
      <c r="T71" t="str">
        <f t="shared" si="34"/>
        <v/>
      </c>
      <c r="U71" s="1" t="str">
        <f>IF($T71="","",IFERROR(VLOOKUP($T71,'Kunci dari RIASEC'!$A$4:$B$123,2,FALSE),"Rekomendasi belum tersedia"))</f>
        <v/>
      </c>
      <c r="V71" t="str">
        <f>IF('entri hasil dari isian siswa'!B71="","",'entri hasil dari isian siswa'!HY71)</f>
        <v/>
      </c>
      <c r="W71" t="str">
        <f>IF($B71="","",SUM('entri hasil dari isian siswa'!E71:O71))</f>
        <v/>
      </c>
      <c r="X71" t="str">
        <f>IF($B71="","",SUM('entri hasil dari isian siswa'!P71:Z71))</f>
        <v/>
      </c>
      <c r="Y71" t="str">
        <f>IF($B71="","",SUM('entri hasil dari isian siswa'!AA71:AK71))</f>
        <v/>
      </c>
      <c r="Z71" t="str">
        <f>IF($B71="","",SUM('entri hasil dari isian siswa'!AL71:AV71))</f>
        <v/>
      </c>
      <c r="AA71" t="str">
        <f>IF($B71="","",SUM('entri hasil dari isian siswa'!AW71:BG71))</f>
        <v/>
      </c>
      <c r="AB71" t="str">
        <f>IF($B71="","",SUM('entri hasil dari isian siswa'!BH71:BR71))</f>
        <v/>
      </c>
      <c r="AC71" t="str">
        <f>IF($B71="","",SUM('entri hasil dari isian siswa'!BS71:CC71))</f>
        <v/>
      </c>
      <c r="AD71" t="str">
        <f>IF($B71="","",SUM('entri hasil dari isian siswa'!CD71:CN71))</f>
        <v/>
      </c>
      <c r="AE71" t="str">
        <f>IF($B71="","",SUM('entri hasil dari isian siswa'!CO71:CY71))</f>
        <v/>
      </c>
      <c r="AF71" t="str">
        <f>IF($B71="","",SUM('entri hasil dari isian siswa'!CZ71:DJ71))</f>
        <v/>
      </c>
      <c r="AG71" t="str">
        <f>IF($B71="","",SUM('entri hasil dari isian siswa'!DK71:DU71))</f>
        <v/>
      </c>
      <c r="AH71" t="str">
        <f>IF($B71="","",SUM('entri hasil dari isian siswa'!DV71:EF71))</f>
        <v/>
      </c>
      <c r="AI71" t="str">
        <f>IF($B71="","",SUM('entri hasil dari isian siswa'!EG71:ET71))</f>
        <v/>
      </c>
      <c r="AJ71" t="str">
        <f>IF($B71="","",SUM('entri hasil dari isian siswa'!EU71:FH71))</f>
        <v/>
      </c>
      <c r="AK71" t="str">
        <f>IF($B71="","",SUM('entri hasil dari isian siswa'!FI71:FV71))</f>
        <v/>
      </c>
      <c r="AL71" t="str">
        <f>IF($B71="","",SUM('entri hasil dari isian siswa'!FW71:GJ71))</f>
        <v/>
      </c>
      <c r="AM71" t="str">
        <f>IF($B71="","",SUM('entri hasil dari isian siswa'!GK71:GX71))</f>
        <v/>
      </c>
      <c r="AN71" t="str">
        <f>IF($B71="","",SUM('entri hasil dari isian siswa'!GY71:HL71))</f>
        <v/>
      </c>
      <c r="AO71" t="str">
        <f>IF($B71="","",'entri hasil dari isian siswa'!HM71+'entri hasil dari isian siswa'!HS71)</f>
        <v/>
      </c>
      <c r="AP71" t="str">
        <f>IF($B71="","",'entri hasil dari isian siswa'!HN71+'entri hasil dari isian siswa'!HT71)</f>
        <v/>
      </c>
      <c r="AQ71" t="str">
        <f>IF($B71="","",'entri hasil dari isian siswa'!HO71+'entri hasil dari isian siswa'!HU71)</f>
        <v/>
      </c>
      <c r="AR71" t="str">
        <f>IF($B71="","",'entri hasil dari isian siswa'!HP71+'entri hasil dari isian siswa'!HV71)</f>
        <v/>
      </c>
      <c r="AS71" t="str">
        <f>IF($B71="","",'entri hasil dari isian siswa'!HQ71+'entri hasil dari isian siswa'!HW71)</f>
        <v/>
      </c>
      <c r="AT71" t="str">
        <f>IF($B71="","",'entri hasil dari isian siswa'!HR71+'entri hasil dari isian siswa'!HX71)</f>
        <v/>
      </c>
      <c r="AU71" s="69" t="str">
        <f t="shared" si="35"/>
        <v/>
      </c>
      <c r="AV71" s="69" t="str">
        <f>IF($AU71="","",IFERROR(VLOOKUP($AU71,'Kunci dari RIASEC'!$J$4:$K$33,2,FALSE),""))</f>
        <v/>
      </c>
    </row>
    <row r="72" spans="1:48">
      <c r="A72">
        <f t="shared" si="24"/>
        <v>68</v>
      </c>
      <c r="B72" t="str">
        <f>IF('entri hasil dari isian siswa'!B72="","",'entri hasil dari isian siswa'!B72)</f>
        <v/>
      </c>
      <c r="C72" t="str">
        <f>IF('entri hasil dari isian siswa'!C72="","",'entri hasil dari isian siswa'!C72)</f>
        <v/>
      </c>
      <c r="D72" t="str">
        <f>IF('entri hasil dari isian siswa'!D72="","",'entri hasil dari isian siswa'!D72)</f>
        <v/>
      </c>
      <c r="E72" t="str">
        <f t="shared" si="25"/>
        <v/>
      </c>
      <c r="F72" t="str">
        <f t="shared" si="26"/>
        <v/>
      </c>
      <c r="G72" t="str">
        <f t="shared" si="27"/>
        <v/>
      </c>
      <c r="H72" t="str">
        <f t="shared" si="28"/>
        <v/>
      </c>
      <c r="I72" t="str">
        <f t="shared" si="29"/>
        <v/>
      </c>
      <c r="J72" t="str">
        <f t="shared" si="30"/>
        <v/>
      </c>
      <c r="K72" t="str">
        <f>IF($V72&lt;&gt;"OK","",RANK(E72,$E72:$J72,0)+COUNTIF($E72:E72,E72)-1)</f>
        <v/>
      </c>
      <c r="L72" t="str">
        <f>IF($V72&lt;&gt;"OK","",RANK(F72,$E72:$J72,0)+COUNTIF($E72:F72,F72)-1)</f>
        <v/>
      </c>
      <c r="M72" t="str">
        <f>IF($V72&lt;&gt;"OK","",RANK(G72,$E72:$J72,0)+COUNTIF($E72:G72,G72)-1)</f>
        <v/>
      </c>
      <c r="N72" t="str">
        <f>IF($V72&lt;&gt;"OK","",RANK(H72,$E72:$J72,0)+COUNTIF($E72:H72,H72)-1)</f>
        <v/>
      </c>
      <c r="O72" t="str">
        <f>IF($V72&lt;&gt;"OK","",RANK(I72,$E72:$J72,0)+COUNTIF($E72:I72,I72)-1)</f>
        <v/>
      </c>
      <c r="P72" t="str">
        <f>IF($V72&lt;&gt;"OK","",RANK(J72,$E72:$J72,0)+COUNTIF($E72:J72,J72)-1)</f>
        <v/>
      </c>
      <c r="Q72" t="str">
        <f t="shared" si="31"/>
        <v/>
      </c>
      <c r="R72" t="str">
        <f t="shared" si="32"/>
        <v/>
      </c>
      <c r="S72" t="str">
        <f t="shared" si="33"/>
        <v/>
      </c>
      <c r="T72" t="str">
        <f t="shared" si="34"/>
        <v/>
      </c>
      <c r="U72" s="1" t="str">
        <f>IF($T72="","",IFERROR(VLOOKUP($T72,'Kunci dari RIASEC'!$A$4:$B$123,2,FALSE),"Rekomendasi belum tersedia"))</f>
        <v/>
      </c>
      <c r="V72" t="str">
        <f>IF('entri hasil dari isian siswa'!B72="","",'entri hasil dari isian siswa'!HY72)</f>
        <v/>
      </c>
      <c r="W72" t="str">
        <f>IF($B72="","",SUM('entri hasil dari isian siswa'!E72:O72))</f>
        <v/>
      </c>
      <c r="X72" t="str">
        <f>IF($B72="","",SUM('entri hasil dari isian siswa'!P72:Z72))</f>
        <v/>
      </c>
      <c r="Y72" t="str">
        <f>IF($B72="","",SUM('entri hasil dari isian siswa'!AA72:AK72))</f>
        <v/>
      </c>
      <c r="Z72" t="str">
        <f>IF($B72="","",SUM('entri hasil dari isian siswa'!AL72:AV72))</f>
        <v/>
      </c>
      <c r="AA72" t="str">
        <f>IF($B72="","",SUM('entri hasil dari isian siswa'!AW72:BG72))</f>
        <v/>
      </c>
      <c r="AB72" t="str">
        <f>IF($B72="","",SUM('entri hasil dari isian siswa'!BH72:BR72))</f>
        <v/>
      </c>
      <c r="AC72" t="str">
        <f>IF($B72="","",SUM('entri hasil dari isian siswa'!BS72:CC72))</f>
        <v/>
      </c>
      <c r="AD72" t="str">
        <f>IF($B72="","",SUM('entri hasil dari isian siswa'!CD72:CN72))</f>
        <v/>
      </c>
      <c r="AE72" t="str">
        <f>IF($B72="","",SUM('entri hasil dari isian siswa'!CO72:CY72))</f>
        <v/>
      </c>
      <c r="AF72" t="str">
        <f>IF($B72="","",SUM('entri hasil dari isian siswa'!CZ72:DJ72))</f>
        <v/>
      </c>
      <c r="AG72" t="str">
        <f>IF($B72="","",SUM('entri hasil dari isian siswa'!DK72:DU72))</f>
        <v/>
      </c>
      <c r="AH72" t="str">
        <f>IF($B72="","",SUM('entri hasil dari isian siswa'!DV72:EF72))</f>
        <v/>
      </c>
      <c r="AI72" t="str">
        <f>IF($B72="","",SUM('entri hasil dari isian siswa'!EG72:ET72))</f>
        <v/>
      </c>
      <c r="AJ72" t="str">
        <f>IF($B72="","",SUM('entri hasil dari isian siswa'!EU72:FH72))</f>
        <v/>
      </c>
      <c r="AK72" t="str">
        <f>IF($B72="","",SUM('entri hasil dari isian siswa'!FI72:FV72))</f>
        <v/>
      </c>
      <c r="AL72" t="str">
        <f>IF($B72="","",SUM('entri hasil dari isian siswa'!FW72:GJ72))</f>
        <v/>
      </c>
      <c r="AM72" t="str">
        <f>IF($B72="","",SUM('entri hasil dari isian siswa'!GK72:GX72))</f>
        <v/>
      </c>
      <c r="AN72" t="str">
        <f>IF($B72="","",SUM('entri hasil dari isian siswa'!GY72:HL72))</f>
        <v/>
      </c>
      <c r="AO72" t="str">
        <f>IF($B72="","",'entri hasil dari isian siswa'!HM72+'entri hasil dari isian siswa'!HS72)</f>
        <v/>
      </c>
      <c r="AP72" t="str">
        <f>IF($B72="","",'entri hasil dari isian siswa'!HN72+'entri hasil dari isian siswa'!HT72)</f>
        <v/>
      </c>
      <c r="AQ72" t="str">
        <f>IF($B72="","",'entri hasil dari isian siswa'!HO72+'entri hasil dari isian siswa'!HU72)</f>
        <v/>
      </c>
      <c r="AR72" t="str">
        <f>IF($B72="","",'entri hasil dari isian siswa'!HP72+'entri hasil dari isian siswa'!HV72)</f>
        <v/>
      </c>
      <c r="AS72" t="str">
        <f>IF($B72="","",'entri hasil dari isian siswa'!HQ72+'entri hasil dari isian siswa'!HW72)</f>
        <v/>
      </c>
      <c r="AT72" t="str">
        <f>IF($B72="","",'entri hasil dari isian siswa'!HR72+'entri hasil dari isian siswa'!HX72)</f>
        <v/>
      </c>
      <c r="AU72" s="69" t="str">
        <f t="shared" si="35"/>
        <v/>
      </c>
      <c r="AV72" s="69" t="str">
        <f>IF($AU72="","",IFERROR(VLOOKUP($AU72,'Kunci dari RIASEC'!$J$4:$K$33,2,FALSE),""))</f>
        <v/>
      </c>
    </row>
    <row r="73" spans="1:48">
      <c r="A73">
        <f t="shared" si="24"/>
        <v>69</v>
      </c>
      <c r="B73" t="str">
        <f>IF('entri hasil dari isian siswa'!B73="","",'entri hasil dari isian siswa'!B73)</f>
        <v/>
      </c>
      <c r="C73" t="str">
        <f>IF('entri hasil dari isian siswa'!C73="","",'entri hasil dari isian siswa'!C73)</f>
        <v/>
      </c>
      <c r="D73" t="str">
        <f>IF('entri hasil dari isian siswa'!D73="","",'entri hasil dari isian siswa'!D73)</f>
        <v/>
      </c>
      <c r="E73" t="str">
        <f t="shared" si="25"/>
        <v/>
      </c>
      <c r="F73" t="str">
        <f t="shared" si="26"/>
        <v/>
      </c>
      <c r="G73" t="str">
        <f t="shared" si="27"/>
        <v/>
      </c>
      <c r="H73" t="str">
        <f t="shared" si="28"/>
        <v/>
      </c>
      <c r="I73" t="str">
        <f t="shared" si="29"/>
        <v/>
      </c>
      <c r="J73" t="str">
        <f t="shared" si="30"/>
        <v/>
      </c>
      <c r="K73" t="str">
        <f>IF($V73&lt;&gt;"OK","",RANK(E73,$E73:$J73,0)+COUNTIF($E73:E73,E73)-1)</f>
        <v/>
      </c>
      <c r="L73" t="str">
        <f>IF($V73&lt;&gt;"OK","",RANK(F73,$E73:$J73,0)+COUNTIF($E73:F73,F73)-1)</f>
        <v/>
      </c>
      <c r="M73" t="str">
        <f>IF($V73&lt;&gt;"OK","",RANK(G73,$E73:$J73,0)+COUNTIF($E73:G73,G73)-1)</f>
        <v/>
      </c>
      <c r="N73" t="str">
        <f>IF($V73&lt;&gt;"OK","",RANK(H73,$E73:$J73,0)+COUNTIF($E73:H73,H73)-1)</f>
        <v/>
      </c>
      <c r="O73" t="str">
        <f>IF($V73&lt;&gt;"OK","",RANK(I73,$E73:$J73,0)+COUNTIF($E73:I73,I73)-1)</f>
        <v/>
      </c>
      <c r="P73" t="str">
        <f>IF($V73&lt;&gt;"OK","",RANK(J73,$E73:$J73,0)+COUNTIF($E73:J73,J73)-1)</f>
        <v/>
      </c>
      <c r="Q73" t="str">
        <f t="shared" si="31"/>
        <v/>
      </c>
      <c r="R73" t="str">
        <f t="shared" si="32"/>
        <v/>
      </c>
      <c r="S73" t="str">
        <f t="shared" si="33"/>
        <v/>
      </c>
      <c r="T73" t="str">
        <f t="shared" si="34"/>
        <v/>
      </c>
      <c r="U73" s="1" t="str">
        <f>IF($T73="","",IFERROR(VLOOKUP($T73,'Kunci dari RIASEC'!$A$4:$B$123,2,FALSE),"Rekomendasi belum tersedia"))</f>
        <v/>
      </c>
      <c r="V73" t="str">
        <f>IF('entri hasil dari isian siswa'!B73="","",'entri hasil dari isian siswa'!HY73)</f>
        <v/>
      </c>
      <c r="W73" t="str">
        <f>IF($B73="","",SUM('entri hasil dari isian siswa'!E73:O73))</f>
        <v/>
      </c>
      <c r="X73" t="str">
        <f>IF($B73="","",SUM('entri hasil dari isian siswa'!P73:Z73))</f>
        <v/>
      </c>
      <c r="Y73" t="str">
        <f>IF($B73="","",SUM('entri hasil dari isian siswa'!AA73:AK73))</f>
        <v/>
      </c>
      <c r="Z73" t="str">
        <f>IF($B73="","",SUM('entri hasil dari isian siswa'!AL73:AV73))</f>
        <v/>
      </c>
      <c r="AA73" t="str">
        <f>IF($B73="","",SUM('entri hasil dari isian siswa'!AW73:BG73))</f>
        <v/>
      </c>
      <c r="AB73" t="str">
        <f>IF($B73="","",SUM('entri hasil dari isian siswa'!BH73:BR73))</f>
        <v/>
      </c>
      <c r="AC73" t="str">
        <f>IF($B73="","",SUM('entri hasil dari isian siswa'!BS73:CC73))</f>
        <v/>
      </c>
      <c r="AD73" t="str">
        <f>IF($B73="","",SUM('entri hasil dari isian siswa'!CD73:CN73))</f>
        <v/>
      </c>
      <c r="AE73" t="str">
        <f>IF($B73="","",SUM('entri hasil dari isian siswa'!CO73:CY73))</f>
        <v/>
      </c>
      <c r="AF73" t="str">
        <f>IF($B73="","",SUM('entri hasil dari isian siswa'!CZ73:DJ73))</f>
        <v/>
      </c>
      <c r="AG73" t="str">
        <f>IF($B73="","",SUM('entri hasil dari isian siswa'!DK73:DU73))</f>
        <v/>
      </c>
      <c r="AH73" t="str">
        <f>IF($B73="","",SUM('entri hasil dari isian siswa'!DV73:EF73))</f>
        <v/>
      </c>
      <c r="AI73" t="str">
        <f>IF($B73="","",SUM('entri hasil dari isian siswa'!EG73:ET73))</f>
        <v/>
      </c>
      <c r="AJ73" t="str">
        <f>IF($B73="","",SUM('entri hasil dari isian siswa'!EU73:FH73))</f>
        <v/>
      </c>
      <c r="AK73" t="str">
        <f>IF($B73="","",SUM('entri hasil dari isian siswa'!FI73:FV73))</f>
        <v/>
      </c>
      <c r="AL73" t="str">
        <f>IF($B73="","",SUM('entri hasil dari isian siswa'!FW73:GJ73))</f>
        <v/>
      </c>
      <c r="AM73" t="str">
        <f>IF($B73="","",SUM('entri hasil dari isian siswa'!GK73:GX73))</f>
        <v/>
      </c>
      <c r="AN73" t="str">
        <f>IF($B73="","",SUM('entri hasil dari isian siswa'!GY73:HL73))</f>
        <v/>
      </c>
      <c r="AO73" t="str">
        <f>IF($B73="","",'entri hasil dari isian siswa'!HM73+'entri hasil dari isian siswa'!HS73)</f>
        <v/>
      </c>
      <c r="AP73" t="str">
        <f>IF($B73="","",'entri hasil dari isian siswa'!HN73+'entri hasil dari isian siswa'!HT73)</f>
        <v/>
      </c>
      <c r="AQ73" t="str">
        <f>IF($B73="","",'entri hasil dari isian siswa'!HO73+'entri hasil dari isian siswa'!HU73)</f>
        <v/>
      </c>
      <c r="AR73" t="str">
        <f>IF($B73="","",'entri hasil dari isian siswa'!HP73+'entri hasil dari isian siswa'!HV73)</f>
        <v/>
      </c>
      <c r="AS73" t="str">
        <f>IF($B73="","",'entri hasil dari isian siswa'!HQ73+'entri hasil dari isian siswa'!HW73)</f>
        <v/>
      </c>
      <c r="AT73" t="str">
        <f>IF($B73="","",'entri hasil dari isian siswa'!HR73+'entri hasil dari isian siswa'!HX73)</f>
        <v/>
      </c>
      <c r="AU73" s="69" t="str">
        <f t="shared" si="35"/>
        <v/>
      </c>
      <c r="AV73" s="69" t="str">
        <f>IF($AU73="","",IFERROR(VLOOKUP($AU73,'Kunci dari RIASEC'!$J$4:$K$33,2,FALSE),""))</f>
        <v/>
      </c>
    </row>
    <row r="74" spans="1:48">
      <c r="A74">
        <f t="shared" si="24"/>
        <v>70</v>
      </c>
      <c r="B74" t="str">
        <f>IF('entri hasil dari isian siswa'!B74="","",'entri hasil dari isian siswa'!B74)</f>
        <v/>
      </c>
      <c r="C74" t="str">
        <f>IF('entri hasil dari isian siswa'!C74="","",'entri hasil dari isian siswa'!C74)</f>
        <v/>
      </c>
      <c r="D74" t="str">
        <f>IF('entri hasil dari isian siswa'!D74="","",'entri hasil dari isian siswa'!D74)</f>
        <v/>
      </c>
      <c r="E74" t="str">
        <f t="shared" si="25"/>
        <v/>
      </c>
      <c r="F74" t="str">
        <f t="shared" si="26"/>
        <v/>
      </c>
      <c r="G74" t="str">
        <f t="shared" si="27"/>
        <v/>
      </c>
      <c r="H74" t="str">
        <f t="shared" si="28"/>
        <v/>
      </c>
      <c r="I74" t="str">
        <f t="shared" si="29"/>
        <v/>
      </c>
      <c r="J74" t="str">
        <f t="shared" si="30"/>
        <v/>
      </c>
      <c r="K74" t="str">
        <f>IF($V74&lt;&gt;"OK","",RANK(E74,$E74:$J74,0)+COUNTIF($E74:E74,E74)-1)</f>
        <v/>
      </c>
      <c r="L74" t="str">
        <f>IF($V74&lt;&gt;"OK","",RANK(F74,$E74:$J74,0)+COUNTIF($E74:F74,F74)-1)</f>
        <v/>
      </c>
      <c r="M74" t="str">
        <f>IF($V74&lt;&gt;"OK","",RANK(G74,$E74:$J74,0)+COUNTIF($E74:G74,G74)-1)</f>
        <v/>
      </c>
      <c r="N74" t="str">
        <f>IF($V74&lt;&gt;"OK","",RANK(H74,$E74:$J74,0)+COUNTIF($E74:H74,H74)-1)</f>
        <v/>
      </c>
      <c r="O74" t="str">
        <f>IF($V74&lt;&gt;"OK","",RANK(I74,$E74:$J74,0)+COUNTIF($E74:I74,I74)-1)</f>
        <v/>
      </c>
      <c r="P74" t="str">
        <f>IF($V74&lt;&gt;"OK","",RANK(J74,$E74:$J74,0)+COUNTIF($E74:J74,J74)-1)</f>
        <v/>
      </c>
      <c r="Q74" t="str">
        <f t="shared" si="31"/>
        <v/>
      </c>
      <c r="R74" t="str">
        <f t="shared" si="32"/>
        <v/>
      </c>
      <c r="S74" t="str">
        <f t="shared" si="33"/>
        <v/>
      </c>
      <c r="T74" t="str">
        <f t="shared" si="34"/>
        <v/>
      </c>
      <c r="U74" s="1" t="str">
        <f>IF($T74="","",IFERROR(VLOOKUP($T74,'Kunci dari RIASEC'!$A$4:$B$123,2,FALSE),"Rekomendasi belum tersedia"))</f>
        <v/>
      </c>
      <c r="V74" t="str">
        <f>IF('entri hasil dari isian siswa'!B74="","",'entri hasil dari isian siswa'!HY74)</f>
        <v/>
      </c>
      <c r="W74" t="str">
        <f>IF($B74="","",SUM('entri hasil dari isian siswa'!E74:O74))</f>
        <v/>
      </c>
      <c r="X74" t="str">
        <f>IF($B74="","",SUM('entri hasil dari isian siswa'!P74:Z74))</f>
        <v/>
      </c>
      <c r="Y74" t="str">
        <f>IF($B74="","",SUM('entri hasil dari isian siswa'!AA74:AK74))</f>
        <v/>
      </c>
      <c r="Z74" t="str">
        <f>IF($B74="","",SUM('entri hasil dari isian siswa'!AL74:AV74))</f>
        <v/>
      </c>
      <c r="AA74" t="str">
        <f>IF($B74="","",SUM('entri hasil dari isian siswa'!AW74:BG74))</f>
        <v/>
      </c>
      <c r="AB74" t="str">
        <f>IF($B74="","",SUM('entri hasil dari isian siswa'!BH74:BR74))</f>
        <v/>
      </c>
      <c r="AC74" t="str">
        <f>IF($B74="","",SUM('entri hasil dari isian siswa'!BS74:CC74))</f>
        <v/>
      </c>
      <c r="AD74" t="str">
        <f>IF($B74="","",SUM('entri hasil dari isian siswa'!CD74:CN74))</f>
        <v/>
      </c>
      <c r="AE74" t="str">
        <f>IF($B74="","",SUM('entri hasil dari isian siswa'!CO74:CY74))</f>
        <v/>
      </c>
      <c r="AF74" t="str">
        <f>IF($B74="","",SUM('entri hasil dari isian siswa'!CZ74:DJ74))</f>
        <v/>
      </c>
      <c r="AG74" t="str">
        <f>IF($B74="","",SUM('entri hasil dari isian siswa'!DK74:DU74))</f>
        <v/>
      </c>
      <c r="AH74" t="str">
        <f>IF($B74="","",SUM('entri hasil dari isian siswa'!DV74:EF74))</f>
        <v/>
      </c>
      <c r="AI74" t="str">
        <f>IF($B74="","",SUM('entri hasil dari isian siswa'!EG74:ET74))</f>
        <v/>
      </c>
      <c r="AJ74" t="str">
        <f>IF($B74="","",SUM('entri hasil dari isian siswa'!EU74:FH74))</f>
        <v/>
      </c>
      <c r="AK74" t="str">
        <f>IF($B74="","",SUM('entri hasil dari isian siswa'!FI74:FV74))</f>
        <v/>
      </c>
      <c r="AL74" t="str">
        <f>IF($B74="","",SUM('entri hasil dari isian siswa'!FW74:GJ74))</f>
        <v/>
      </c>
      <c r="AM74" t="str">
        <f>IF($B74="","",SUM('entri hasil dari isian siswa'!GK74:GX74))</f>
        <v/>
      </c>
      <c r="AN74" t="str">
        <f>IF($B74="","",SUM('entri hasil dari isian siswa'!GY74:HL74))</f>
        <v/>
      </c>
      <c r="AO74" t="str">
        <f>IF($B74="","",'entri hasil dari isian siswa'!HM74+'entri hasil dari isian siswa'!HS74)</f>
        <v/>
      </c>
      <c r="AP74" t="str">
        <f>IF($B74="","",'entri hasil dari isian siswa'!HN74+'entri hasil dari isian siswa'!HT74)</f>
        <v/>
      </c>
      <c r="AQ74" t="str">
        <f>IF($B74="","",'entri hasil dari isian siswa'!HO74+'entri hasil dari isian siswa'!HU74)</f>
        <v/>
      </c>
      <c r="AR74" t="str">
        <f>IF($B74="","",'entri hasil dari isian siswa'!HP74+'entri hasil dari isian siswa'!HV74)</f>
        <v/>
      </c>
      <c r="AS74" t="str">
        <f>IF($B74="","",'entri hasil dari isian siswa'!HQ74+'entri hasil dari isian siswa'!HW74)</f>
        <v/>
      </c>
      <c r="AT74" t="str">
        <f>IF($B74="","",'entri hasil dari isian siswa'!HR74+'entri hasil dari isian siswa'!HX74)</f>
        <v/>
      </c>
      <c r="AU74" s="69" t="str">
        <f t="shared" si="35"/>
        <v/>
      </c>
      <c r="AV74" s="69" t="str">
        <f>IF($AU74="","",IFERROR(VLOOKUP($AU74,'Kunci dari RIASEC'!$J$4:$K$33,2,FALSE),""))</f>
        <v/>
      </c>
    </row>
    <row r="75" spans="1:48">
      <c r="A75">
        <f t="shared" si="24"/>
        <v>71</v>
      </c>
      <c r="B75" t="str">
        <f>IF('entri hasil dari isian siswa'!B75="","",'entri hasil dari isian siswa'!B75)</f>
        <v/>
      </c>
      <c r="C75" t="str">
        <f>IF('entri hasil dari isian siswa'!C75="","",'entri hasil dari isian siswa'!C75)</f>
        <v/>
      </c>
      <c r="D75" t="str">
        <f>IF('entri hasil dari isian siswa'!D75="","",'entri hasil dari isian siswa'!D75)</f>
        <v/>
      </c>
      <c r="E75" t="str">
        <f t="shared" si="25"/>
        <v/>
      </c>
      <c r="F75" t="str">
        <f t="shared" si="26"/>
        <v/>
      </c>
      <c r="G75" t="str">
        <f t="shared" si="27"/>
        <v/>
      </c>
      <c r="H75" t="str">
        <f t="shared" si="28"/>
        <v/>
      </c>
      <c r="I75" t="str">
        <f t="shared" si="29"/>
        <v/>
      </c>
      <c r="J75" t="str">
        <f t="shared" si="30"/>
        <v/>
      </c>
      <c r="K75" t="str">
        <f>IF($V75&lt;&gt;"OK","",RANK(E75,$E75:$J75,0)+COUNTIF($E75:E75,E75)-1)</f>
        <v/>
      </c>
      <c r="L75" t="str">
        <f>IF($V75&lt;&gt;"OK","",RANK(F75,$E75:$J75,0)+COUNTIF($E75:F75,F75)-1)</f>
        <v/>
      </c>
      <c r="M75" t="str">
        <f>IF($V75&lt;&gt;"OK","",RANK(G75,$E75:$J75,0)+COUNTIF($E75:G75,G75)-1)</f>
        <v/>
      </c>
      <c r="N75" t="str">
        <f>IF($V75&lt;&gt;"OK","",RANK(H75,$E75:$J75,0)+COUNTIF($E75:H75,H75)-1)</f>
        <v/>
      </c>
      <c r="O75" t="str">
        <f>IF($V75&lt;&gt;"OK","",RANK(I75,$E75:$J75,0)+COUNTIF($E75:I75,I75)-1)</f>
        <v/>
      </c>
      <c r="P75" t="str">
        <f>IF($V75&lt;&gt;"OK","",RANK(J75,$E75:$J75,0)+COUNTIF($E75:J75,J75)-1)</f>
        <v/>
      </c>
      <c r="Q75" t="str">
        <f t="shared" si="31"/>
        <v/>
      </c>
      <c r="R75" t="str">
        <f t="shared" si="32"/>
        <v/>
      </c>
      <c r="S75" t="str">
        <f t="shared" si="33"/>
        <v/>
      </c>
      <c r="T75" t="str">
        <f t="shared" si="34"/>
        <v/>
      </c>
      <c r="U75" s="1" t="str">
        <f>IF($T75="","",IFERROR(VLOOKUP($T75,'Kunci dari RIASEC'!$A$4:$B$123,2,FALSE),"Rekomendasi belum tersedia"))</f>
        <v/>
      </c>
      <c r="V75" t="str">
        <f>IF('entri hasil dari isian siswa'!B75="","",'entri hasil dari isian siswa'!HY75)</f>
        <v/>
      </c>
      <c r="W75" t="str">
        <f>IF($B75="","",SUM('entri hasil dari isian siswa'!E75:O75))</f>
        <v/>
      </c>
      <c r="X75" t="str">
        <f>IF($B75="","",SUM('entri hasil dari isian siswa'!P75:Z75))</f>
        <v/>
      </c>
      <c r="Y75" t="str">
        <f>IF($B75="","",SUM('entri hasil dari isian siswa'!AA75:AK75))</f>
        <v/>
      </c>
      <c r="Z75" t="str">
        <f>IF($B75="","",SUM('entri hasil dari isian siswa'!AL75:AV75))</f>
        <v/>
      </c>
      <c r="AA75" t="str">
        <f>IF($B75="","",SUM('entri hasil dari isian siswa'!AW75:BG75))</f>
        <v/>
      </c>
      <c r="AB75" t="str">
        <f>IF($B75="","",SUM('entri hasil dari isian siswa'!BH75:BR75))</f>
        <v/>
      </c>
      <c r="AC75" t="str">
        <f>IF($B75="","",SUM('entri hasil dari isian siswa'!BS75:CC75))</f>
        <v/>
      </c>
      <c r="AD75" t="str">
        <f>IF($B75="","",SUM('entri hasil dari isian siswa'!CD75:CN75))</f>
        <v/>
      </c>
      <c r="AE75" t="str">
        <f>IF($B75="","",SUM('entri hasil dari isian siswa'!CO75:CY75))</f>
        <v/>
      </c>
      <c r="AF75" t="str">
        <f>IF($B75="","",SUM('entri hasil dari isian siswa'!CZ75:DJ75))</f>
        <v/>
      </c>
      <c r="AG75" t="str">
        <f>IF($B75="","",SUM('entri hasil dari isian siswa'!DK75:DU75))</f>
        <v/>
      </c>
      <c r="AH75" t="str">
        <f>IF($B75="","",SUM('entri hasil dari isian siswa'!DV75:EF75))</f>
        <v/>
      </c>
      <c r="AI75" t="str">
        <f>IF($B75="","",SUM('entri hasil dari isian siswa'!EG75:ET75))</f>
        <v/>
      </c>
      <c r="AJ75" t="str">
        <f>IF($B75="","",SUM('entri hasil dari isian siswa'!EU75:FH75))</f>
        <v/>
      </c>
      <c r="AK75" t="str">
        <f>IF($B75="","",SUM('entri hasil dari isian siswa'!FI75:FV75))</f>
        <v/>
      </c>
      <c r="AL75" t="str">
        <f>IF($B75="","",SUM('entri hasil dari isian siswa'!FW75:GJ75))</f>
        <v/>
      </c>
      <c r="AM75" t="str">
        <f>IF($B75="","",SUM('entri hasil dari isian siswa'!GK75:GX75))</f>
        <v/>
      </c>
      <c r="AN75" t="str">
        <f>IF($B75="","",SUM('entri hasil dari isian siswa'!GY75:HL75))</f>
        <v/>
      </c>
      <c r="AO75" t="str">
        <f>IF($B75="","",'entri hasil dari isian siswa'!HM75+'entri hasil dari isian siswa'!HS75)</f>
        <v/>
      </c>
      <c r="AP75" t="str">
        <f>IF($B75="","",'entri hasil dari isian siswa'!HN75+'entri hasil dari isian siswa'!HT75)</f>
        <v/>
      </c>
      <c r="AQ75" t="str">
        <f>IF($B75="","",'entri hasil dari isian siswa'!HO75+'entri hasil dari isian siswa'!HU75)</f>
        <v/>
      </c>
      <c r="AR75" t="str">
        <f>IF($B75="","",'entri hasil dari isian siswa'!HP75+'entri hasil dari isian siswa'!HV75)</f>
        <v/>
      </c>
      <c r="AS75" t="str">
        <f>IF($B75="","",'entri hasil dari isian siswa'!HQ75+'entri hasil dari isian siswa'!HW75)</f>
        <v/>
      </c>
      <c r="AT75" t="str">
        <f>IF($B75="","",'entri hasil dari isian siswa'!HR75+'entri hasil dari isian siswa'!HX75)</f>
        <v/>
      </c>
      <c r="AU75" s="69" t="str">
        <f t="shared" si="35"/>
        <v/>
      </c>
      <c r="AV75" s="69" t="str">
        <f>IF($AU75="","",IFERROR(VLOOKUP($AU75,'Kunci dari RIASEC'!$J$4:$K$33,2,FALSE),""))</f>
        <v/>
      </c>
    </row>
    <row r="76" spans="1:48">
      <c r="A76">
        <f t="shared" si="24"/>
        <v>72</v>
      </c>
      <c r="B76" t="str">
        <f>IF('entri hasil dari isian siswa'!B76="","",'entri hasil dari isian siswa'!B76)</f>
        <v/>
      </c>
      <c r="C76" t="str">
        <f>IF('entri hasil dari isian siswa'!C76="","",'entri hasil dari isian siswa'!C76)</f>
        <v/>
      </c>
      <c r="D76" t="str">
        <f>IF('entri hasil dari isian siswa'!D76="","",'entri hasil dari isian siswa'!D76)</f>
        <v/>
      </c>
      <c r="E76" t="str">
        <f t="shared" si="25"/>
        <v/>
      </c>
      <c r="F76" t="str">
        <f t="shared" si="26"/>
        <v/>
      </c>
      <c r="G76" t="str">
        <f t="shared" si="27"/>
        <v/>
      </c>
      <c r="H76" t="str">
        <f t="shared" si="28"/>
        <v/>
      </c>
      <c r="I76" t="str">
        <f t="shared" si="29"/>
        <v/>
      </c>
      <c r="J76" t="str">
        <f t="shared" si="30"/>
        <v/>
      </c>
      <c r="K76" t="str">
        <f>IF($V76&lt;&gt;"OK","",RANK(E76,$E76:$J76,0)+COUNTIF($E76:E76,E76)-1)</f>
        <v/>
      </c>
      <c r="L76" t="str">
        <f>IF($V76&lt;&gt;"OK","",RANK(F76,$E76:$J76,0)+COUNTIF($E76:F76,F76)-1)</f>
        <v/>
      </c>
      <c r="M76" t="str">
        <f>IF($V76&lt;&gt;"OK","",RANK(G76,$E76:$J76,0)+COUNTIF($E76:G76,G76)-1)</f>
        <v/>
      </c>
      <c r="N76" t="str">
        <f>IF($V76&lt;&gt;"OK","",RANK(H76,$E76:$J76,0)+COUNTIF($E76:H76,H76)-1)</f>
        <v/>
      </c>
      <c r="O76" t="str">
        <f>IF($V76&lt;&gt;"OK","",RANK(I76,$E76:$J76,0)+COUNTIF($E76:I76,I76)-1)</f>
        <v/>
      </c>
      <c r="P76" t="str">
        <f>IF($V76&lt;&gt;"OK","",RANK(J76,$E76:$J76,0)+COUNTIF($E76:J76,J76)-1)</f>
        <v/>
      </c>
      <c r="Q76" t="str">
        <f t="shared" si="31"/>
        <v/>
      </c>
      <c r="R76" t="str">
        <f t="shared" si="32"/>
        <v/>
      </c>
      <c r="S76" t="str">
        <f t="shared" si="33"/>
        <v/>
      </c>
      <c r="T76" t="str">
        <f t="shared" si="34"/>
        <v/>
      </c>
      <c r="U76" s="1" t="str">
        <f>IF($T76="","",IFERROR(VLOOKUP($T76,'Kunci dari RIASEC'!$A$4:$B$123,2,FALSE),"Rekomendasi belum tersedia"))</f>
        <v/>
      </c>
      <c r="V76" t="str">
        <f>IF('entri hasil dari isian siswa'!B76="","",'entri hasil dari isian siswa'!HY76)</f>
        <v/>
      </c>
      <c r="W76" t="str">
        <f>IF($B76="","",SUM('entri hasil dari isian siswa'!E76:O76))</f>
        <v/>
      </c>
      <c r="X76" t="str">
        <f>IF($B76="","",SUM('entri hasil dari isian siswa'!P76:Z76))</f>
        <v/>
      </c>
      <c r="Y76" t="str">
        <f>IF($B76="","",SUM('entri hasil dari isian siswa'!AA76:AK76))</f>
        <v/>
      </c>
      <c r="Z76" t="str">
        <f>IF($B76="","",SUM('entri hasil dari isian siswa'!AL76:AV76))</f>
        <v/>
      </c>
      <c r="AA76" t="str">
        <f>IF($B76="","",SUM('entri hasil dari isian siswa'!AW76:BG76))</f>
        <v/>
      </c>
      <c r="AB76" t="str">
        <f>IF($B76="","",SUM('entri hasil dari isian siswa'!BH76:BR76))</f>
        <v/>
      </c>
      <c r="AC76" t="str">
        <f>IF($B76="","",SUM('entri hasil dari isian siswa'!BS76:CC76))</f>
        <v/>
      </c>
      <c r="AD76" t="str">
        <f>IF($B76="","",SUM('entri hasil dari isian siswa'!CD76:CN76))</f>
        <v/>
      </c>
      <c r="AE76" t="str">
        <f>IF($B76="","",SUM('entri hasil dari isian siswa'!CO76:CY76))</f>
        <v/>
      </c>
      <c r="AF76" t="str">
        <f>IF($B76="","",SUM('entri hasil dari isian siswa'!CZ76:DJ76))</f>
        <v/>
      </c>
      <c r="AG76" t="str">
        <f>IF($B76="","",SUM('entri hasil dari isian siswa'!DK76:DU76))</f>
        <v/>
      </c>
      <c r="AH76" t="str">
        <f>IF($B76="","",SUM('entri hasil dari isian siswa'!DV76:EF76))</f>
        <v/>
      </c>
      <c r="AI76" t="str">
        <f>IF($B76="","",SUM('entri hasil dari isian siswa'!EG76:ET76))</f>
        <v/>
      </c>
      <c r="AJ76" t="str">
        <f>IF($B76="","",SUM('entri hasil dari isian siswa'!EU76:FH76))</f>
        <v/>
      </c>
      <c r="AK76" t="str">
        <f>IF($B76="","",SUM('entri hasil dari isian siswa'!FI76:FV76))</f>
        <v/>
      </c>
      <c r="AL76" t="str">
        <f>IF($B76="","",SUM('entri hasil dari isian siswa'!FW76:GJ76))</f>
        <v/>
      </c>
      <c r="AM76" t="str">
        <f>IF($B76="","",SUM('entri hasil dari isian siswa'!GK76:GX76))</f>
        <v/>
      </c>
      <c r="AN76" t="str">
        <f>IF($B76="","",SUM('entri hasil dari isian siswa'!GY76:HL76))</f>
        <v/>
      </c>
      <c r="AO76" t="str">
        <f>IF($B76="","",'entri hasil dari isian siswa'!HM76+'entri hasil dari isian siswa'!HS76)</f>
        <v/>
      </c>
      <c r="AP76" t="str">
        <f>IF($B76="","",'entri hasil dari isian siswa'!HN76+'entri hasil dari isian siswa'!HT76)</f>
        <v/>
      </c>
      <c r="AQ76" t="str">
        <f>IF($B76="","",'entri hasil dari isian siswa'!HO76+'entri hasil dari isian siswa'!HU76)</f>
        <v/>
      </c>
      <c r="AR76" t="str">
        <f>IF($B76="","",'entri hasil dari isian siswa'!HP76+'entri hasil dari isian siswa'!HV76)</f>
        <v/>
      </c>
      <c r="AS76" t="str">
        <f>IF($B76="","",'entri hasil dari isian siswa'!HQ76+'entri hasil dari isian siswa'!HW76)</f>
        <v/>
      </c>
      <c r="AT76" t="str">
        <f>IF($B76="","",'entri hasil dari isian siswa'!HR76+'entri hasil dari isian siswa'!HX76)</f>
        <v/>
      </c>
      <c r="AU76" s="69" t="str">
        <f t="shared" si="35"/>
        <v/>
      </c>
      <c r="AV76" s="69" t="str">
        <f>IF($AU76="","",IFERROR(VLOOKUP($AU76,'Kunci dari RIASEC'!$J$4:$K$33,2,FALSE),""))</f>
        <v/>
      </c>
    </row>
    <row r="77" spans="1:48">
      <c r="A77">
        <f t="shared" si="24"/>
        <v>73</v>
      </c>
      <c r="B77" t="str">
        <f>IF('entri hasil dari isian siswa'!B77="","",'entri hasil dari isian siswa'!B77)</f>
        <v/>
      </c>
      <c r="C77" t="str">
        <f>IF('entri hasil dari isian siswa'!C77="","",'entri hasil dari isian siswa'!C77)</f>
        <v/>
      </c>
      <c r="D77" t="str">
        <f>IF('entri hasil dari isian siswa'!D77="","",'entri hasil dari isian siswa'!D77)</f>
        <v/>
      </c>
      <c r="E77" t="str">
        <f t="shared" si="25"/>
        <v/>
      </c>
      <c r="F77" t="str">
        <f t="shared" si="26"/>
        <v/>
      </c>
      <c r="G77" t="str">
        <f t="shared" si="27"/>
        <v/>
      </c>
      <c r="H77" t="str">
        <f t="shared" si="28"/>
        <v/>
      </c>
      <c r="I77" t="str">
        <f t="shared" si="29"/>
        <v/>
      </c>
      <c r="J77" t="str">
        <f t="shared" si="30"/>
        <v/>
      </c>
      <c r="K77" t="str">
        <f>IF($V77&lt;&gt;"OK","",RANK(E77,$E77:$J77,0)+COUNTIF($E77:E77,E77)-1)</f>
        <v/>
      </c>
      <c r="L77" t="str">
        <f>IF($V77&lt;&gt;"OK","",RANK(F77,$E77:$J77,0)+COUNTIF($E77:F77,F77)-1)</f>
        <v/>
      </c>
      <c r="M77" t="str">
        <f>IF($V77&lt;&gt;"OK","",RANK(G77,$E77:$J77,0)+COUNTIF($E77:G77,G77)-1)</f>
        <v/>
      </c>
      <c r="N77" t="str">
        <f>IF($V77&lt;&gt;"OK","",RANK(H77,$E77:$J77,0)+COUNTIF($E77:H77,H77)-1)</f>
        <v/>
      </c>
      <c r="O77" t="str">
        <f>IF($V77&lt;&gt;"OK","",RANK(I77,$E77:$J77,0)+COUNTIF($E77:I77,I77)-1)</f>
        <v/>
      </c>
      <c r="P77" t="str">
        <f>IF($V77&lt;&gt;"OK","",RANK(J77,$E77:$J77,0)+COUNTIF($E77:J77,J77)-1)</f>
        <v/>
      </c>
      <c r="Q77" t="str">
        <f t="shared" si="31"/>
        <v/>
      </c>
      <c r="R77" t="str">
        <f t="shared" si="32"/>
        <v/>
      </c>
      <c r="S77" t="str">
        <f t="shared" si="33"/>
        <v/>
      </c>
      <c r="T77" t="str">
        <f t="shared" si="34"/>
        <v/>
      </c>
      <c r="U77" s="1" t="str">
        <f>IF($T77="","",IFERROR(VLOOKUP($T77,'Kunci dari RIASEC'!$A$4:$B$123,2,FALSE),"Rekomendasi belum tersedia"))</f>
        <v/>
      </c>
      <c r="V77" t="str">
        <f>IF('entri hasil dari isian siswa'!B77="","",'entri hasil dari isian siswa'!HY77)</f>
        <v/>
      </c>
      <c r="W77" t="str">
        <f>IF($B77="","",SUM('entri hasil dari isian siswa'!E77:O77))</f>
        <v/>
      </c>
      <c r="X77" t="str">
        <f>IF($B77="","",SUM('entri hasil dari isian siswa'!P77:Z77))</f>
        <v/>
      </c>
      <c r="Y77" t="str">
        <f>IF($B77="","",SUM('entri hasil dari isian siswa'!AA77:AK77))</f>
        <v/>
      </c>
      <c r="Z77" t="str">
        <f>IF($B77="","",SUM('entri hasil dari isian siswa'!AL77:AV77))</f>
        <v/>
      </c>
      <c r="AA77" t="str">
        <f>IF($B77="","",SUM('entri hasil dari isian siswa'!AW77:BG77))</f>
        <v/>
      </c>
      <c r="AB77" t="str">
        <f>IF($B77="","",SUM('entri hasil dari isian siswa'!BH77:BR77))</f>
        <v/>
      </c>
      <c r="AC77" t="str">
        <f>IF($B77="","",SUM('entri hasil dari isian siswa'!BS77:CC77))</f>
        <v/>
      </c>
      <c r="AD77" t="str">
        <f>IF($B77="","",SUM('entri hasil dari isian siswa'!CD77:CN77))</f>
        <v/>
      </c>
      <c r="AE77" t="str">
        <f>IF($B77="","",SUM('entri hasil dari isian siswa'!CO77:CY77))</f>
        <v/>
      </c>
      <c r="AF77" t="str">
        <f>IF($B77="","",SUM('entri hasil dari isian siswa'!CZ77:DJ77))</f>
        <v/>
      </c>
      <c r="AG77" t="str">
        <f>IF($B77="","",SUM('entri hasil dari isian siswa'!DK77:DU77))</f>
        <v/>
      </c>
      <c r="AH77" t="str">
        <f>IF($B77="","",SUM('entri hasil dari isian siswa'!DV77:EF77))</f>
        <v/>
      </c>
      <c r="AI77" t="str">
        <f>IF($B77="","",SUM('entri hasil dari isian siswa'!EG77:ET77))</f>
        <v/>
      </c>
      <c r="AJ77" t="str">
        <f>IF($B77="","",SUM('entri hasil dari isian siswa'!EU77:FH77))</f>
        <v/>
      </c>
      <c r="AK77" t="str">
        <f>IF($B77="","",SUM('entri hasil dari isian siswa'!FI77:FV77))</f>
        <v/>
      </c>
      <c r="AL77" t="str">
        <f>IF($B77="","",SUM('entri hasil dari isian siswa'!FW77:GJ77))</f>
        <v/>
      </c>
      <c r="AM77" t="str">
        <f>IF($B77="","",SUM('entri hasil dari isian siswa'!GK77:GX77))</f>
        <v/>
      </c>
      <c r="AN77" t="str">
        <f>IF($B77="","",SUM('entri hasil dari isian siswa'!GY77:HL77))</f>
        <v/>
      </c>
      <c r="AO77" t="str">
        <f>IF($B77="","",'entri hasil dari isian siswa'!HM77+'entri hasil dari isian siswa'!HS77)</f>
        <v/>
      </c>
      <c r="AP77" t="str">
        <f>IF($B77="","",'entri hasil dari isian siswa'!HN77+'entri hasil dari isian siswa'!HT77)</f>
        <v/>
      </c>
      <c r="AQ77" t="str">
        <f>IF($B77="","",'entri hasil dari isian siswa'!HO77+'entri hasil dari isian siswa'!HU77)</f>
        <v/>
      </c>
      <c r="AR77" t="str">
        <f>IF($B77="","",'entri hasil dari isian siswa'!HP77+'entri hasil dari isian siswa'!HV77)</f>
        <v/>
      </c>
      <c r="AS77" t="str">
        <f>IF($B77="","",'entri hasil dari isian siswa'!HQ77+'entri hasil dari isian siswa'!HW77)</f>
        <v/>
      </c>
      <c r="AT77" t="str">
        <f>IF($B77="","",'entri hasil dari isian siswa'!HR77+'entri hasil dari isian siswa'!HX77)</f>
        <v/>
      </c>
      <c r="AU77" s="69" t="str">
        <f t="shared" si="35"/>
        <v/>
      </c>
      <c r="AV77" s="69" t="str">
        <f>IF($AU77="","",IFERROR(VLOOKUP($AU77,'Kunci dari RIASEC'!$J$4:$K$33,2,FALSE),""))</f>
        <v/>
      </c>
    </row>
    <row r="78" spans="1:48">
      <c r="A78">
        <f t="shared" si="24"/>
        <v>74</v>
      </c>
      <c r="B78" t="str">
        <f>IF('entri hasil dari isian siswa'!B78="","",'entri hasil dari isian siswa'!B78)</f>
        <v/>
      </c>
      <c r="C78" t="str">
        <f>IF('entri hasil dari isian siswa'!C78="","",'entri hasil dari isian siswa'!C78)</f>
        <v/>
      </c>
      <c r="D78" t="str">
        <f>IF('entri hasil dari isian siswa'!D78="","",'entri hasil dari isian siswa'!D78)</f>
        <v/>
      </c>
      <c r="E78" t="str">
        <f t="shared" si="25"/>
        <v/>
      </c>
      <c r="F78" t="str">
        <f t="shared" si="26"/>
        <v/>
      </c>
      <c r="G78" t="str">
        <f t="shared" si="27"/>
        <v/>
      </c>
      <c r="H78" t="str">
        <f t="shared" si="28"/>
        <v/>
      </c>
      <c r="I78" t="str">
        <f t="shared" si="29"/>
        <v/>
      </c>
      <c r="J78" t="str">
        <f t="shared" si="30"/>
        <v/>
      </c>
      <c r="K78" t="str">
        <f>IF($V78&lt;&gt;"OK","",RANK(E78,$E78:$J78,0)+COUNTIF($E78:E78,E78)-1)</f>
        <v/>
      </c>
      <c r="L78" t="str">
        <f>IF($V78&lt;&gt;"OK","",RANK(F78,$E78:$J78,0)+COUNTIF($E78:F78,F78)-1)</f>
        <v/>
      </c>
      <c r="M78" t="str">
        <f>IF($V78&lt;&gt;"OK","",RANK(G78,$E78:$J78,0)+COUNTIF($E78:G78,G78)-1)</f>
        <v/>
      </c>
      <c r="N78" t="str">
        <f>IF($V78&lt;&gt;"OK","",RANK(H78,$E78:$J78,0)+COUNTIF($E78:H78,H78)-1)</f>
        <v/>
      </c>
      <c r="O78" t="str">
        <f>IF($V78&lt;&gt;"OK","",RANK(I78,$E78:$J78,0)+COUNTIF($E78:I78,I78)-1)</f>
        <v/>
      </c>
      <c r="P78" t="str">
        <f>IF($V78&lt;&gt;"OK","",RANK(J78,$E78:$J78,0)+COUNTIF($E78:J78,J78)-1)</f>
        <v/>
      </c>
      <c r="Q78" t="str">
        <f t="shared" si="31"/>
        <v/>
      </c>
      <c r="R78" t="str">
        <f t="shared" si="32"/>
        <v/>
      </c>
      <c r="S78" t="str">
        <f t="shared" si="33"/>
        <v/>
      </c>
      <c r="T78" t="str">
        <f t="shared" si="34"/>
        <v/>
      </c>
      <c r="U78" s="1" t="str">
        <f>IF($T78="","",IFERROR(VLOOKUP($T78,'Kunci dari RIASEC'!$A$4:$B$123,2,FALSE),"Rekomendasi belum tersedia"))</f>
        <v/>
      </c>
      <c r="V78" t="str">
        <f>IF('entri hasil dari isian siswa'!B78="","",'entri hasil dari isian siswa'!HY78)</f>
        <v/>
      </c>
      <c r="W78" t="str">
        <f>IF($B78="","",SUM('entri hasil dari isian siswa'!E78:O78))</f>
        <v/>
      </c>
      <c r="X78" t="str">
        <f>IF($B78="","",SUM('entri hasil dari isian siswa'!P78:Z78))</f>
        <v/>
      </c>
      <c r="Y78" t="str">
        <f>IF($B78="","",SUM('entri hasil dari isian siswa'!AA78:AK78))</f>
        <v/>
      </c>
      <c r="Z78" t="str">
        <f>IF($B78="","",SUM('entri hasil dari isian siswa'!AL78:AV78))</f>
        <v/>
      </c>
      <c r="AA78" t="str">
        <f>IF($B78="","",SUM('entri hasil dari isian siswa'!AW78:BG78))</f>
        <v/>
      </c>
      <c r="AB78" t="str">
        <f>IF($B78="","",SUM('entri hasil dari isian siswa'!BH78:BR78))</f>
        <v/>
      </c>
      <c r="AC78" t="str">
        <f>IF($B78="","",SUM('entri hasil dari isian siswa'!BS78:CC78))</f>
        <v/>
      </c>
      <c r="AD78" t="str">
        <f>IF($B78="","",SUM('entri hasil dari isian siswa'!CD78:CN78))</f>
        <v/>
      </c>
      <c r="AE78" t="str">
        <f>IF($B78="","",SUM('entri hasil dari isian siswa'!CO78:CY78))</f>
        <v/>
      </c>
      <c r="AF78" t="str">
        <f>IF($B78="","",SUM('entri hasil dari isian siswa'!CZ78:DJ78))</f>
        <v/>
      </c>
      <c r="AG78" t="str">
        <f>IF($B78="","",SUM('entri hasil dari isian siswa'!DK78:DU78))</f>
        <v/>
      </c>
      <c r="AH78" t="str">
        <f>IF($B78="","",SUM('entri hasil dari isian siswa'!DV78:EF78))</f>
        <v/>
      </c>
      <c r="AI78" t="str">
        <f>IF($B78="","",SUM('entri hasil dari isian siswa'!EG78:ET78))</f>
        <v/>
      </c>
      <c r="AJ78" t="str">
        <f>IF($B78="","",SUM('entri hasil dari isian siswa'!EU78:FH78))</f>
        <v/>
      </c>
      <c r="AK78" t="str">
        <f>IF($B78="","",SUM('entri hasil dari isian siswa'!FI78:FV78))</f>
        <v/>
      </c>
      <c r="AL78" t="str">
        <f>IF($B78="","",SUM('entri hasil dari isian siswa'!FW78:GJ78))</f>
        <v/>
      </c>
      <c r="AM78" t="str">
        <f>IF($B78="","",SUM('entri hasil dari isian siswa'!GK78:GX78))</f>
        <v/>
      </c>
      <c r="AN78" t="str">
        <f>IF($B78="","",SUM('entri hasil dari isian siswa'!GY78:HL78))</f>
        <v/>
      </c>
      <c r="AO78" t="str">
        <f>IF($B78="","",'entri hasil dari isian siswa'!HM78+'entri hasil dari isian siswa'!HS78)</f>
        <v/>
      </c>
      <c r="AP78" t="str">
        <f>IF($B78="","",'entri hasil dari isian siswa'!HN78+'entri hasil dari isian siswa'!HT78)</f>
        <v/>
      </c>
      <c r="AQ78" t="str">
        <f>IF($B78="","",'entri hasil dari isian siswa'!HO78+'entri hasil dari isian siswa'!HU78)</f>
        <v/>
      </c>
      <c r="AR78" t="str">
        <f>IF($B78="","",'entri hasil dari isian siswa'!HP78+'entri hasil dari isian siswa'!HV78)</f>
        <v/>
      </c>
      <c r="AS78" t="str">
        <f>IF($B78="","",'entri hasil dari isian siswa'!HQ78+'entri hasil dari isian siswa'!HW78)</f>
        <v/>
      </c>
      <c r="AT78" t="str">
        <f>IF($B78="","",'entri hasil dari isian siswa'!HR78+'entri hasil dari isian siswa'!HX78)</f>
        <v/>
      </c>
      <c r="AU78" s="69" t="str">
        <f t="shared" si="35"/>
        <v/>
      </c>
      <c r="AV78" s="69" t="str">
        <f>IF($AU78="","",IFERROR(VLOOKUP($AU78,'Kunci dari RIASEC'!$J$4:$K$33,2,FALSE),""))</f>
        <v/>
      </c>
    </row>
    <row r="79" spans="1:48">
      <c r="A79">
        <f t="shared" si="24"/>
        <v>75</v>
      </c>
      <c r="B79" t="str">
        <f>IF('entri hasil dari isian siswa'!B79="","",'entri hasil dari isian siswa'!B79)</f>
        <v/>
      </c>
      <c r="C79" t="str">
        <f>IF('entri hasil dari isian siswa'!C79="","",'entri hasil dari isian siswa'!C79)</f>
        <v/>
      </c>
      <c r="D79" t="str">
        <f>IF('entri hasil dari isian siswa'!D79="","",'entri hasil dari isian siswa'!D79)</f>
        <v/>
      </c>
      <c r="E79" t="str">
        <f t="shared" si="25"/>
        <v/>
      </c>
      <c r="F79" t="str">
        <f t="shared" si="26"/>
        <v/>
      </c>
      <c r="G79" t="str">
        <f t="shared" si="27"/>
        <v/>
      </c>
      <c r="H79" t="str">
        <f t="shared" si="28"/>
        <v/>
      </c>
      <c r="I79" t="str">
        <f t="shared" si="29"/>
        <v/>
      </c>
      <c r="J79" t="str">
        <f t="shared" si="30"/>
        <v/>
      </c>
      <c r="K79" t="str">
        <f>IF($V79&lt;&gt;"OK","",RANK(E79,$E79:$J79,0)+COUNTIF($E79:E79,E79)-1)</f>
        <v/>
      </c>
      <c r="L79" t="str">
        <f>IF($V79&lt;&gt;"OK","",RANK(F79,$E79:$J79,0)+COUNTIF($E79:F79,F79)-1)</f>
        <v/>
      </c>
      <c r="M79" t="str">
        <f>IF($V79&lt;&gt;"OK","",RANK(G79,$E79:$J79,0)+COUNTIF($E79:G79,G79)-1)</f>
        <v/>
      </c>
      <c r="N79" t="str">
        <f>IF($V79&lt;&gt;"OK","",RANK(H79,$E79:$J79,0)+COUNTIF($E79:H79,H79)-1)</f>
        <v/>
      </c>
      <c r="O79" t="str">
        <f>IF($V79&lt;&gt;"OK","",RANK(I79,$E79:$J79,0)+COUNTIF($E79:I79,I79)-1)</f>
        <v/>
      </c>
      <c r="P79" t="str">
        <f>IF($V79&lt;&gt;"OK","",RANK(J79,$E79:$J79,0)+COUNTIF($E79:J79,J79)-1)</f>
        <v/>
      </c>
      <c r="Q79" t="str">
        <f t="shared" si="31"/>
        <v/>
      </c>
      <c r="R79" t="str">
        <f t="shared" si="32"/>
        <v/>
      </c>
      <c r="S79" t="str">
        <f t="shared" si="33"/>
        <v/>
      </c>
      <c r="T79" t="str">
        <f t="shared" si="34"/>
        <v/>
      </c>
      <c r="U79" s="1" t="str">
        <f>IF($T79="","",IFERROR(VLOOKUP($T79,'Kunci dari RIASEC'!$A$4:$B$123,2,FALSE),"Rekomendasi belum tersedia"))</f>
        <v/>
      </c>
      <c r="V79" t="str">
        <f>IF('entri hasil dari isian siswa'!B79="","",'entri hasil dari isian siswa'!HY79)</f>
        <v/>
      </c>
      <c r="W79" t="str">
        <f>IF($B79="","",SUM('entri hasil dari isian siswa'!E79:O79))</f>
        <v/>
      </c>
      <c r="X79" t="str">
        <f>IF($B79="","",SUM('entri hasil dari isian siswa'!P79:Z79))</f>
        <v/>
      </c>
      <c r="Y79" t="str">
        <f>IF($B79="","",SUM('entri hasil dari isian siswa'!AA79:AK79))</f>
        <v/>
      </c>
      <c r="Z79" t="str">
        <f>IF($B79="","",SUM('entri hasil dari isian siswa'!AL79:AV79))</f>
        <v/>
      </c>
      <c r="AA79" t="str">
        <f>IF($B79="","",SUM('entri hasil dari isian siswa'!AW79:BG79))</f>
        <v/>
      </c>
      <c r="AB79" t="str">
        <f>IF($B79="","",SUM('entri hasil dari isian siswa'!BH79:BR79))</f>
        <v/>
      </c>
      <c r="AC79" t="str">
        <f>IF($B79="","",SUM('entri hasil dari isian siswa'!BS79:CC79))</f>
        <v/>
      </c>
      <c r="AD79" t="str">
        <f>IF($B79="","",SUM('entri hasil dari isian siswa'!CD79:CN79))</f>
        <v/>
      </c>
      <c r="AE79" t="str">
        <f>IF($B79="","",SUM('entri hasil dari isian siswa'!CO79:CY79))</f>
        <v/>
      </c>
      <c r="AF79" t="str">
        <f>IF($B79="","",SUM('entri hasil dari isian siswa'!CZ79:DJ79))</f>
        <v/>
      </c>
      <c r="AG79" t="str">
        <f>IF($B79="","",SUM('entri hasil dari isian siswa'!DK79:DU79))</f>
        <v/>
      </c>
      <c r="AH79" t="str">
        <f>IF($B79="","",SUM('entri hasil dari isian siswa'!DV79:EF79))</f>
        <v/>
      </c>
      <c r="AI79" t="str">
        <f>IF($B79="","",SUM('entri hasil dari isian siswa'!EG79:ET79))</f>
        <v/>
      </c>
      <c r="AJ79" t="str">
        <f>IF($B79="","",SUM('entri hasil dari isian siswa'!EU79:FH79))</f>
        <v/>
      </c>
      <c r="AK79" t="str">
        <f>IF($B79="","",SUM('entri hasil dari isian siswa'!FI79:FV79))</f>
        <v/>
      </c>
      <c r="AL79" t="str">
        <f>IF($B79="","",SUM('entri hasil dari isian siswa'!FW79:GJ79))</f>
        <v/>
      </c>
      <c r="AM79" t="str">
        <f>IF($B79="","",SUM('entri hasil dari isian siswa'!GK79:GX79))</f>
        <v/>
      </c>
      <c r="AN79" t="str">
        <f>IF($B79="","",SUM('entri hasil dari isian siswa'!GY79:HL79))</f>
        <v/>
      </c>
      <c r="AO79" t="str">
        <f>IF($B79="","",'entri hasil dari isian siswa'!HM79+'entri hasil dari isian siswa'!HS79)</f>
        <v/>
      </c>
      <c r="AP79" t="str">
        <f>IF($B79="","",'entri hasil dari isian siswa'!HN79+'entri hasil dari isian siswa'!HT79)</f>
        <v/>
      </c>
      <c r="AQ79" t="str">
        <f>IF($B79="","",'entri hasil dari isian siswa'!HO79+'entri hasil dari isian siswa'!HU79)</f>
        <v/>
      </c>
      <c r="AR79" t="str">
        <f>IF($B79="","",'entri hasil dari isian siswa'!HP79+'entri hasil dari isian siswa'!HV79)</f>
        <v/>
      </c>
      <c r="AS79" t="str">
        <f>IF($B79="","",'entri hasil dari isian siswa'!HQ79+'entri hasil dari isian siswa'!HW79)</f>
        <v/>
      </c>
      <c r="AT79" t="str">
        <f>IF($B79="","",'entri hasil dari isian siswa'!HR79+'entri hasil dari isian siswa'!HX79)</f>
        <v/>
      </c>
      <c r="AU79" s="69" t="str">
        <f t="shared" si="35"/>
        <v/>
      </c>
      <c r="AV79" s="69" t="str">
        <f>IF($AU79="","",IFERROR(VLOOKUP($AU79,'Kunci dari RIASEC'!$J$4:$K$33,2,FALSE),""))</f>
        <v/>
      </c>
    </row>
    <row r="80" spans="1:48">
      <c r="A80">
        <f t="shared" si="24"/>
        <v>76</v>
      </c>
      <c r="B80" t="str">
        <f>IF('entri hasil dari isian siswa'!B80="","",'entri hasil dari isian siswa'!B80)</f>
        <v/>
      </c>
      <c r="C80" t="str">
        <f>IF('entri hasil dari isian siswa'!C80="","",'entri hasil dari isian siswa'!C80)</f>
        <v/>
      </c>
      <c r="D80" t="str">
        <f>IF('entri hasil dari isian siswa'!D80="","",'entri hasil dari isian siswa'!D80)</f>
        <v/>
      </c>
      <c r="E80" t="str">
        <f t="shared" si="25"/>
        <v/>
      </c>
      <c r="F80" t="str">
        <f t="shared" si="26"/>
        <v/>
      </c>
      <c r="G80" t="str">
        <f t="shared" si="27"/>
        <v/>
      </c>
      <c r="H80" t="str">
        <f t="shared" si="28"/>
        <v/>
      </c>
      <c r="I80" t="str">
        <f t="shared" si="29"/>
        <v/>
      </c>
      <c r="J80" t="str">
        <f t="shared" si="30"/>
        <v/>
      </c>
      <c r="K80" t="str">
        <f>IF($V80&lt;&gt;"OK","",RANK(E80,$E80:$J80,0)+COUNTIF($E80:E80,E80)-1)</f>
        <v/>
      </c>
      <c r="L80" t="str">
        <f>IF($V80&lt;&gt;"OK","",RANK(F80,$E80:$J80,0)+COUNTIF($E80:F80,F80)-1)</f>
        <v/>
      </c>
      <c r="M80" t="str">
        <f>IF($V80&lt;&gt;"OK","",RANK(G80,$E80:$J80,0)+COUNTIF($E80:G80,G80)-1)</f>
        <v/>
      </c>
      <c r="N80" t="str">
        <f>IF($V80&lt;&gt;"OK","",RANK(H80,$E80:$J80,0)+COUNTIF($E80:H80,H80)-1)</f>
        <v/>
      </c>
      <c r="O80" t="str">
        <f>IF($V80&lt;&gt;"OK","",RANK(I80,$E80:$J80,0)+COUNTIF($E80:I80,I80)-1)</f>
        <v/>
      </c>
      <c r="P80" t="str">
        <f>IF($V80&lt;&gt;"OK","",RANK(J80,$E80:$J80,0)+COUNTIF($E80:J80,J80)-1)</f>
        <v/>
      </c>
      <c r="Q80" t="str">
        <f t="shared" si="31"/>
        <v/>
      </c>
      <c r="R80" t="str">
        <f t="shared" si="32"/>
        <v/>
      </c>
      <c r="S80" t="str">
        <f t="shared" si="33"/>
        <v/>
      </c>
      <c r="T80" t="str">
        <f t="shared" si="34"/>
        <v/>
      </c>
      <c r="U80" s="1" t="str">
        <f>IF($T80="","",IFERROR(VLOOKUP($T80,'Kunci dari RIASEC'!$A$4:$B$123,2,FALSE),"Rekomendasi belum tersedia"))</f>
        <v/>
      </c>
      <c r="V80" t="str">
        <f>IF('entri hasil dari isian siswa'!B80="","",'entri hasil dari isian siswa'!HY80)</f>
        <v/>
      </c>
      <c r="W80" t="str">
        <f>IF($B80="","",SUM('entri hasil dari isian siswa'!E80:O80))</f>
        <v/>
      </c>
      <c r="X80" t="str">
        <f>IF($B80="","",SUM('entri hasil dari isian siswa'!P80:Z80))</f>
        <v/>
      </c>
      <c r="Y80" t="str">
        <f>IF($B80="","",SUM('entri hasil dari isian siswa'!AA80:AK80))</f>
        <v/>
      </c>
      <c r="Z80" t="str">
        <f>IF($B80="","",SUM('entri hasil dari isian siswa'!AL80:AV80))</f>
        <v/>
      </c>
      <c r="AA80" t="str">
        <f>IF($B80="","",SUM('entri hasil dari isian siswa'!AW80:BG80))</f>
        <v/>
      </c>
      <c r="AB80" t="str">
        <f>IF($B80="","",SUM('entri hasil dari isian siswa'!BH80:BR80))</f>
        <v/>
      </c>
      <c r="AC80" t="str">
        <f>IF($B80="","",SUM('entri hasil dari isian siswa'!BS80:CC80))</f>
        <v/>
      </c>
      <c r="AD80" t="str">
        <f>IF($B80="","",SUM('entri hasil dari isian siswa'!CD80:CN80))</f>
        <v/>
      </c>
      <c r="AE80" t="str">
        <f>IF($B80="","",SUM('entri hasil dari isian siswa'!CO80:CY80))</f>
        <v/>
      </c>
      <c r="AF80" t="str">
        <f>IF($B80="","",SUM('entri hasil dari isian siswa'!CZ80:DJ80))</f>
        <v/>
      </c>
      <c r="AG80" t="str">
        <f>IF($B80="","",SUM('entri hasil dari isian siswa'!DK80:DU80))</f>
        <v/>
      </c>
      <c r="AH80" t="str">
        <f>IF($B80="","",SUM('entri hasil dari isian siswa'!DV80:EF80))</f>
        <v/>
      </c>
      <c r="AI80" t="str">
        <f>IF($B80="","",SUM('entri hasil dari isian siswa'!EG80:ET80))</f>
        <v/>
      </c>
      <c r="AJ80" t="str">
        <f>IF($B80="","",SUM('entri hasil dari isian siswa'!EU80:FH80))</f>
        <v/>
      </c>
      <c r="AK80" t="str">
        <f>IF($B80="","",SUM('entri hasil dari isian siswa'!FI80:FV80))</f>
        <v/>
      </c>
      <c r="AL80" t="str">
        <f>IF($B80="","",SUM('entri hasil dari isian siswa'!FW80:GJ80))</f>
        <v/>
      </c>
      <c r="AM80" t="str">
        <f>IF($B80="","",SUM('entri hasil dari isian siswa'!GK80:GX80))</f>
        <v/>
      </c>
      <c r="AN80" t="str">
        <f>IF($B80="","",SUM('entri hasil dari isian siswa'!GY80:HL80))</f>
        <v/>
      </c>
      <c r="AO80" t="str">
        <f>IF($B80="","",'entri hasil dari isian siswa'!HM80+'entri hasil dari isian siswa'!HS80)</f>
        <v/>
      </c>
      <c r="AP80" t="str">
        <f>IF($B80="","",'entri hasil dari isian siswa'!HN80+'entri hasil dari isian siswa'!HT80)</f>
        <v/>
      </c>
      <c r="AQ80" t="str">
        <f>IF($B80="","",'entri hasil dari isian siswa'!HO80+'entri hasil dari isian siswa'!HU80)</f>
        <v/>
      </c>
      <c r="AR80" t="str">
        <f>IF($B80="","",'entri hasil dari isian siswa'!HP80+'entri hasil dari isian siswa'!HV80)</f>
        <v/>
      </c>
      <c r="AS80" t="str">
        <f>IF($B80="","",'entri hasil dari isian siswa'!HQ80+'entri hasil dari isian siswa'!HW80)</f>
        <v/>
      </c>
      <c r="AT80" t="str">
        <f>IF($B80="","",'entri hasil dari isian siswa'!HR80+'entri hasil dari isian siswa'!HX80)</f>
        <v/>
      </c>
      <c r="AU80" s="69" t="str">
        <f t="shared" si="35"/>
        <v/>
      </c>
      <c r="AV80" s="69" t="str">
        <f>IF($AU80="","",IFERROR(VLOOKUP($AU80,'Kunci dari RIASEC'!$J$4:$K$33,2,FALSE),""))</f>
        <v/>
      </c>
    </row>
    <row r="81" spans="1:48">
      <c r="A81">
        <f t="shared" si="24"/>
        <v>77</v>
      </c>
      <c r="B81" t="str">
        <f>IF('entri hasil dari isian siswa'!B81="","",'entri hasil dari isian siswa'!B81)</f>
        <v/>
      </c>
      <c r="C81" t="str">
        <f>IF('entri hasil dari isian siswa'!C81="","",'entri hasil dari isian siswa'!C81)</f>
        <v/>
      </c>
      <c r="D81" t="str">
        <f>IF('entri hasil dari isian siswa'!D81="","",'entri hasil dari isian siswa'!D81)</f>
        <v/>
      </c>
      <c r="E81" t="str">
        <f t="shared" si="25"/>
        <v/>
      </c>
      <c r="F81" t="str">
        <f t="shared" si="26"/>
        <v/>
      </c>
      <c r="G81" t="str">
        <f t="shared" si="27"/>
        <v/>
      </c>
      <c r="H81" t="str">
        <f t="shared" si="28"/>
        <v/>
      </c>
      <c r="I81" t="str">
        <f t="shared" si="29"/>
        <v/>
      </c>
      <c r="J81" t="str">
        <f t="shared" si="30"/>
        <v/>
      </c>
      <c r="K81" t="str">
        <f>IF($V81&lt;&gt;"OK","",RANK(E81,$E81:$J81,0)+COUNTIF($E81:E81,E81)-1)</f>
        <v/>
      </c>
      <c r="L81" t="str">
        <f>IF($V81&lt;&gt;"OK","",RANK(F81,$E81:$J81,0)+COUNTIF($E81:F81,F81)-1)</f>
        <v/>
      </c>
      <c r="M81" t="str">
        <f>IF($V81&lt;&gt;"OK","",RANK(G81,$E81:$J81,0)+COUNTIF($E81:G81,G81)-1)</f>
        <v/>
      </c>
      <c r="N81" t="str">
        <f>IF($V81&lt;&gt;"OK","",RANK(H81,$E81:$J81,0)+COUNTIF($E81:H81,H81)-1)</f>
        <v/>
      </c>
      <c r="O81" t="str">
        <f>IF($V81&lt;&gt;"OK","",RANK(I81,$E81:$J81,0)+COUNTIF($E81:I81,I81)-1)</f>
        <v/>
      </c>
      <c r="P81" t="str">
        <f>IF($V81&lt;&gt;"OK","",RANK(J81,$E81:$J81,0)+COUNTIF($E81:J81,J81)-1)</f>
        <v/>
      </c>
      <c r="Q81" t="str">
        <f t="shared" si="31"/>
        <v/>
      </c>
      <c r="R81" t="str">
        <f t="shared" si="32"/>
        <v/>
      </c>
      <c r="S81" t="str">
        <f t="shared" si="33"/>
        <v/>
      </c>
      <c r="T81" t="str">
        <f t="shared" si="34"/>
        <v/>
      </c>
      <c r="U81" s="1" t="str">
        <f>IF($T81="","",IFERROR(VLOOKUP($T81,'Kunci dari RIASEC'!$A$4:$B$123,2,FALSE),"Rekomendasi belum tersedia"))</f>
        <v/>
      </c>
      <c r="V81" t="str">
        <f>IF('entri hasil dari isian siswa'!B81="","",'entri hasil dari isian siswa'!HY81)</f>
        <v/>
      </c>
      <c r="W81" t="str">
        <f>IF($B81="","",SUM('entri hasil dari isian siswa'!E81:O81))</f>
        <v/>
      </c>
      <c r="X81" t="str">
        <f>IF($B81="","",SUM('entri hasil dari isian siswa'!P81:Z81))</f>
        <v/>
      </c>
      <c r="Y81" t="str">
        <f>IF($B81="","",SUM('entri hasil dari isian siswa'!AA81:AK81))</f>
        <v/>
      </c>
      <c r="Z81" t="str">
        <f>IF($B81="","",SUM('entri hasil dari isian siswa'!AL81:AV81))</f>
        <v/>
      </c>
      <c r="AA81" t="str">
        <f>IF($B81="","",SUM('entri hasil dari isian siswa'!AW81:BG81))</f>
        <v/>
      </c>
      <c r="AB81" t="str">
        <f>IF($B81="","",SUM('entri hasil dari isian siswa'!BH81:BR81))</f>
        <v/>
      </c>
      <c r="AC81" t="str">
        <f>IF($B81="","",SUM('entri hasil dari isian siswa'!BS81:CC81))</f>
        <v/>
      </c>
      <c r="AD81" t="str">
        <f>IF($B81="","",SUM('entri hasil dari isian siswa'!CD81:CN81))</f>
        <v/>
      </c>
      <c r="AE81" t="str">
        <f>IF($B81="","",SUM('entri hasil dari isian siswa'!CO81:CY81))</f>
        <v/>
      </c>
      <c r="AF81" t="str">
        <f>IF($B81="","",SUM('entri hasil dari isian siswa'!CZ81:DJ81))</f>
        <v/>
      </c>
      <c r="AG81" t="str">
        <f>IF($B81="","",SUM('entri hasil dari isian siswa'!DK81:DU81))</f>
        <v/>
      </c>
      <c r="AH81" t="str">
        <f>IF($B81="","",SUM('entri hasil dari isian siswa'!DV81:EF81))</f>
        <v/>
      </c>
      <c r="AI81" t="str">
        <f>IF($B81="","",SUM('entri hasil dari isian siswa'!EG81:ET81))</f>
        <v/>
      </c>
      <c r="AJ81" t="str">
        <f>IF($B81="","",SUM('entri hasil dari isian siswa'!EU81:FH81))</f>
        <v/>
      </c>
      <c r="AK81" t="str">
        <f>IF($B81="","",SUM('entri hasil dari isian siswa'!FI81:FV81))</f>
        <v/>
      </c>
      <c r="AL81" t="str">
        <f>IF($B81="","",SUM('entri hasil dari isian siswa'!FW81:GJ81))</f>
        <v/>
      </c>
      <c r="AM81" t="str">
        <f>IF($B81="","",SUM('entri hasil dari isian siswa'!GK81:GX81))</f>
        <v/>
      </c>
      <c r="AN81" t="str">
        <f>IF($B81="","",SUM('entri hasil dari isian siswa'!GY81:HL81))</f>
        <v/>
      </c>
      <c r="AO81" t="str">
        <f>IF($B81="","",'entri hasil dari isian siswa'!HM81+'entri hasil dari isian siswa'!HS81)</f>
        <v/>
      </c>
      <c r="AP81" t="str">
        <f>IF($B81="","",'entri hasil dari isian siswa'!HN81+'entri hasil dari isian siswa'!HT81)</f>
        <v/>
      </c>
      <c r="AQ81" t="str">
        <f>IF($B81="","",'entri hasil dari isian siswa'!HO81+'entri hasil dari isian siswa'!HU81)</f>
        <v/>
      </c>
      <c r="AR81" t="str">
        <f>IF($B81="","",'entri hasil dari isian siswa'!HP81+'entri hasil dari isian siswa'!HV81)</f>
        <v/>
      </c>
      <c r="AS81" t="str">
        <f>IF($B81="","",'entri hasil dari isian siswa'!HQ81+'entri hasil dari isian siswa'!HW81)</f>
        <v/>
      </c>
      <c r="AT81" t="str">
        <f>IF($B81="","",'entri hasil dari isian siswa'!HR81+'entri hasil dari isian siswa'!HX81)</f>
        <v/>
      </c>
      <c r="AU81" s="69" t="str">
        <f t="shared" si="35"/>
        <v/>
      </c>
      <c r="AV81" s="69" t="str">
        <f>IF($AU81="","",IFERROR(VLOOKUP($AU81,'Kunci dari RIASEC'!$J$4:$K$33,2,FALSE),""))</f>
        <v/>
      </c>
    </row>
    <row r="82" spans="1:48">
      <c r="A82">
        <f t="shared" si="24"/>
        <v>78</v>
      </c>
      <c r="B82" t="str">
        <f>IF('entri hasil dari isian siswa'!B82="","",'entri hasil dari isian siswa'!B82)</f>
        <v/>
      </c>
      <c r="C82" t="str">
        <f>IF('entri hasil dari isian siswa'!C82="","",'entri hasil dari isian siswa'!C82)</f>
        <v/>
      </c>
      <c r="D82" t="str">
        <f>IF('entri hasil dari isian siswa'!D82="","",'entri hasil dari isian siswa'!D82)</f>
        <v/>
      </c>
      <c r="E82" t="str">
        <f t="shared" si="25"/>
        <v/>
      </c>
      <c r="F82" t="str">
        <f t="shared" si="26"/>
        <v/>
      </c>
      <c r="G82" t="str">
        <f t="shared" si="27"/>
        <v/>
      </c>
      <c r="H82" t="str">
        <f t="shared" si="28"/>
        <v/>
      </c>
      <c r="I82" t="str">
        <f t="shared" si="29"/>
        <v/>
      </c>
      <c r="J82" t="str">
        <f t="shared" si="30"/>
        <v/>
      </c>
      <c r="K82" t="str">
        <f>IF($V82&lt;&gt;"OK","",RANK(E82,$E82:$J82,0)+COUNTIF($E82:E82,E82)-1)</f>
        <v/>
      </c>
      <c r="L82" t="str">
        <f>IF($V82&lt;&gt;"OK","",RANK(F82,$E82:$J82,0)+COUNTIF($E82:F82,F82)-1)</f>
        <v/>
      </c>
      <c r="M82" t="str">
        <f>IF($V82&lt;&gt;"OK","",RANK(G82,$E82:$J82,0)+COUNTIF($E82:G82,G82)-1)</f>
        <v/>
      </c>
      <c r="N82" t="str">
        <f>IF($V82&lt;&gt;"OK","",RANK(H82,$E82:$J82,0)+COUNTIF($E82:H82,H82)-1)</f>
        <v/>
      </c>
      <c r="O82" t="str">
        <f>IF($V82&lt;&gt;"OK","",RANK(I82,$E82:$J82,0)+COUNTIF($E82:I82,I82)-1)</f>
        <v/>
      </c>
      <c r="P82" t="str">
        <f>IF($V82&lt;&gt;"OK","",RANK(J82,$E82:$J82,0)+COUNTIF($E82:J82,J82)-1)</f>
        <v/>
      </c>
      <c r="Q82" t="str">
        <f t="shared" si="31"/>
        <v/>
      </c>
      <c r="R82" t="str">
        <f t="shared" si="32"/>
        <v/>
      </c>
      <c r="S82" t="str">
        <f t="shared" si="33"/>
        <v/>
      </c>
      <c r="T82" t="str">
        <f t="shared" si="34"/>
        <v/>
      </c>
      <c r="U82" s="1" t="str">
        <f>IF($T82="","",IFERROR(VLOOKUP($T82,'Kunci dari RIASEC'!$A$4:$B$123,2,FALSE),"Rekomendasi belum tersedia"))</f>
        <v/>
      </c>
      <c r="V82" t="str">
        <f>IF('entri hasil dari isian siswa'!B82="","",'entri hasil dari isian siswa'!HY82)</f>
        <v/>
      </c>
      <c r="W82" t="str">
        <f>IF($B82="","",SUM('entri hasil dari isian siswa'!E82:O82))</f>
        <v/>
      </c>
      <c r="X82" t="str">
        <f>IF($B82="","",SUM('entri hasil dari isian siswa'!P82:Z82))</f>
        <v/>
      </c>
      <c r="Y82" t="str">
        <f>IF($B82="","",SUM('entri hasil dari isian siswa'!AA82:AK82))</f>
        <v/>
      </c>
      <c r="Z82" t="str">
        <f>IF($B82="","",SUM('entri hasil dari isian siswa'!AL82:AV82))</f>
        <v/>
      </c>
      <c r="AA82" t="str">
        <f>IF($B82="","",SUM('entri hasil dari isian siswa'!AW82:BG82))</f>
        <v/>
      </c>
      <c r="AB82" t="str">
        <f>IF($B82="","",SUM('entri hasil dari isian siswa'!BH82:BR82))</f>
        <v/>
      </c>
      <c r="AC82" t="str">
        <f>IF($B82="","",SUM('entri hasil dari isian siswa'!BS82:CC82))</f>
        <v/>
      </c>
      <c r="AD82" t="str">
        <f>IF($B82="","",SUM('entri hasil dari isian siswa'!CD82:CN82))</f>
        <v/>
      </c>
      <c r="AE82" t="str">
        <f>IF($B82="","",SUM('entri hasil dari isian siswa'!CO82:CY82))</f>
        <v/>
      </c>
      <c r="AF82" t="str">
        <f>IF($B82="","",SUM('entri hasil dari isian siswa'!CZ82:DJ82))</f>
        <v/>
      </c>
      <c r="AG82" t="str">
        <f>IF($B82="","",SUM('entri hasil dari isian siswa'!DK82:DU82))</f>
        <v/>
      </c>
      <c r="AH82" t="str">
        <f>IF($B82="","",SUM('entri hasil dari isian siswa'!DV82:EF82))</f>
        <v/>
      </c>
      <c r="AI82" t="str">
        <f>IF($B82="","",SUM('entri hasil dari isian siswa'!EG82:ET82))</f>
        <v/>
      </c>
      <c r="AJ82" t="str">
        <f>IF($B82="","",SUM('entri hasil dari isian siswa'!EU82:FH82))</f>
        <v/>
      </c>
      <c r="AK82" t="str">
        <f>IF($B82="","",SUM('entri hasil dari isian siswa'!FI82:FV82))</f>
        <v/>
      </c>
      <c r="AL82" t="str">
        <f>IF($B82="","",SUM('entri hasil dari isian siswa'!FW82:GJ82))</f>
        <v/>
      </c>
      <c r="AM82" t="str">
        <f>IF($B82="","",SUM('entri hasil dari isian siswa'!GK82:GX82))</f>
        <v/>
      </c>
      <c r="AN82" t="str">
        <f>IF($B82="","",SUM('entri hasil dari isian siswa'!GY82:HL82))</f>
        <v/>
      </c>
      <c r="AO82" t="str">
        <f>IF($B82="","",'entri hasil dari isian siswa'!HM82+'entri hasil dari isian siswa'!HS82)</f>
        <v/>
      </c>
      <c r="AP82" t="str">
        <f>IF($B82="","",'entri hasil dari isian siswa'!HN82+'entri hasil dari isian siswa'!HT82)</f>
        <v/>
      </c>
      <c r="AQ82" t="str">
        <f>IF($B82="","",'entri hasil dari isian siswa'!HO82+'entri hasil dari isian siswa'!HU82)</f>
        <v/>
      </c>
      <c r="AR82" t="str">
        <f>IF($B82="","",'entri hasil dari isian siswa'!HP82+'entri hasil dari isian siswa'!HV82)</f>
        <v/>
      </c>
      <c r="AS82" t="str">
        <f>IF($B82="","",'entri hasil dari isian siswa'!HQ82+'entri hasil dari isian siswa'!HW82)</f>
        <v/>
      </c>
      <c r="AT82" t="str">
        <f>IF($B82="","",'entri hasil dari isian siswa'!HR82+'entri hasil dari isian siswa'!HX82)</f>
        <v/>
      </c>
      <c r="AU82" s="69" t="str">
        <f t="shared" si="35"/>
        <v/>
      </c>
      <c r="AV82" s="69" t="str">
        <f>IF($AU82="","",IFERROR(VLOOKUP($AU82,'Kunci dari RIASEC'!$J$4:$K$33,2,FALSE),""))</f>
        <v/>
      </c>
    </row>
    <row r="83" spans="1:48">
      <c r="A83">
        <f t="shared" si="24"/>
        <v>79</v>
      </c>
      <c r="B83" t="str">
        <f>IF('entri hasil dari isian siswa'!B83="","",'entri hasil dari isian siswa'!B83)</f>
        <v/>
      </c>
      <c r="C83" t="str">
        <f>IF('entri hasil dari isian siswa'!C83="","",'entri hasil dari isian siswa'!C83)</f>
        <v/>
      </c>
      <c r="D83" t="str">
        <f>IF('entri hasil dari isian siswa'!D83="","",'entri hasil dari isian siswa'!D83)</f>
        <v/>
      </c>
      <c r="E83" t="str">
        <f t="shared" si="25"/>
        <v/>
      </c>
      <c r="F83" t="str">
        <f t="shared" si="26"/>
        <v/>
      </c>
      <c r="G83" t="str">
        <f t="shared" si="27"/>
        <v/>
      </c>
      <c r="H83" t="str">
        <f t="shared" si="28"/>
        <v/>
      </c>
      <c r="I83" t="str">
        <f t="shared" si="29"/>
        <v/>
      </c>
      <c r="J83" t="str">
        <f t="shared" si="30"/>
        <v/>
      </c>
      <c r="K83" t="str">
        <f>IF($V83&lt;&gt;"OK","",RANK(E83,$E83:$J83,0)+COUNTIF($E83:E83,E83)-1)</f>
        <v/>
      </c>
      <c r="L83" t="str">
        <f>IF($V83&lt;&gt;"OK","",RANK(F83,$E83:$J83,0)+COUNTIF($E83:F83,F83)-1)</f>
        <v/>
      </c>
      <c r="M83" t="str">
        <f>IF($V83&lt;&gt;"OK","",RANK(G83,$E83:$J83,0)+COUNTIF($E83:G83,G83)-1)</f>
        <v/>
      </c>
      <c r="N83" t="str">
        <f>IF($V83&lt;&gt;"OK","",RANK(H83,$E83:$J83,0)+COUNTIF($E83:H83,H83)-1)</f>
        <v/>
      </c>
      <c r="O83" t="str">
        <f>IF($V83&lt;&gt;"OK","",RANK(I83,$E83:$J83,0)+COUNTIF($E83:I83,I83)-1)</f>
        <v/>
      </c>
      <c r="P83" t="str">
        <f>IF($V83&lt;&gt;"OK","",RANK(J83,$E83:$J83,0)+COUNTIF($E83:J83,J83)-1)</f>
        <v/>
      </c>
      <c r="Q83" t="str">
        <f t="shared" si="31"/>
        <v/>
      </c>
      <c r="R83" t="str">
        <f t="shared" si="32"/>
        <v/>
      </c>
      <c r="S83" t="str">
        <f t="shared" si="33"/>
        <v/>
      </c>
      <c r="T83" t="str">
        <f t="shared" si="34"/>
        <v/>
      </c>
      <c r="U83" s="1" t="str">
        <f>IF($T83="","",IFERROR(VLOOKUP($T83,'Kunci dari RIASEC'!$A$4:$B$123,2,FALSE),"Rekomendasi belum tersedia"))</f>
        <v/>
      </c>
      <c r="V83" t="str">
        <f>IF('entri hasil dari isian siswa'!B83="","",'entri hasil dari isian siswa'!HY83)</f>
        <v/>
      </c>
      <c r="W83" t="str">
        <f>IF($B83="","",SUM('entri hasil dari isian siswa'!E83:O83))</f>
        <v/>
      </c>
      <c r="X83" t="str">
        <f>IF($B83="","",SUM('entri hasil dari isian siswa'!P83:Z83))</f>
        <v/>
      </c>
      <c r="Y83" t="str">
        <f>IF($B83="","",SUM('entri hasil dari isian siswa'!AA83:AK83))</f>
        <v/>
      </c>
      <c r="Z83" t="str">
        <f>IF($B83="","",SUM('entri hasil dari isian siswa'!AL83:AV83))</f>
        <v/>
      </c>
      <c r="AA83" t="str">
        <f>IF($B83="","",SUM('entri hasil dari isian siswa'!AW83:BG83))</f>
        <v/>
      </c>
      <c r="AB83" t="str">
        <f>IF($B83="","",SUM('entri hasil dari isian siswa'!BH83:BR83))</f>
        <v/>
      </c>
      <c r="AC83" t="str">
        <f>IF($B83="","",SUM('entri hasil dari isian siswa'!BS83:CC83))</f>
        <v/>
      </c>
      <c r="AD83" t="str">
        <f>IF($B83="","",SUM('entri hasil dari isian siswa'!CD83:CN83))</f>
        <v/>
      </c>
      <c r="AE83" t="str">
        <f>IF($B83="","",SUM('entri hasil dari isian siswa'!CO83:CY83))</f>
        <v/>
      </c>
      <c r="AF83" t="str">
        <f>IF($B83="","",SUM('entri hasil dari isian siswa'!CZ83:DJ83))</f>
        <v/>
      </c>
      <c r="AG83" t="str">
        <f>IF($B83="","",SUM('entri hasil dari isian siswa'!DK83:DU83))</f>
        <v/>
      </c>
      <c r="AH83" t="str">
        <f>IF($B83="","",SUM('entri hasil dari isian siswa'!DV83:EF83))</f>
        <v/>
      </c>
      <c r="AI83" t="str">
        <f>IF($B83="","",SUM('entri hasil dari isian siswa'!EG83:ET83))</f>
        <v/>
      </c>
      <c r="AJ83" t="str">
        <f>IF($B83="","",SUM('entri hasil dari isian siswa'!EU83:FH83))</f>
        <v/>
      </c>
      <c r="AK83" t="str">
        <f>IF($B83="","",SUM('entri hasil dari isian siswa'!FI83:FV83))</f>
        <v/>
      </c>
      <c r="AL83" t="str">
        <f>IF($B83="","",SUM('entri hasil dari isian siswa'!FW83:GJ83))</f>
        <v/>
      </c>
      <c r="AM83" t="str">
        <f>IF($B83="","",SUM('entri hasil dari isian siswa'!GK83:GX83))</f>
        <v/>
      </c>
      <c r="AN83" t="str">
        <f>IF($B83="","",SUM('entri hasil dari isian siswa'!GY83:HL83))</f>
        <v/>
      </c>
      <c r="AO83" t="str">
        <f>IF($B83="","",'entri hasil dari isian siswa'!HM83+'entri hasil dari isian siswa'!HS83)</f>
        <v/>
      </c>
      <c r="AP83" t="str">
        <f>IF($B83="","",'entri hasil dari isian siswa'!HN83+'entri hasil dari isian siswa'!HT83)</f>
        <v/>
      </c>
      <c r="AQ83" t="str">
        <f>IF($B83="","",'entri hasil dari isian siswa'!HO83+'entri hasil dari isian siswa'!HU83)</f>
        <v/>
      </c>
      <c r="AR83" t="str">
        <f>IF($B83="","",'entri hasil dari isian siswa'!HP83+'entri hasil dari isian siswa'!HV83)</f>
        <v/>
      </c>
      <c r="AS83" t="str">
        <f>IF($B83="","",'entri hasil dari isian siswa'!HQ83+'entri hasil dari isian siswa'!HW83)</f>
        <v/>
      </c>
      <c r="AT83" t="str">
        <f>IF($B83="","",'entri hasil dari isian siswa'!HR83+'entri hasil dari isian siswa'!HX83)</f>
        <v/>
      </c>
      <c r="AU83" s="69" t="str">
        <f t="shared" si="35"/>
        <v/>
      </c>
      <c r="AV83" s="69" t="str">
        <f>IF($AU83="","",IFERROR(VLOOKUP($AU83,'Kunci dari RIASEC'!$J$4:$K$33,2,FALSE),""))</f>
        <v/>
      </c>
    </row>
    <row r="84" spans="1:48">
      <c r="A84">
        <f t="shared" si="24"/>
        <v>80</v>
      </c>
      <c r="B84" t="str">
        <f>IF('entri hasil dari isian siswa'!B84="","",'entri hasil dari isian siswa'!B84)</f>
        <v/>
      </c>
      <c r="C84" t="str">
        <f>IF('entri hasil dari isian siswa'!C84="","",'entri hasil dari isian siswa'!C84)</f>
        <v/>
      </c>
      <c r="D84" t="str">
        <f>IF('entri hasil dari isian siswa'!D84="","",'entri hasil dari isian siswa'!D84)</f>
        <v/>
      </c>
      <c r="E84" t="str">
        <f t="shared" si="25"/>
        <v/>
      </c>
      <c r="F84" t="str">
        <f t="shared" si="26"/>
        <v/>
      </c>
      <c r="G84" t="str">
        <f t="shared" si="27"/>
        <v/>
      </c>
      <c r="H84" t="str">
        <f t="shared" si="28"/>
        <v/>
      </c>
      <c r="I84" t="str">
        <f t="shared" si="29"/>
        <v/>
      </c>
      <c r="J84" t="str">
        <f t="shared" si="30"/>
        <v/>
      </c>
      <c r="K84" t="str">
        <f>IF($V84&lt;&gt;"OK","",RANK(E84,$E84:$J84,0)+COUNTIF($E84:E84,E84)-1)</f>
        <v/>
      </c>
      <c r="L84" t="str">
        <f>IF($V84&lt;&gt;"OK","",RANK(F84,$E84:$J84,0)+COUNTIF($E84:F84,F84)-1)</f>
        <v/>
      </c>
      <c r="M84" t="str">
        <f>IF($V84&lt;&gt;"OK","",RANK(G84,$E84:$J84,0)+COUNTIF($E84:G84,G84)-1)</f>
        <v/>
      </c>
      <c r="N84" t="str">
        <f>IF($V84&lt;&gt;"OK","",RANK(H84,$E84:$J84,0)+COUNTIF($E84:H84,H84)-1)</f>
        <v/>
      </c>
      <c r="O84" t="str">
        <f>IF($V84&lt;&gt;"OK","",RANK(I84,$E84:$J84,0)+COUNTIF($E84:I84,I84)-1)</f>
        <v/>
      </c>
      <c r="P84" t="str">
        <f>IF($V84&lt;&gt;"OK","",RANK(J84,$E84:$J84,0)+COUNTIF($E84:J84,J84)-1)</f>
        <v/>
      </c>
      <c r="Q84" t="str">
        <f t="shared" si="31"/>
        <v/>
      </c>
      <c r="R84" t="str">
        <f t="shared" si="32"/>
        <v/>
      </c>
      <c r="S84" t="str">
        <f t="shared" si="33"/>
        <v/>
      </c>
      <c r="T84" t="str">
        <f t="shared" si="34"/>
        <v/>
      </c>
      <c r="U84" s="1" t="str">
        <f>IF($T84="","",IFERROR(VLOOKUP($T84,'Kunci dari RIASEC'!$A$4:$B$123,2,FALSE),"Rekomendasi belum tersedia"))</f>
        <v/>
      </c>
      <c r="V84" t="str">
        <f>IF('entri hasil dari isian siswa'!B84="","",'entri hasil dari isian siswa'!HY84)</f>
        <v/>
      </c>
      <c r="W84" t="str">
        <f>IF($B84="","",SUM('entri hasil dari isian siswa'!E84:O84))</f>
        <v/>
      </c>
      <c r="X84" t="str">
        <f>IF($B84="","",SUM('entri hasil dari isian siswa'!P84:Z84))</f>
        <v/>
      </c>
      <c r="Y84" t="str">
        <f>IF($B84="","",SUM('entri hasil dari isian siswa'!AA84:AK84))</f>
        <v/>
      </c>
      <c r="Z84" t="str">
        <f>IF($B84="","",SUM('entri hasil dari isian siswa'!AL84:AV84))</f>
        <v/>
      </c>
      <c r="AA84" t="str">
        <f>IF($B84="","",SUM('entri hasil dari isian siswa'!AW84:BG84))</f>
        <v/>
      </c>
      <c r="AB84" t="str">
        <f>IF($B84="","",SUM('entri hasil dari isian siswa'!BH84:BR84))</f>
        <v/>
      </c>
      <c r="AC84" t="str">
        <f>IF($B84="","",SUM('entri hasil dari isian siswa'!BS84:CC84))</f>
        <v/>
      </c>
      <c r="AD84" t="str">
        <f>IF($B84="","",SUM('entri hasil dari isian siswa'!CD84:CN84))</f>
        <v/>
      </c>
      <c r="AE84" t="str">
        <f>IF($B84="","",SUM('entri hasil dari isian siswa'!CO84:CY84))</f>
        <v/>
      </c>
      <c r="AF84" t="str">
        <f>IF($B84="","",SUM('entri hasil dari isian siswa'!CZ84:DJ84))</f>
        <v/>
      </c>
      <c r="AG84" t="str">
        <f>IF($B84="","",SUM('entri hasil dari isian siswa'!DK84:DU84))</f>
        <v/>
      </c>
      <c r="AH84" t="str">
        <f>IF($B84="","",SUM('entri hasil dari isian siswa'!DV84:EF84))</f>
        <v/>
      </c>
      <c r="AI84" t="str">
        <f>IF($B84="","",SUM('entri hasil dari isian siswa'!EG84:ET84))</f>
        <v/>
      </c>
      <c r="AJ84" t="str">
        <f>IF($B84="","",SUM('entri hasil dari isian siswa'!EU84:FH84))</f>
        <v/>
      </c>
      <c r="AK84" t="str">
        <f>IF($B84="","",SUM('entri hasil dari isian siswa'!FI84:FV84))</f>
        <v/>
      </c>
      <c r="AL84" t="str">
        <f>IF($B84="","",SUM('entri hasil dari isian siswa'!FW84:GJ84))</f>
        <v/>
      </c>
      <c r="AM84" t="str">
        <f>IF($B84="","",SUM('entri hasil dari isian siswa'!GK84:GX84))</f>
        <v/>
      </c>
      <c r="AN84" t="str">
        <f>IF($B84="","",SUM('entri hasil dari isian siswa'!GY84:HL84))</f>
        <v/>
      </c>
      <c r="AO84" t="str">
        <f>IF($B84="","",'entri hasil dari isian siswa'!HM84+'entri hasil dari isian siswa'!HS84)</f>
        <v/>
      </c>
      <c r="AP84" t="str">
        <f>IF($B84="","",'entri hasil dari isian siswa'!HN84+'entri hasil dari isian siswa'!HT84)</f>
        <v/>
      </c>
      <c r="AQ84" t="str">
        <f>IF($B84="","",'entri hasil dari isian siswa'!HO84+'entri hasil dari isian siswa'!HU84)</f>
        <v/>
      </c>
      <c r="AR84" t="str">
        <f>IF($B84="","",'entri hasil dari isian siswa'!HP84+'entri hasil dari isian siswa'!HV84)</f>
        <v/>
      </c>
      <c r="AS84" t="str">
        <f>IF($B84="","",'entri hasil dari isian siswa'!HQ84+'entri hasil dari isian siswa'!HW84)</f>
        <v/>
      </c>
      <c r="AT84" t="str">
        <f>IF($B84="","",'entri hasil dari isian siswa'!HR84+'entri hasil dari isian siswa'!HX84)</f>
        <v/>
      </c>
      <c r="AU84" s="69" t="str">
        <f t="shared" si="35"/>
        <v/>
      </c>
      <c r="AV84" s="69" t="str">
        <f>IF($AU84="","",IFERROR(VLOOKUP($AU84,'Kunci dari RIASEC'!$J$4:$K$33,2,FALSE),""))</f>
        <v/>
      </c>
    </row>
    <row r="85" spans="1:48">
      <c r="A85">
        <f t="shared" si="24"/>
        <v>81</v>
      </c>
      <c r="B85" t="str">
        <f>IF('entri hasil dari isian siswa'!B85="","",'entri hasil dari isian siswa'!B85)</f>
        <v/>
      </c>
      <c r="C85" t="str">
        <f>IF('entri hasil dari isian siswa'!C85="","",'entri hasil dari isian siswa'!C85)</f>
        <v/>
      </c>
      <c r="D85" t="str">
        <f>IF('entri hasil dari isian siswa'!D85="","",'entri hasil dari isian siswa'!D85)</f>
        <v/>
      </c>
      <c r="E85" t="str">
        <f t="shared" si="25"/>
        <v/>
      </c>
      <c r="F85" t="str">
        <f t="shared" si="26"/>
        <v/>
      </c>
      <c r="G85" t="str">
        <f t="shared" si="27"/>
        <v/>
      </c>
      <c r="H85" t="str">
        <f t="shared" si="28"/>
        <v/>
      </c>
      <c r="I85" t="str">
        <f t="shared" si="29"/>
        <v/>
      </c>
      <c r="J85" t="str">
        <f t="shared" si="30"/>
        <v/>
      </c>
      <c r="K85" t="str">
        <f>IF($V85&lt;&gt;"OK","",RANK(E85,$E85:$J85,0)+COUNTIF($E85:E85,E85)-1)</f>
        <v/>
      </c>
      <c r="L85" t="str">
        <f>IF($V85&lt;&gt;"OK","",RANK(F85,$E85:$J85,0)+COUNTIF($E85:F85,F85)-1)</f>
        <v/>
      </c>
      <c r="M85" t="str">
        <f>IF($V85&lt;&gt;"OK","",RANK(G85,$E85:$J85,0)+COUNTIF($E85:G85,G85)-1)</f>
        <v/>
      </c>
      <c r="N85" t="str">
        <f>IF($V85&lt;&gt;"OK","",RANK(H85,$E85:$J85,0)+COUNTIF($E85:H85,H85)-1)</f>
        <v/>
      </c>
      <c r="O85" t="str">
        <f>IF($V85&lt;&gt;"OK","",RANK(I85,$E85:$J85,0)+COUNTIF($E85:I85,I85)-1)</f>
        <v/>
      </c>
      <c r="P85" t="str">
        <f>IF($V85&lt;&gt;"OK","",RANK(J85,$E85:$J85,0)+COUNTIF($E85:J85,J85)-1)</f>
        <v/>
      </c>
      <c r="Q85" t="str">
        <f t="shared" si="31"/>
        <v/>
      </c>
      <c r="R85" t="str">
        <f t="shared" si="32"/>
        <v/>
      </c>
      <c r="S85" t="str">
        <f t="shared" si="33"/>
        <v/>
      </c>
      <c r="T85" t="str">
        <f t="shared" si="34"/>
        <v/>
      </c>
      <c r="U85" s="1" t="str">
        <f>IF($T85="","",IFERROR(VLOOKUP($T85,'Kunci dari RIASEC'!$A$4:$B$123,2,FALSE),"Rekomendasi belum tersedia"))</f>
        <v/>
      </c>
      <c r="V85" t="str">
        <f>IF('entri hasil dari isian siswa'!B85="","",'entri hasil dari isian siswa'!HY85)</f>
        <v/>
      </c>
      <c r="W85" t="str">
        <f>IF($B85="","",SUM('entri hasil dari isian siswa'!E85:O85))</f>
        <v/>
      </c>
      <c r="X85" t="str">
        <f>IF($B85="","",SUM('entri hasil dari isian siswa'!P85:Z85))</f>
        <v/>
      </c>
      <c r="Y85" t="str">
        <f>IF($B85="","",SUM('entri hasil dari isian siswa'!AA85:AK85))</f>
        <v/>
      </c>
      <c r="Z85" t="str">
        <f>IF($B85="","",SUM('entri hasil dari isian siswa'!AL85:AV85))</f>
        <v/>
      </c>
      <c r="AA85" t="str">
        <f>IF($B85="","",SUM('entri hasil dari isian siswa'!AW85:BG85))</f>
        <v/>
      </c>
      <c r="AB85" t="str">
        <f>IF($B85="","",SUM('entri hasil dari isian siswa'!BH85:BR85))</f>
        <v/>
      </c>
      <c r="AC85" t="str">
        <f>IF($B85="","",SUM('entri hasil dari isian siswa'!BS85:CC85))</f>
        <v/>
      </c>
      <c r="AD85" t="str">
        <f>IF($B85="","",SUM('entri hasil dari isian siswa'!CD85:CN85))</f>
        <v/>
      </c>
      <c r="AE85" t="str">
        <f>IF($B85="","",SUM('entri hasil dari isian siswa'!CO85:CY85))</f>
        <v/>
      </c>
      <c r="AF85" t="str">
        <f>IF($B85="","",SUM('entri hasil dari isian siswa'!CZ85:DJ85))</f>
        <v/>
      </c>
      <c r="AG85" t="str">
        <f>IF($B85="","",SUM('entri hasil dari isian siswa'!DK85:DU85))</f>
        <v/>
      </c>
      <c r="AH85" t="str">
        <f>IF($B85="","",SUM('entri hasil dari isian siswa'!DV85:EF85))</f>
        <v/>
      </c>
      <c r="AI85" t="str">
        <f>IF($B85="","",SUM('entri hasil dari isian siswa'!EG85:ET85))</f>
        <v/>
      </c>
      <c r="AJ85" t="str">
        <f>IF($B85="","",SUM('entri hasil dari isian siswa'!EU85:FH85))</f>
        <v/>
      </c>
      <c r="AK85" t="str">
        <f>IF($B85="","",SUM('entri hasil dari isian siswa'!FI85:FV85))</f>
        <v/>
      </c>
      <c r="AL85" t="str">
        <f>IF($B85="","",SUM('entri hasil dari isian siswa'!FW85:GJ85))</f>
        <v/>
      </c>
      <c r="AM85" t="str">
        <f>IF($B85="","",SUM('entri hasil dari isian siswa'!GK85:GX85))</f>
        <v/>
      </c>
      <c r="AN85" t="str">
        <f>IF($B85="","",SUM('entri hasil dari isian siswa'!GY85:HL85))</f>
        <v/>
      </c>
      <c r="AO85" t="str">
        <f>IF($B85="","",'entri hasil dari isian siswa'!HM85+'entri hasil dari isian siswa'!HS85)</f>
        <v/>
      </c>
      <c r="AP85" t="str">
        <f>IF($B85="","",'entri hasil dari isian siswa'!HN85+'entri hasil dari isian siswa'!HT85)</f>
        <v/>
      </c>
      <c r="AQ85" t="str">
        <f>IF($B85="","",'entri hasil dari isian siswa'!HO85+'entri hasil dari isian siswa'!HU85)</f>
        <v/>
      </c>
      <c r="AR85" t="str">
        <f>IF($B85="","",'entri hasil dari isian siswa'!HP85+'entri hasil dari isian siswa'!HV85)</f>
        <v/>
      </c>
      <c r="AS85" t="str">
        <f>IF($B85="","",'entri hasil dari isian siswa'!HQ85+'entri hasil dari isian siswa'!HW85)</f>
        <v/>
      </c>
      <c r="AT85" t="str">
        <f>IF($B85="","",'entri hasil dari isian siswa'!HR85+'entri hasil dari isian siswa'!HX85)</f>
        <v/>
      </c>
      <c r="AU85" s="69" t="str">
        <f t="shared" si="35"/>
        <v/>
      </c>
      <c r="AV85" s="69" t="str">
        <f>IF($AU85="","",IFERROR(VLOOKUP($AU85,'Kunci dari RIASEC'!$J$4:$K$33,2,FALSE),""))</f>
        <v/>
      </c>
    </row>
    <row r="86" spans="1:48">
      <c r="A86">
        <f t="shared" si="24"/>
        <v>82</v>
      </c>
      <c r="B86" t="str">
        <f>IF('entri hasil dari isian siswa'!B86="","",'entri hasil dari isian siswa'!B86)</f>
        <v/>
      </c>
      <c r="C86" t="str">
        <f>IF('entri hasil dari isian siswa'!C86="","",'entri hasil dari isian siswa'!C86)</f>
        <v/>
      </c>
      <c r="D86" t="str">
        <f>IF('entri hasil dari isian siswa'!D86="","",'entri hasil dari isian siswa'!D86)</f>
        <v/>
      </c>
      <c r="E86" t="str">
        <f t="shared" si="25"/>
        <v/>
      </c>
      <c r="F86" t="str">
        <f t="shared" si="26"/>
        <v/>
      </c>
      <c r="G86" t="str">
        <f t="shared" si="27"/>
        <v/>
      </c>
      <c r="H86" t="str">
        <f t="shared" si="28"/>
        <v/>
      </c>
      <c r="I86" t="str">
        <f t="shared" si="29"/>
        <v/>
      </c>
      <c r="J86" t="str">
        <f t="shared" si="30"/>
        <v/>
      </c>
      <c r="K86" t="str">
        <f>IF($V86&lt;&gt;"OK","",RANK(E86,$E86:$J86,0)+COUNTIF($E86:E86,E86)-1)</f>
        <v/>
      </c>
      <c r="L86" t="str">
        <f>IF($V86&lt;&gt;"OK","",RANK(F86,$E86:$J86,0)+COUNTIF($E86:F86,F86)-1)</f>
        <v/>
      </c>
      <c r="M86" t="str">
        <f>IF($V86&lt;&gt;"OK","",RANK(G86,$E86:$J86,0)+COUNTIF($E86:G86,G86)-1)</f>
        <v/>
      </c>
      <c r="N86" t="str">
        <f>IF($V86&lt;&gt;"OK","",RANK(H86,$E86:$J86,0)+COUNTIF($E86:H86,H86)-1)</f>
        <v/>
      </c>
      <c r="O86" t="str">
        <f>IF($V86&lt;&gt;"OK","",RANK(I86,$E86:$J86,0)+COUNTIF($E86:I86,I86)-1)</f>
        <v/>
      </c>
      <c r="P86" t="str">
        <f>IF($V86&lt;&gt;"OK","",RANK(J86,$E86:$J86,0)+COUNTIF($E86:J86,J86)-1)</f>
        <v/>
      </c>
      <c r="Q86" t="str">
        <f t="shared" si="31"/>
        <v/>
      </c>
      <c r="R86" t="str">
        <f t="shared" si="32"/>
        <v/>
      </c>
      <c r="S86" t="str">
        <f t="shared" si="33"/>
        <v/>
      </c>
      <c r="T86" t="str">
        <f t="shared" si="34"/>
        <v/>
      </c>
      <c r="U86" s="1" t="str">
        <f>IF($T86="","",IFERROR(VLOOKUP($T86,'Kunci dari RIASEC'!$A$4:$B$123,2,FALSE),"Rekomendasi belum tersedia"))</f>
        <v/>
      </c>
      <c r="V86" t="str">
        <f>IF('entri hasil dari isian siswa'!B86="","",'entri hasil dari isian siswa'!HY86)</f>
        <v/>
      </c>
      <c r="W86" t="str">
        <f>IF($B86="","",SUM('entri hasil dari isian siswa'!E86:O86))</f>
        <v/>
      </c>
      <c r="X86" t="str">
        <f>IF($B86="","",SUM('entri hasil dari isian siswa'!P86:Z86))</f>
        <v/>
      </c>
      <c r="Y86" t="str">
        <f>IF($B86="","",SUM('entri hasil dari isian siswa'!AA86:AK86))</f>
        <v/>
      </c>
      <c r="Z86" t="str">
        <f>IF($B86="","",SUM('entri hasil dari isian siswa'!AL86:AV86))</f>
        <v/>
      </c>
      <c r="AA86" t="str">
        <f>IF($B86="","",SUM('entri hasil dari isian siswa'!AW86:BG86))</f>
        <v/>
      </c>
      <c r="AB86" t="str">
        <f>IF($B86="","",SUM('entri hasil dari isian siswa'!BH86:BR86))</f>
        <v/>
      </c>
      <c r="AC86" t="str">
        <f>IF($B86="","",SUM('entri hasil dari isian siswa'!BS86:CC86))</f>
        <v/>
      </c>
      <c r="AD86" t="str">
        <f>IF($B86="","",SUM('entri hasil dari isian siswa'!CD86:CN86))</f>
        <v/>
      </c>
      <c r="AE86" t="str">
        <f>IF($B86="","",SUM('entri hasil dari isian siswa'!CO86:CY86))</f>
        <v/>
      </c>
      <c r="AF86" t="str">
        <f>IF($B86="","",SUM('entri hasil dari isian siswa'!CZ86:DJ86))</f>
        <v/>
      </c>
      <c r="AG86" t="str">
        <f>IF($B86="","",SUM('entri hasil dari isian siswa'!DK86:DU86))</f>
        <v/>
      </c>
      <c r="AH86" t="str">
        <f>IF($B86="","",SUM('entri hasil dari isian siswa'!DV86:EF86))</f>
        <v/>
      </c>
      <c r="AI86" t="str">
        <f>IF($B86="","",SUM('entri hasil dari isian siswa'!EG86:ET86))</f>
        <v/>
      </c>
      <c r="AJ86" t="str">
        <f>IF($B86="","",SUM('entri hasil dari isian siswa'!EU86:FH86))</f>
        <v/>
      </c>
      <c r="AK86" t="str">
        <f>IF($B86="","",SUM('entri hasil dari isian siswa'!FI86:FV86))</f>
        <v/>
      </c>
      <c r="AL86" t="str">
        <f>IF($B86="","",SUM('entri hasil dari isian siswa'!FW86:GJ86))</f>
        <v/>
      </c>
      <c r="AM86" t="str">
        <f>IF($B86="","",SUM('entri hasil dari isian siswa'!GK86:GX86))</f>
        <v/>
      </c>
      <c r="AN86" t="str">
        <f>IF($B86="","",SUM('entri hasil dari isian siswa'!GY86:HL86))</f>
        <v/>
      </c>
      <c r="AO86" t="str">
        <f>IF($B86="","",'entri hasil dari isian siswa'!HM86+'entri hasil dari isian siswa'!HS86)</f>
        <v/>
      </c>
      <c r="AP86" t="str">
        <f>IF($B86="","",'entri hasil dari isian siswa'!HN86+'entri hasil dari isian siswa'!HT86)</f>
        <v/>
      </c>
      <c r="AQ86" t="str">
        <f>IF($B86="","",'entri hasil dari isian siswa'!HO86+'entri hasil dari isian siswa'!HU86)</f>
        <v/>
      </c>
      <c r="AR86" t="str">
        <f>IF($B86="","",'entri hasil dari isian siswa'!HP86+'entri hasil dari isian siswa'!HV86)</f>
        <v/>
      </c>
      <c r="AS86" t="str">
        <f>IF($B86="","",'entri hasil dari isian siswa'!HQ86+'entri hasil dari isian siswa'!HW86)</f>
        <v/>
      </c>
      <c r="AT86" t="str">
        <f>IF($B86="","",'entri hasil dari isian siswa'!HR86+'entri hasil dari isian siswa'!HX86)</f>
        <v/>
      </c>
      <c r="AU86" s="69" t="str">
        <f t="shared" si="35"/>
        <v/>
      </c>
      <c r="AV86" s="69" t="str">
        <f>IF($AU86="","",IFERROR(VLOOKUP($AU86,'Kunci dari RIASEC'!$J$4:$K$33,2,FALSE),""))</f>
        <v/>
      </c>
    </row>
    <row r="87" spans="1:48">
      <c r="A87">
        <f t="shared" si="24"/>
        <v>83</v>
      </c>
      <c r="B87" t="str">
        <f>IF('entri hasil dari isian siswa'!B87="","",'entri hasil dari isian siswa'!B87)</f>
        <v/>
      </c>
      <c r="C87" t="str">
        <f>IF('entri hasil dari isian siswa'!C87="","",'entri hasil dari isian siswa'!C87)</f>
        <v/>
      </c>
      <c r="D87" t="str">
        <f>IF('entri hasil dari isian siswa'!D87="","",'entri hasil dari isian siswa'!D87)</f>
        <v/>
      </c>
      <c r="E87" t="str">
        <f t="shared" si="25"/>
        <v/>
      </c>
      <c r="F87" t="str">
        <f t="shared" si="26"/>
        <v/>
      </c>
      <c r="G87" t="str">
        <f t="shared" si="27"/>
        <v/>
      </c>
      <c r="H87" t="str">
        <f t="shared" si="28"/>
        <v/>
      </c>
      <c r="I87" t="str">
        <f t="shared" si="29"/>
        <v/>
      </c>
      <c r="J87" t="str">
        <f t="shared" si="30"/>
        <v/>
      </c>
      <c r="K87" t="str">
        <f>IF($V87&lt;&gt;"OK","",RANK(E87,$E87:$J87,0)+COUNTIF($E87:E87,E87)-1)</f>
        <v/>
      </c>
      <c r="L87" t="str">
        <f>IF($V87&lt;&gt;"OK","",RANK(F87,$E87:$J87,0)+COUNTIF($E87:F87,F87)-1)</f>
        <v/>
      </c>
      <c r="M87" t="str">
        <f>IF($V87&lt;&gt;"OK","",RANK(G87,$E87:$J87,0)+COUNTIF($E87:G87,G87)-1)</f>
        <v/>
      </c>
      <c r="N87" t="str">
        <f>IF($V87&lt;&gt;"OK","",RANK(H87,$E87:$J87,0)+COUNTIF($E87:H87,H87)-1)</f>
        <v/>
      </c>
      <c r="O87" t="str">
        <f>IF($V87&lt;&gt;"OK","",RANK(I87,$E87:$J87,0)+COUNTIF($E87:I87,I87)-1)</f>
        <v/>
      </c>
      <c r="P87" t="str">
        <f>IF($V87&lt;&gt;"OK","",RANK(J87,$E87:$J87,0)+COUNTIF($E87:J87,J87)-1)</f>
        <v/>
      </c>
      <c r="Q87" t="str">
        <f t="shared" si="31"/>
        <v/>
      </c>
      <c r="R87" t="str">
        <f t="shared" si="32"/>
        <v/>
      </c>
      <c r="S87" t="str">
        <f t="shared" si="33"/>
        <v/>
      </c>
      <c r="T87" t="str">
        <f t="shared" si="34"/>
        <v/>
      </c>
      <c r="U87" s="1" t="str">
        <f>IF($T87="","",IFERROR(VLOOKUP($T87,'Kunci dari RIASEC'!$A$4:$B$123,2,FALSE),"Rekomendasi belum tersedia"))</f>
        <v/>
      </c>
      <c r="V87" t="str">
        <f>IF('entri hasil dari isian siswa'!B87="","",'entri hasil dari isian siswa'!HY87)</f>
        <v/>
      </c>
      <c r="W87" t="str">
        <f>IF($B87="","",SUM('entri hasil dari isian siswa'!E87:O87))</f>
        <v/>
      </c>
      <c r="X87" t="str">
        <f>IF($B87="","",SUM('entri hasil dari isian siswa'!P87:Z87))</f>
        <v/>
      </c>
      <c r="Y87" t="str">
        <f>IF($B87="","",SUM('entri hasil dari isian siswa'!AA87:AK87))</f>
        <v/>
      </c>
      <c r="Z87" t="str">
        <f>IF($B87="","",SUM('entri hasil dari isian siswa'!AL87:AV87))</f>
        <v/>
      </c>
      <c r="AA87" t="str">
        <f>IF($B87="","",SUM('entri hasil dari isian siswa'!AW87:BG87))</f>
        <v/>
      </c>
      <c r="AB87" t="str">
        <f>IF($B87="","",SUM('entri hasil dari isian siswa'!BH87:BR87))</f>
        <v/>
      </c>
      <c r="AC87" t="str">
        <f>IF($B87="","",SUM('entri hasil dari isian siswa'!BS87:CC87))</f>
        <v/>
      </c>
      <c r="AD87" t="str">
        <f>IF($B87="","",SUM('entri hasil dari isian siswa'!CD87:CN87))</f>
        <v/>
      </c>
      <c r="AE87" t="str">
        <f>IF($B87="","",SUM('entri hasil dari isian siswa'!CO87:CY87))</f>
        <v/>
      </c>
      <c r="AF87" t="str">
        <f>IF($B87="","",SUM('entri hasil dari isian siswa'!CZ87:DJ87))</f>
        <v/>
      </c>
      <c r="AG87" t="str">
        <f>IF($B87="","",SUM('entri hasil dari isian siswa'!DK87:DU87))</f>
        <v/>
      </c>
      <c r="AH87" t="str">
        <f>IF($B87="","",SUM('entri hasil dari isian siswa'!DV87:EF87))</f>
        <v/>
      </c>
      <c r="AI87" t="str">
        <f>IF($B87="","",SUM('entri hasil dari isian siswa'!EG87:ET87))</f>
        <v/>
      </c>
      <c r="AJ87" t="str">
        <f>IF($B87="","",SUM('entri hasil dari isian siswa'!EU87:FH87))</f>
        <v/>
      </c>
      <c r="AK87" t="str">
        <f>IF($B87="","",SUM('entri hasil dari isian siswa'!FI87:FV87))</f>
        <v/>
      </c>
      <c r="AL87" t="str">
        <f>IF($B87="","",SUM('entri hasil dari isian siswa'!FW87:GJ87))</f>
        <v/>
      </c>
      <c r="AM87" t="str">
        <f>IF($B87="","",SUM('entri hasil dari isian siswa'!GK87:GX87))</f>
        <v/>
      </c>
      <c r="AN87" t="str">
        <f>IF($B87="","",SUM('entri hasil dari isian siswa'!GY87:HL87))</f>
        <v/>
      </c>
      <c r="AO87" t="str">
        <f>IF($B87="","",'entri hasil dari isian siswa'!HM87+'entri hasil dari isian siswa'!HS87)</f>
        <v/>
      </c>
      <c r="AP87" t="str">
        <f>IF($B87="","",'entri hasil dari isian siswa'!HN87+'entri hasil dari isian siswa'!HT87)</f>
        <v/>
      </c>
      <c r="AQ87" t="str">
        <f>IF($B87="","",'entri hasil dari isian siswa'!HO87+'entri hasil dari isian siswa'!HU87)</f>
        <v/>
      </c>
      <c r="AR87" t="str">
        <f>IF($B87="","",'entri hasil dari isian siswa'!HP87+'entri hasil dari isian siswa'!HV87)</f>
        <v/>
      </c>
      <c r="AS87" t="str">
        <f>IF($B87="","",'entri hasil dari isian siswa'!HQ87+'entri hasil dari isian siswa'!HW87)</f>
        <v/>
      </c>
      <c r="AT87" t="str">
        <f>IF($B87="","",'entri hasil dari isian siswa'!HR87+'entri hasil dari isian siswa'!HX87)</f>
        <v/>
      </c>
      <c r="AU87" s="69" t="str">
        <f t="shared" si="35"/>
        <v/>
      </c>
      <c r="AV87" s="69" t="str">
        <f>IF($AU87="","",IFERROR(VLOOKUP($AU87,'Kunci dari RIASEC'!$J$4:$K$33,2,FALSE),""))</f>
        <v/>
      </c>
    </row>
    <row r="88" spans="1:48">
      <c r="A88">
        <f t="shared" si="24"/>
        <v>84</v>
      </c>
      <c r="B88" t="str">
        <f>IF('entri hasil dari isian siswa'!B88="","",'entri hasil dari isian siswa'!B88)</f>
        <v/>
      </c>
      <c r="C88" t="str">
        <f>IF('entri hasil dari isian siswa'!C88="","",'entri hasil dari isian siswa'!C88)</f>
        <v/>
      </c>
      <c r="D88" t="str">
        <f>IF('entri hasil dari isian siswa'!D88="","",'entri hasil dari isian siswa'!D88)</f>
        <v/>
      </c>
      <c r="E88" t="str">
        <f t="shared" si="25"/>
        <v/>
      </c>
      <c r="F88" t="str">
        <f t="shared" si="26"/>
        <v/>
      </c>
      <c r="G88" t="str">
        <f t="shared" si="27"/>
        <v/>
      </c>
      <c r="H88" t="str">
        <f t="shared" si="28"/>
        <v/>
      </c>
      <c r="I88" t="str">
        <f t="shared" si="29"/>
        <v/>
      </c>
      <c r="J88" t="str">
        <f t="shared" si="30"/>
        <v/>
      </c>
      <c r="K88" t="str">
        <f>IF($V88&lt;&gt;"OK","",RANK(E88,$E88:$J88,0)+COUNTIF($E88:E88,E88)-1)</f>
        <v/>
      </c>
      <c r="L88" t="str">
        <f>IF($V88&lt;&gt;"OK","",RANK(F88,$E88:$J88,0)+COUNTIF($E88:F88,F88)-1)</f>
        <v/>
      </c>
      <c r="M88" t="str">
        <f>IF($V88&lt;&gt;"OK","",RANK(G88,$E88:$J88,0)+COUNTIF($E88:G88,G88)-1)</f>
        <v/>
      </c>
      <c r="N88" t="str">
        <f>IF($V88&lt;&gt;"OK","",RANK(H88,$E88:$J88,0)+COUNTIF($E88:H88,H88)-1)</f>
        <v/>
      </c>
      <c r="O88" t="str">
        <f>IF($V88&lt;&gt;"OK","",RANK(I88,$E88:$J88,0)+COUNTIF($E88:I88,I88)-1)</f>
        <v/>
      </c>
      <c r="P88" t="str">
        <f>IF($V88&lt;&gt;"OK","",RANK(J88,$E88:$J88,0)+COUNTIF($E88:J88,J88)-1)</f>
        <v/>
      </c>
      <c r="Q88" t="str">
        <f t="shared" si="31"/>
        <v/>
      </c>
      <c r="R88" t="str">
        <f t="shared" si="32"/>
        <v/>
      </c>
      <c r="S88" t="str">
        <f t="shared" si="33"/>
        <v/>
      </c>
      <c r="T88" t="str">
        <f t="shared" si="34"/>
        <v/>
      </c>
      <c r="U88" s="1" t="str">
        <f>IF($T88="","",IFERROR(VLOOKUP($T88,'Kunci dari RIASEC'!$A$4:$B$123,2,FALSE),"Rekomendasi belum tersedia"))</f>
        <v/>
      </c>
      <c r="V88" t="str">
        <f>IF('entri hasil dari isian siswa'!B88="","",'entri hasil dari isian siswa'!HY88)</f>
        <v/>
      </c>
      <c r="W88" t="str">
        <f>IF($B88="","",SUM('entri hasil dari isian siswa'!E88:O88))</f>
        <v/>
      </c>
      <c r="X88" t="str">
        <f>IF($B88="","",SUM('entri hasil dari isian siswa'!P88:Z88))</f>
        <v/>
      </c>
      <c r="Y88" t="str">
        <f>IF($B88="","",SUM('entri hasil dari isian siswa'!AA88:AK88))</f>
        <v/>
      </c>
      <c r="Z88" t="str">
        <f>IF($B88="","",SUM('entri hasil dari isian siswa'!AL88:AV88))</f>
        <v/>
      </c>
      <c r="AA88" t="str">
        <f>IF($B88="","",SUM('entri hasil dari isian siswa'!AW88:BG88))</f>
        <v/>
      </c>
      <c r="AB88" t="str">
        <f>IF($B88="","",SUM('entri hasil dari isian siswa'!BH88:BR88))</f>
        <v/>
      </c>
      <c r="AC88" t="str">
        <f>IF($B88="","",SUM('entri hasil dari isian siswa'!BS88:CC88))</f>
        <v/>
      </c>
      <c r="AD88" t="str">
        <f>IF($B88="","",SUM('entri hasil dari isian siswa'!CD88:CN88))</f>
        <v/>
      </c>
      <c r="AE88" t="str">
        <f>IF($B88="","",SUM('entri hasil dari isian siswa'!CO88:CY88))</f>
        <v/>
      </c>
      <c r="AF88" t="str">
        <f>IF($B88="","",SUM('entri hasil dari isian siswa'!CZ88:DJ88))</f>
        <v/>
      </c>
      <c r="AG88" t="str">
        <f>IF($B88="","",SUM('entri hasil dari isian siswa'!DK88:DU88))</f>
        <v/>
      </c>
      <c r="AH88" t="str">
        <f>IF($B88="","",SUM('entri hasil dari isian siswa'!DV88:EF88))</f>
        <v/>
      </c>
      <c r="AI88" t="str">
        <f>IF($B88="","",SUM('entri hasil dari isian siswa'!EG88:ET88))</f>
        <v/>
      </c>
      <c r="AJ88" t="str">
        <f>IF($B88="","",SUM('entri hasil dari isian siswa'!EU88:FH88))</f>
        <v/>
      </c>
      <c r="AK88" t="str">
        <f>IF($B88="","",SUM('entri hasil dari isian siswa'!FI88:FV88))</f>
        <v/>
      </c>
      <c r="AL88" t="str">
        <f>IF($B88="","",SUM('entri hasil dari isian siswa'!FW88:GJ88))</f>
        <v/>
      </c>
      <c r="AM88" t="str">
        <f>IF($B88="","",SUM('entri hasil dari isian siswa'!GK88:GX88))</f>
        <v/>
      </c>
      <c r="AN88" t="str">
        <f>IF($B88="","",SUM('entri hasil dari isian siswa'!GY88:HL88))</f>
        <v/>
      </c>
      <c r="AO88" t="str">
        <f>IF($B88="","",'entri hasil dari isian siswa'!HM88+'entri hasil dari isian siswa'!HS88)</f>
        <v/>
      </c>
      <c r="AP88" t="str">
        <f>IF($B88="","",'entri hasil dari isian siswa'!HN88+'entri hasil dari isian siswa'!HT88)</f>
        <v/>
      </c>
      <c r="AQ88" t="str">
        <f>IF($B88="","",'entri hasil dari isian siswa'!HO88+'entri hasil dari isian siswa'!HU88)</f>
        <v/>
      </c>
      <c r="AR88" t="str">
        <f>IF($B88="","",'entri hasil dari isian siswa'!HP88+'entri hasil dari isian siswa'!HV88)</f>
        <v/>
      </c>
      <c r="AS88" t="str">
        <f>IF($B88="","",'entri hasil dari isian siswa'!HQ88+'entri hasil dari isian siswa'!HW88)</f>
        <v/>
      </c>
      <c r="AT88" t="str">
        <f>IF($B88="","",'entri hasil dari isian siswa'!HR88+'entri hasil dari isian siswa'!HX88)</f>
        <v/>
      </c>
      <c r="AU88" s="69" t="str">
        <f t="shared" si="35"/>
        <v/>
      </c>
      <c r="AV88" s="69" t="str">
        <f>IF($AU88="","",IFERROR(VLOOKUP($AU88,'Kunci dari RIASEC'!$J$4:$K$33,2,FALSE),""))</f>
        <v/>
      </c>
    </row>
    <row r="89" spans="1:48">
      <c r="A89">
        <f t="shared" si="24"/>
        <v>85</v>
      </c>
      <c r="B89" t="str">
        <f>IF('entri hasil dari isian siswa'!B89="","",'entri hasil dari isian siswa'!B89)</f>
        <v/>
      </c>
      <c r="C89" t="str">
        <f>IF('entri hasil dari isian siswa'!C89="","",'entri hasil dari isian siswa'!C89)</f>
        <v/>
      </c>
      <c r="D89" t="str">
        <f>IF('entri hasil dari isian siswa'!D89="","",'entri hasil dari isian siswa'!D89)</f>
        <v/>
      </c>
      <c r="E89" t="str">
        <f t="shared" si="25"/>
        <v/>
      </c>
      <c r="F89" t="str">
        <f t="shared" si="26"/>
        <v/>
      </c>
      <c r="G89" t="str">
        <f t="shared" si="27"/>
        <v/>
      </c>
      <c r="H89" t="str">
        <f t="shared" si="28"/>
        <v/>
      </c>
      <c r="I89" t="str">
        <f t="shared" si="29"/>
        <v/>
      </c>
      <c r="J89" t="str">
        <f t="shared" si="30"/>
        <v/>
      </c>
      <c r="K89" t="str">
        <f>IF($V89&lt;&gt;"OK","",RANK(E89,$E89:$J89,0)+COUNTIF($E89:E89,E89)-1)</f>
        <v/>
      </c>
      <c r="L89" t="str">
        <f>IF($V89&lt;&gt;"OK","",RANK(F89,$E89:$J89,0)+COUNTIF($E89:F89,F89)-1)</f>
        <v/>
      </c>
      <c r="M89" t="str">
        <f>IF($V89&lt;&gt;"OK","",RANK(G89,$E89:$J89,0)+COUNTIF($E89:G89,G89)-1)</f>
        <v/>
      </c>
      <c r="N89" t="str">
        <f>IF($V89&lt;&gt;"OK","",RANK(H89,$E89:$J89,0)+COUNTIF($E89:H89,H89)-1)</f>
        <v/>
      </c>
      <c r="O89" t="str">
        <f>IF($V89&lt;&gt;"OK","",RANK(I89,$E89:$J89,0)+COUNTIF($E89:I89,I89)-1)</f>
        <v/>
      </c>
      <c r="P89" t="str">
        <f>IF($V89&lt;&gt;"OK","",RANK(J89,$E89:$J89,0)+COUNTIF($E89:J89,J89)-1)</f>
        <v/>
      </c>
      <c r="Q89" t="str">
        <f t="shared" si="31"/>
        <v/>
      </c>
      <c r="R89" t="str">
        <f t="shared" si="32"/>
        <v/>
      </c>
      <c r="S89" t="str">
        <f t="shared" si="33"/>
        <v/>
      </c>
      <c r="T89" t="str">
        <f t="shared" si="34"/>
        <v/>
      </c>
      <c r="U89" s="1" t="str">
        <f>IF($T89="","",IFERROR(VLOOKUP($T89,'Kunci dari RIASEC'!$A$4:$B$123,2,FALSE),"Rekomendasi belum tersedia"))</f>
        <v/>
      </c>
      <c r="V89" t="str">
        <f>IF('entri hasil dari isian siswa'!B89="","",'entri hasil dari isian siswa'!HY89)</f>
        <v/>
      </c>
      <c r="W89" t="str">
        <f>IF($B89="","",SUM('entri hasil dari isian siswa'!E89:O89))</f>
        <v/>
      </c>
      <c r="X89" t="str">
        <f>IF($B89="","",SUM('entri hasil dari isian siswa'!P89:Z89))</f>
        <v/>
      </c>
      <c r="Y89" t="str">
        <f>IF($B89="","",SUM('entri hasil dari isian siswa'!AA89:AK89))</f>
        <v/>
      </c>
      <c r="Z89" t="str">
        <f>IF($B89="","",SUM('entri hasil dari isian siswa'!AL89:AV89))</f>
        <v/>
      </c>
      <c r="AA89" t="str">
        <f>IF($B89="","",SUM('entri hasil dari isian siswa'!AW89:BG89))</f>
        <v/>
      </c>
      <c r="AB89" t="str">
        <f>IF($B89="","",SUM('entri hasil dari isian siswa'!BH89:BR89))</f>
        <v/>
      </c>
      <c r="AC89" t="str">
        <f>IF($B89="","",SUM('entri hasil dari isian siswa'!BS89:CC89))</f>
        <v/>
      </c>
      <c r="AD89" t="str">
        <f>IF($B89="","",SUM('entri hasil dari isian siswa'!CD89:CN89))</f>
        <v/>
      </c>
      <c r="AE89" t="str">
        <f>IF($B89="","",SUM('entri hasil dari isian siswa'!CO89:CY89))</f>
        <v/>
      </c>
      <c r="AF89" t="str">
        <f>IF($B89="","",SUM('entri hasil dari isian siswa'!CZ89:DJ89))</f>
        <v/>
      </c>
      <c r="AG89" t="str">
        <f>IF($B89="","",SUM('entri hasil dari isian siswa'!DK89:DU89))</f>
        <v/>
      </c>
      <c r="AH89" t="str">
        <f>IF($B89="","",SUM('entri hasil dari isian siswa'!DV89:EF89))</f>
        <v/>
      </c>
      <c r="AI89" t="str">
        <f>IF($B89="","",SUM('entri hasil dari isian siswa'!EG89:ET89))</f>
        <v/>
      </c>
      <c r="AJ89" t="str">
        <f>IF($B89="","",SUM('entri hasil dari isian siswa'!EU89:FH89))</f>
        <v/>
      </c>
      <c r="AK89" t="str">
        <f>IF($B89="","",SUM('entri hasil dari isian siswa'!FI89:FV89))</f>
        <v/>
      </c>
      <c r="AL89" t="str">
        <f>IF($B89="","",SUM('entri hasil dari isian siswa'!FW89:GJ89))</f>
        <v/>
      </c>
      <c r="AM89" t="str">
        <f>IF($B89="","",SUM('entri hasil dari isian siswa'!GK89:GX89))</f>
        <v/>
      </c>
      <c r="AN89" t="str">
        <f>IF($B89="","",SUM('entri hasil dari isian siswa'!GY89:HL89))</f>
        <v/>
      </c>
      <c r="AO89" t="str">
        <f>IF($B89="","",'entri hasil dari isian siswa'!HM89+'entri hasil dari isian siswa'!HS89)</f>
        <v/>
      </c>
      <c r="AP89" t="str">
        <f>IF($B89="","",'entri hasil dari isian siswa'!HN89+'entri hasil dari isian siswa'!HT89)</f>
        <v/>
      </c>
      <c r="AQ89" t="str">
        <f>IF($B89="","",'entri hasil dari isian siswa'!HO89+'entri hasil dari isian siswa'!HU89)</f>
        <v/>
      </c>
      <c r="AR89" t="str">
        <f>IF($B89="","",'entri hasil dari isian siswa'!HP89+'entri hasil dari isian siswa'!HV89)</f>
        <v/>
      </c>
      <c r="AS89" t="str">
        <f>IF($B89="","",'entri hasil dari isian siswa'!HQ89+'entri hasil dari isian siswa'!HW89)</f>
        <v/>
      </c>
      <c r="AT89" t="str">
        <f>IF($B89="","",'entri hasil dari isian siswa'!HR89+'entri hasil dari isian siswa'!HX89)</f>
        <v/>
      </c>
      <c r="AU89" s="69" t="str">
        <f t="shared" si="35"/>
        <v/>
      </c>
      <c r="AV89" s="69" t="str">
        <f>IF($AU89="","",IFERROR(VLOOKUP($AU89,'Kunci dari RIASEC'!$J$4:$K$33,2,FALSE),""))</f>
        <v/>
      </c>
    </row>
    <row r="90" spans="1:48">
      <c r="A90">
        <f t="shared" si="24"/>
        <v>86</v>
      </c>
      <c r="B90" t="str">
        <f>IF('entri hasil dari isian siswa'!B90="","",'entri hasil dari isian siswa'!B90)</f>
        <v/>
      </c>
      <c r="C90" t="str">
        <f>IF('entri hasil dari isian siswa'!C90="","",'entri hasil dari isian siswa'!C90)</f>
        <v/>
      </c>
      <c r="D90" t="str">
        <f>IF('entri hasil dari isian siswa'!D90="","",'entri hasil dari isian siswa'!D90)</f>
        <v/>
      </c>
      <c r="E90" t="str">
        <f t="shared" si="25"/>
        <v/>
      </c>
      <c r="F90" t="str">
        <f t="shared" si="26"/>
        <v/>
      </c>
      <c r="G90" t="str">
        <f t="shared" si="27"/>
        <v/>
      </c>
      <c r="H90" t="str">
        <f t="shared" si="28"/>
        <v/>
      </c>
      <c r="I90" t="str">
        <f t="shared" si="29"/>
        <v/>
      </c>
      <c r="J90" t="str">
        <f t="shared" si="30"/>
        <v/>
      </c>
      <c r="K90" t="str">
        <f>IF($V90&lt;&gt;"OK","",RANK(E90,$E90:$J90,0)+COUNTIF($E90:E90,E90)-1)</f>
        <v/>
      </c>
      <c r="L90" t="str">
        <f>IF($V90&lt;&gt;"OK","",RANK(F90,$E90:$J90,0)+COUNTIF($E90:F90,F90)-1)</f>
        <v/>
      </c>
      <c r="M90" t="str">
        <f>IF($V90&lt;&gt;"OK","",RANK(G90,$E90:$J90,0)+COUNTIF($E90:G90,G90)-1)</f>
        <v/>
      </c>
      <c r="N90" t="str">
        <f>IF($V90&lt;&gt;"OK","",RANK(H90,$E90:$J90,0)+COUNTIF($E90:H90,H90)-1)</f>
        <v/>
      </c>
      <c r="O90" t="str">
        <f>IF($V90&lt;&gt;"OK","",RANK(I90,$E90:$J90,0)+COUNTIF($E90:I90,I90)-1)</f>
        <v/>
      </c>
      <c r="P90" t="str">
        <f>IF($V90&lt;&gt;"OK","",RANK(J90,$E90:$J90,0)+COUNTIF($E90:J90,J90)-1)</f>
        <v/>
      </c>
      <c r="Q90" t="str">
        <f t="shared" si="31"/>
        <v/>
      </c>
      <c r="R90" t="str">
        <f t="shared" si="32"/>
        <v/>
      </c>
      <c r="S90" t="str">
        <f t="shared" si="33"/>
        <v/>
      </c>
      <c r="T90" t="str">
        <f t="shared" si="34"/>
        <v/>
      </c>
      <c r="U90" s="1" t="str">
        <f>IF($T90="","",IFERROR(VLOOKUP($T90,'Kunci dari RIASEC'!$A$4:$B$123,2,FALSE),"Rekomendasi belum tersedia"))</f>
        <v/>
      </c>
      <c r="V90" t="str">
        <f>IF('entri hasil dari isian siswa'!B90="","",'entri hasil dari isian siswa'!HY90)</f>
        <v/>
      </c>
      <c r="W90" t="str">
        <f>IF($B90="","",SUM('entri hasil dari isian siswa'!E90:O90))</f>
        <v/>
      </c>
      <c r="X90" t="str">
        <f>IF($B90="","",SUM('entri hasil dari isian siswa'!P90:Z90))</f>
        <v/>
      </c>
      <c r="Y90" t="str">
        <f>IF($B90="","",SUM('entri hasil dari isian siswa'!AA90:AK90))</f>
        <v/>
      </c>
      <c r="Z90" t="str">
        <f>IF($B90="","",SUM('entri hasil dari isian siswa'!AL90:AV90))</f>
        <v/>
      </c>
      <c r="AA90" t="str">
        <f>IF($B90="","",SUM('entri hasil dari isian siswa'!AW90:BG90))</f>
        <v/>
      </c>
      <c r="AB90" t="str">
        <f>IF($B90="","",SUM('entri hasil dari isian siswa'!BH90:BR90))</f>
        <v/>
      </c>
      <c r="AC90" t="str">
        <f>IF($B90="","",SUM('entri hasil dari isian siswa'!BS90:CC90))</f>
        <v/>
      </c>
      <c r="AD90" t="str">
        <f>IF($B90="","",SUM('entri hasil dari isian siswa'!CD90:CN90))</f>
        <v/>
      </c>
      <c r="AE90" t="str">
        <f>IF($B90="","",SUM('entri hasil dari isian siswa'!CO90:CY90))</f>
        <v/>
      </c>
      <c r="AF90" t="str">
        <f>IF($B90="","",SUM('entri hasil dari isian siswa'!CZ90:DJ90))</f>
        <v/>
      </c>
      <c r="AG90" t="str">
        <f>IF($B90="","",SUM('entri hasil dari isian siswa'!DK90:DU90))</f>
        <v/>
      </c>
      <c r="AH90" t="str">
        <f>IF($B90="","",SUM('entri hasil dari isian siswa'!DV90:EF90))</f>
        <v/>
      </c>
      <c r="AI90" t="str">
        <f>IF($B90="","",SUM('entri hasil dari isian siswa'!EG90:ET90))</f>
        <v/>
      </c>
      <c r="AJ90" t="str">
        <f>IF($B90="","",SUM('entri hasil dari isian siswa'!EU90:FH90))</f>
        <v/>
      </c>
      <c r="AK90" t="str">
        <f>IF($B90="","",SUM('entri hasil dari isian siswa'!FI90:FV90))</f>
        <v/>
      </c>
      <c r="AL90" t="str">
        <f>IF($B90="","",SUM('entri hasil dari isian siswa'!FW90:GJ90))</f>
        <v/>
      </c>
      <c r="AM90" t="str">
        <f>IF($B90="","",SUM('entri hasil dari isian siswa'!GK90:GX90))</f>
        <v/>
      </c>
      <c r="AN90" t="str">
        <f>IF($B90="","",SUM('entri hasil dari isian siswa'!GY90:HL90))</f>
        <v/>
      </c>
      <c r="AO90" t="str">
        <f>IF($B90="","",'entri hasil dari isian siswa'!HM90+'entri hasil dari isian siswa'!HS90)</f>
        <v/>
      </c>
      <c r="AP90" t="str">
        <f>IF($B90="","",'entri hasil dari isian siswa'!HN90+'entri hasil dari isian siswa'!HT90)</f>
        <v/>
      </c>
      <c r="AQ90" t="str">
        <f>IF($B90="","",'entri hasil dari isian siswa'!HO90+'entri hasil dari isian siswa'!HU90)</f>
        <v/>
      </c>
      <c r="AR90" t="str">
        <f>IF($B90="","",'entri hasil dari isian siswa'!HP90+'entri hasil dari isian siswa'!HV90)</f>
        <v/>
      </c>
      <c r="AS90" t="str">
        <f>IF($B90="","",'entri hasil dari isian siswa'!HQ90+'entri hasil dari isian siswa'!HW90)</f>
        <v/>
      </c>
      <c r="AT90" t="str">
        <f>IF($B90="","",'entri hasil dari isian siswa'!HR90+'entri hasil dari isian siswa'!HX90)</f>
        <v/>
      </c>
      <c r="AU90" s="69" t="str">
        <f t="shared" si="35"/>
        <v/>
      </c>
      <c r="AV90" s="69" t="str">
        <f>IF($AU90="","",IFERROR(VLOOKUP($AU90,'Kunci dari RIASEC'!$J$4:$K$33,2,FALSE),""))</f>
        <v/>
      </c>
    </row>
    <row r="91" spans="1:48">
      <c r="A91">
        <f t="shared" si="24"/>
        <v>87</v>
      </c>
      <c r="B91" t="str">
        <f>IF('entri hasil dari isian siswa'!B91="","",'entri hasil dari isian siswa'!B91)</f>
        <v/>
      </c>
      <c r="C91" t="str">
        <f>IF('entri hasil dari isian siswa'!C91="","",'entri hasil dari isian siswa'!C91)</f>
        <v/>
      </c>
      <c r="D91" t="str">
        <f>IF('entri hasil dari isian siswa'!D91="","",'entri hasil dari isian siswa'!D91)</f>
        <v/>
      </c>
      <c r="E91" t="str">
        <f t="shared" si="25"/>
        <v/>
      </c>
      <c r="F91" t="str">
        <f t="shared" si="26"/>
        <v/>
      </c>
      <c r="G91" t="str">
        <f t="shared" si="27"/>
        <v/>
      </c>
      <c r="H91" t="str">
        <f t="shared" si="28"/>
        <v/>
      </c>
      <c r="I91" t="str">
        <f t="shared" si="29"/>
        <v/>
      </c>
      <c r="J91" t="str">
        <f t="shared" si="30"/>
        <v/>
      </c>
      <c r="K91" t="str">
        <f>IF($V91&lt;&gt;"OK","",RANK(E91,$E91:$J91,0)+COUNTIF($E91:E91,E91)-1)</f>
        <v/>
      </c>
      <c r="L91" t="str">
        <f>IF($V91&lt;&gt;"OK","",RANK(F91,$E91:$J91,0)+COUNTIF($E91:F91,F91)-1)</f>
        <v/>
      </c>
      <c r="M91" t="str">
        <f>IF($V91&lt;&gt;"OK","",RANK(G91,$E91:$J91,0)+COUNTIF($E91:G91,G91)-1)</f>
        <v/>
      </c>
      <c r="N91" t="str">
        <f>IF($V91&lt;&gt;"OK","",RANK(H91,$E91:$J91,0)+COUNTIF($E91:H91,H91)-1)</f>
        <v/>
      </c>
      <c r="O91" t="str">
        <f>IF($V91&lt;&gt;"OK","",RANK(I91,$E91:$J91,0)+COUNTIF($E91:I91,I91)-1)</f>
        <v/>
      </c>
      <c r="P91" t="str">
        <f>IF($V91&lt;&gt;"OK","",RANK(J91,$E91:$J91,0)+COUNTIF($E91:J91,J91)-1)</f>
        <v/>
      </c>
      <c r="Q91" t="str">
        <f t="shared" si="31"/>
        <v/>
      </c>
      <c r="R91" t="str">
        <f t="shared" si="32"/>
        <v/>
      </c>
      <c r="S91" t="str">
        <f t="shared" si="33"/>
        <v/>
      </c>
      <c r="T91" t="str">
        <f t="shared" si="34"/>
        <v/>
      </c>
      <c r="U91" s="1" t="str">
        <f>IF($T91="","",IFERROR(VLOOKUP($T91,'Kunci dari RIASEC'!$A$4:$B$123,2,FALSE),"Rekomendasi belum tersedia"))</f>
        <v/>
      </c>
      <c r="V91" t="str">
        <f>IF('entri hasil dari isian siswa'!B91="","",'entri hasil dari isian siswa'!HY91)</f>
        <v/>
      </c>
      <c r="W91" t="str">
        <f>IF($B91="","",SUM('entri hasil dari isian siswa'!E91:O91))</f>
        <v/>
      </c>
      <c r="X91" t="str">
        <f>IF($B91="","",SUM('entri hasil dari isian siswa'!P91:Z91))</f>
        <v/>
      </c>
      <c r="Y91" t="str">
        <f>IF($B91="","",SUM('entri hasil dari isian siswa'!AA91:AK91))</f>
        <v/>
      </c>
      <c r="Z91" t="str">
        <f>IF($B91="","",SUM('entri hasil dari isian siswa'!AL91:AV91))</f>
        <v/>
      </c>
      <c r="AA91" t="str">
        <f>IF($B91="","",SUM('entri hasil dari isian siswa'!AW91:BG91))</f>
        <v/>
      </c>
      <c r="AB91" t="str">
        <f>IF($B91="","",SUM('entri hasil dari isian siswa'!BH91:BR91))</f>
        <v/>
      </c>
      <c r="AC91" t="str">
        <f>IF($B91="","",SUM('entri hasil dari isian siswa'!BS91:CC91))</f>
        <v/>
      </c>
      <c r="AD91" t="str">
        <f>IF($B91="","",SUM('entri hasil dari isian siswa'!CD91:CN91))</f>
        <v/>
      </c>
      <c r="AE91" t="str">
        <f>IF($B91="","",SUM('entri hasil dari isian siswa'!CO91:CY91))</f>
        <v/>
      </c>
      <c r="AF91" t="str">
        <f>IF($B91="","",SUM('entri hasil dari isian siswa'!CZ91:DJ91))</f>
        <v/>
      </c>
      <c r="AG91" t="str">
        <f>IF($B91="","",SUM('entri hasil dari isian siswa'!DK91:DU91))</f>
        <v/>
      </c>
      <c r="AH91" t="str">
        <f>IF($B91="","",SUM('entri hasil dari isian siswa'!DV91:EF91))</f>
        <v/>
      </c>
      <c r="AI91" t="str">
        <f>IF($B91="","",SUM('entri hasil dari isian siswa'!EG91:ET91))</f>
        <v/>
      </c>
      <c r="AJ91" t="str">
        <f>IF($B91="","",SUM('entri hasil dari isian siswa'!EU91:FH91))</f>
        <v/>
      </c>
      <c r="AK91" t="str">
        <f>IF($B91="","",SUM('entri hasil dari isian siswa'!FI91:FV91))</f>
        <v/>
      </c>
      <c r="AL91" t="str">
        <f>IF($B91="","",SUM('entri hasil dari isian siswa'!FW91:GJ91))</f>
        <v/>
      </c>
      <c r="AM91" t="str">
        <f>IF($B91="","",SUM('entri hasil dari isian siswa'!GK91:GX91))</f>
        <v/>
      </c>
      <c r="AN91" t="str">
        <f>IF($B91="","",SUM('entri hasil dari isian siswa'!GY91:HL91))</f>
        <v/>
      </c>
      <c r="AO91" t="str">
        <f>IF($B91="","",'entri hasil dari isian siswa'!HM91+'entri hasil dari isian siswa'!HS91)</f>
        <v/>
      </c>
      <c r="AP91" t="str">
        <f>IF($B91="","",'entri hasil dari isian siswa'!HN91+'entri hasil dari isian siswa'!HT91)</f>
        <v/>
      </c>
      <c r="AQ91" t="str">
        <f>IF($B91="","",'entri hasil dari isian siswa'!HO91+'entri hasil dari isian siswa'!HU91)</f>
        <v/>
      </c>
      <c r="AR91" t="str">
        <f>IF($B91="","",'entri hasil dari isian siswa'!HP91+'entri hasil dari isian siswa'!HV91)</f>
        <v/>
      </c>
      <c r="AS91" t="str">
        <f>IF($B91="","",'entri hasil dari isian siswa'!HQ91+'entri hasil dari isian siswa'!HW91)</f>
        <v/>
      </c>
      <c r="AT91" t="str">
        <f>IF($B91="","",'entri hasil dari isian siswa'!HR91+'entri hasil dari isian siswa'!HX91)</f>
        <v/>
      </c>
      <c r="AU91" s="69" t="str">
        <f t="shared" si="35"/>
        <v/>
      </c>
      <c r="AV91" s="69" t="str">
        <f>IF($AU91="","",IFERROR(VLOOKUP($AU91,'Kunci dari RIASEC'!$J$4:$K$33,2,FALSE),""))</f>
        <v/>
      </c>
    </row>
    <row r="92" spans="1:48">
      <c r="A92">
        <f t="shared" si="24"/>
        <v>88</v>
      </c>
      <c r="B92" t="str">
        <f>IF('entri hasil dari isian siswa'!B92="","",'entri hasil dari isian siswa'!B92)</f>
        <v/>
      </c>
      <c r="C92" t="str">
        <f>IF('entri hasil dari isian siswa'!C92="","",'entri hasil dari isian siswa'!C92)</f>
        <v/>
      </c>
      <c r="D92" t="str">
        <f>IF('entri hasil dari isian siswa'!D92="","",'entri hasil dari isian siswa'!D92)</f>
        <v/>
      </c>
      <c r="E92" t="str">
        <f t="shared" si="25"/>
        <v/>
      </c>
      <c r="F92" t="str">
        <f t="shared" si="26"/>
        <v/>
      </c>
      <c r="G92" t="str">
        <f t="shared" si="27"/>
        <v/>
      </c>
      <c r="H92" t="str">
        <f t="shared" si="28"/>
        <v/>
      </c>
      <c r="I92" t="str">
        <f t="shared" si="29"/>
        <v/>
      </c>
      <c r="J92" t="str">
        <f t="shared" si="30"/>
        <v/>
      </c>
      <c r="K92" t="str">
        <f>IF($V92&lt;&gt;"OK","",RANK(E92,$E92:$J92,0)+COUNTIF($E92:E92,E92)-1)</f>
        <v/>
      </c>
      <c r="L92" t="str">
        <f>IF($V92&lt;&gt;"OK","",RANK(F92,$E92:$J92,0)+COUNTIF($E92:F92,F92)-1)</f>
        <v/>
      </c>
      <c r="M92" t="str">
        <f>IF($V92&lt;&gt;"OK","",RANK(G92,$E92:$J92,0)+COUNTIF($E92:G92,G92)-1)</f>
        <v/>
      </c>
      <c r="N92" t="str">
        <f>IF($V92&lt;&gt;"OK","",RANK(H92,$E92:$J92,0)+COUNTIF($E92:H92,H92)-1)</f>
        <v/>
      </c>
      <c r="O92" t="str">
        <f>IF($V92&lt;&gt;"OK","",RANK(I92,$E92:$J92,0)+COUNTIF($E92:I92,I92)-1)</f>
        <v/>
      </c>
      <c r="P92" t="str">
        <f>IF($V92&lt;&gt;"OK","",RANK(J92,$E92:$J92,0)+COUNTIF($E92:J92,J92)-1)</f>
        <v/>
      </c>
      <c r="Q92" t="str">
        <f t="shared" si="31"/>
        <v/>
      </c>
      <c r="R92" t="str">
        <f t="shared" si="32"/>
        <v/>
      </c>
      <c r="S92" t="str">
        <f t="shared" si="33"/>
        <v/>
      </c>
      <c r="T92" t="str">
        <f t="shared" si="34"/>
        <v/>
      </c>
      <c r="U92" s="1" t="str">
        <f>IF($T92="","",IFERROR(VLOOKUP($T92,'Kunci dari RIASEC'!$A$4:$B$123,2,FALSE),"Rekomendasi belum tersedia"))</f>
        <v/>
      </c>
      <c r="V92" t="str">
        <f>IF('entri hasil dari isian siswa'!B92="","",'entri hasil dari isian siswa'!HY92)</f>
        <v/>
      </c>
      <c r="W92" t="str">
        <f>IF($B92="","",SUM('entri hasil dari isian siswa'!E92:O92))</f>
        <v/>
      </c>
      <c r="X92" t="str">
        <f>IF($B92="","",SUM('entri hasil dari isian siswa'!P92:Z92))</f>
        <v/>
      </c>
      <c r="Y92" t="str">
        <f>IF($B92="","",SUM('entri hasil dari isian siswa'!AA92:AK92))</f>
        <v/>
      </c>
      <c r="Z92" t="str">
        <f>IF($B92="","",SUM('entri hasil dari isian siswa'!AL92:AV92))</f>
        <v/>
      </c>
      <c r="AA92" t="str">
        <f>IF($B92="","",SUM('entri hasil dari isian siswa'!AW92:BG92))</f>
        <v/>
      </c>
      <c r="AB92" t="str">
        <f>IF($B92="","",SUM('entri hasil dari isian siswa'!BH92:BR92))</f>
        <v/>
      </c>
      <c r="AC92" t="str">
        <f>IF($B92="","",SUM('entri hasil dari isian siswa'!BS92:CC92))</f>
        <v/>
      </c>
      <c r="AD92" t="str">
        <f>IF($B92="","",SUM('entri hasil dari isian siswa'!CD92:CN92))</f>
        <v/>
      </c>
      <c r="AE92" t="str">
        <f>IF($B92="","",SUM('entri hasil dari isian siswa'!CO92:CY92))</f>
        <v/>
      </c>
      <c r="AF92" t="str">
        <f>IF($B92="","",SUM('entri hasil dari isian siswa'!CZ92:DJ92))</f>
        <v/>
      </c>
      <c r="AG92" t="str">
        <f>IF($B92="","",SUM('entri hasil dari isian siswa'!DK92:DU92))</f>
        <v/>
      </c>
      <c r="AH92" t="str">
        <f>IF($B92="","",SUM('entri hasil dari isian siswa'!DV92:EF92))</f>
        <v/>
      </c>
      <c r="AI92" t="str">
        <f>IF($B92="","",SUM('entri hasil dari isian siswa'!EG92:ET92))</f>
        <v/>
      </c>
      <c r="AJ92" t="str">
        <f>IF($B92="","",SUM('entri hasil dari isian siswa'!EU92:FH92))</f>
        <v/>
      </c>
      <c r="AK92" t="str">
        <f>IF($B92="","",SUM('entri hasil dari isian siswa'!FI92:FV92))</f>
        <v/>
      </c>
      <c r="AL92" t="str">
        <f>IF($B92="","",SUM('entri hasil dari isian siswa'!FW92:GJ92))</f>
        <v/>
      </c>
      <c r="AM92" t="str">
        <f>IF($B92="","",SUM('entri hasil dari isian siswa'!GK92:GX92))</f>
        <v/>
      </c>
      <c r="AN92" t="str">
        <f>IF($B92="","",SUM('entri hasil dari isian siswa'!GY92:HL92))</f>
        <v/>
      </c>
      <c r="AO92" t="str">
        <f>IF($B92="","",'entri hasil dari isian siswa'!HM92+'entri hasil dari isian siswa'!HS92)</f>
        <v/>
      </c>
      <c r="AP92" t="str">
        <f>IF($B92="","",'entri hasil dari isian siswa'!HN92+'entri hasil dari isian siswa'!HT92)</f>
        <v/>
      </c>
      <c r="AQ92" t="str">
        <f>IF($B92="","",'entri hasil dari isian siswa'!HO92+'entri hasil dari isian siswa'!HU92)</f>
        <v/>
      </c>
      <c r="AR92" t="str">
        <f>IF($B92="","",'entri hasil dari isian siswa'!HP92+'entri hasil dari isian siswa'!HV92)</f>
        <v/>
      </c>
      <c r="AS92" t="str">
        <f>IF($B92="","",'entri hasil dari isian siswa'!HQ92+'entri hasil dari isian siswa'!HW92)</f>
        <v/>
      </c>
      <c r="AT92" t="str">
        <f>IF($B92="","",'entri hasil dari isian siswa'!HR92+'entri hasil dari isian siswa'!HX92)</f>
        <v/>
      </c>
      <c r="AU92" s="69" t="str">
        <f t="shared" si="35"/>
        <v/>
      </c>
      <c r="AV92" s="69" t="str">
        <f>IF($AU92="","",IFERROR(VLOOKUP($AU92,'Kunci dari RIASEC'!$J$4:$K$33,2,FALSE),""))</f>
        <v/>
      </c>
    </row>
    <row r="93" spans="1:48">
      <c r="A93">
        <f t="shared" si="24"/>
        <v>89</v>
      </c>
      <c r="B93" t="str">
        <f>IF('entri hasil dari isian siswa'!B93="","",'entri hasil dari isian siswa'!B93)</f>
        <v/>
      </c>
      <c r="C93" t="str">
        <f>IF('entri hasil dari isian siswa'!C93="","",'entri hasil dari isian siswa'!C93)</f>
        <v/>
      </c>
      <c r="D93" t="str">
        <f>IF('entri hasil dari isian siswa'!D93="","",'entri hasil dari isian siswa'!D93)</f>
        <v/>
      </c>
      <c r="E93" t="str">
        <f t="shared" si="25"/>
        <v/>
      </c>
      <c r="F93" t="str">
        <f t="shared" si="26"/>
        <v/>
      </c>
      <c r="G93" t="str">
        <f t="shared" si="27"/>
        <v/>
      </c>
      <c r="H93" t="str">
        <f t="shared" si="28"/>
        <v/>
      </c>
      <c r="I93" t="str">
        <f t="shared" si="29"/>
        <v/>
      </c>
      <c r="J93" t="str">
        <f t="shared" si="30"/>
        <v/>
      </c>
      <c r="K93" t="str">
        <f>IF($V93&lt;&gt;"OK","",RANK(E93,$E93:$J93,0)+COUNTIF($E93:E93,E93)-1)</f>
        <v/>
      </c>
      <c r="L93" t="str">
        <f>IF($V93&lt;&gt;"OK","",RANK(F93,$E93:$J93,0)+COUNTIF($E93:F93,F93)-1)</f>
        <v/>
      </c>
      <c r="M93" t="str">
        <f>IF($V93&lt;&gt;"OK","",RANK(G93,$E93:$J93,0)+COUNTIF($E93:G93,G93)-1)</f>
        <v/>
      </c>
      <c r="N93" t="str">
        <f>IF($V93&lt;&gt;"OK","",RANK(H93,$E93:$J93,0)+COUNTIF($E93:H93,H93)-1)</f>
        <v/>
      </c>
      <c r="O93" t="str">
        <f>IF($V93&lt;&gt;"OK","",RANK(I93,$E93:$J93,0)+COUNTIF($E93:I93,I93)-1)</f>
        <v/>
      </c>
      <c r="P93" t="str">
        <f>IF($V93&lt;&gt;"OK","",RANK(J93,$E93:$J93,0)+COUNTIF($E93:J93,J93)-1)</f>
        <v/>
      </c>
      <c r="Q93" t="str">
        <f t="shared" si="31"/>
        <v/>
      </c>
      <c r="R93" t="str">
        <f t="shared" si="32"/>
        <v/>
      </c>
      <c r="S93" t="str">
        <f t="shared" si="33"/>
        <v/>
      </c>
      <c r="T93" t="str">
        <f t="shared" si="34"/>
        <v/>
      </c>
      <c r="U93" s="1" t="str">
        <f>IF($T93="","",IFERROR(VLOOKUP($T93,'Kunci dari RIASEC'!$A$4:$B$123,2,FALSE),"Rekomendasi belum tersedia"))</f>
        <v/>
      </c>
      <c r="V93" t="str">
        <f>IF('entri hasil dari isian siswa'!B93="","",'entri hasil dari isian siswa'!HY93)</f>
        <v/>
      </c>
      <c r="W93" t="str">
        <f>IF($B93="","",SUM('entri hasil dari isian siswa'!E93:O93))</f>
        <v/>
      </c>
      <c r="X93" t="str">
        <f>IF($B93="","",SUM('entri hasil dari isian siswa'!P93:Z93))</f>
        <v/>
      </c>
      <c r="Y93" t="str">
        <f>IF($B93="","",SUM('entri hasil dari isian siswa'!AA93:AK93))</f>
        <v/>
      </c>
      <c r="Z93" t="str">
        <f>IF($B93="","",SUM('entri hasil dari isian siswa'!AL93:AV93))</f>
        <v/>
      </c>
      <c r="AA93" t="str">
        <f>IF($B93="","",SUM('entri hasil dari isian siswa'!AW93:BG93))</f>
        <v/>
      </c>
      <c r="AB93" t="str">
        <f>IF($B93="","",SUM('entri hasil dari isian siswa'!BH93:BR93))</f>
        <v/>
      </c>
      <c r="AC93" t="str">
        <f>IF($B93="","",SUM('entri hasil dari isian siswa'!BS93:CC93))</f>
        <v/>
      </c>
      <c r="AD93" t="str">
        <f>IF($B93="","",SUM('entri hasil dari isian siswa'!CD93:CN93))</f>
        <v/>
      </c>
      <c r="AE93" t="str">
        <f>IF($B93="","",SUM('entri hasil dari isian siswa'!CO93:CY93))</f>
        <v/>
      </c>
      <c r="AF93" t="str">
        <f>IF($B93="","",SUM('entri hasil dari isian siswa'!CZ93:DJ93))</f>
        <v/>
      </c>
      <c r="AG93" t="str">
        <f>IF($B93="","",SUM('entri hasil dari isian siswa'!DK93:DU93))</f>
        <v/>
      </c>
      <c r="AH93" t="str">
        <f>IF($B93="","",SUM('entri hasil dari isian siswa'!DV93:EF93))</f>
        <v/>
      </c>
      <c r="AI93" t="str">
        <f>IF($B93="","",SUM('entri hasil dari isian siswa'!EG93:ET93))</f>
        <v/>
      </c>
      <c r="AJ93" t="str">
        <f>IF($B93="","",SUM('entri hasil dari isian siswa'!EU93:FH93))</f>
        <v/>
      </c>
      <c r="AK93" t="str">
        <f>IF($B93="","",SUM('entri hasil dari isian siswa'!FI93:FV93))</f>
        <v/>
      </c>
      <c r="AL93" t="str">
        <f>IF($B93="","",SUM('entri hasil dari isian siswa'!FW93:GJ93))</f>
        <v/>
      </c>
      <c r="AM93" t="str">
        <f>IF($B93="","",SUM('entri hasil dari isian siswa'!GK93:GX93))</f>
        <v/>
      </c>
      <c r="AN93" t="str">
        <f>IF($B93="","",SUM('entri hasil dari isian siswa'!GY93:HL93))</f>
        <v/>
      </c>
      <c r="AO93" t="str">
        <f>IF($B93="","",'entri hasil dari isian siswa'!HM93+'entri hasil dari isian siswa'!HS93)</f>
        <v/>
      </c>
      <c r="AP93" t="str">
        <f>IF($B93="","",'entri hasil dari isian siswa'!HN93+'entri hasil dari isian siswa'!HT93)</f>
        <v/>
      </c>
      <c r="AQ93" t="str">
        <f>IF($B93="","",'entri hasil dari isian siswa'!HO93+'entri hasil dari isian siswa'!HU93)</f>
        <v/>
      </c>
      <c r="AR93" t="str">
        <f>IF($B93="","",'entri hasil dari isian siswa'!HP93+'entri hasil dari isian siswa'!HV93)</f>
        <v/>
      </c>
      <c r="AS93" t="str">
        <f>IF($B93="","",'entri hasil dari isian siswa'!HQ93+'entri hasil dari isian siswa'!HW93)</f>
        <v/>
      </c>
      <c r="AT93" t="str">
        <f>IF($B93="","",'entri hasil dari isian siswa'!HR93+'entri hasil dari isian siswa'!HX93)</f>
        <v/>
      </c>
      <c r="AU93" s="69" t="str">
        <f t="shared" si="35"/>
        <v/>
      </c>
      <c r="AV93" s="69" t="str">
        <f>IF($AU93="","",IFERROR(VLOOKUP($AU93,'Kunci dari RIASEC'!$J$4:$K$33,2,FALSE),""))</f>
        <v/>
      </c>
    </row>
    <row r="94" spans="1:48">
      <c r="A94">
        <f t="shared" si="24"/>
        <v>90</v>
      </c>
      <c r="B94" t="str">
        <f>IF('entri hasil dari isian siswa'!B94="","",'entri hasil dari isian siswa'!B94)</f>
        <v/>
      </c>
      <c r="C94" t="str">
        <f>IF('entri hasil dari isian siswa'!C94="","",'entri hasil dari isian siswa'!C94)</f>
        <v/>
      </c>
      <c r="D94" t="str">
        <f>IF('entri hasil dari isian siswa'!D94="","",'entri hasil dari isian siswa'!D94)</f>
        <v/>
      </c>
      <c r="E94" t="str">
        <f t="shared" si="25"/>
        <v/>
      </c>
      <c r="F94" t="str">
        <f t="shared" si="26"/>
        <v/>
      </c>
      <c r="G94" t="str">
        <f t="shared" si="27"/>
        <v/>
      </c>
      <c r="H94" t="str">
        <f t="shared" si="28"/>
        <v/>
      </c>
      <c r="I94" t="str">
        <f t="shared" si="29"/>
        <v/>
      </c>
      <c r="J94" t="str">
        <f t="shared" si="30"/>
        <v/>
      </c>
      <c r="K94" t="str">
        <f>IF($V94&lt;&gt;"OK","",RANK(E94,$E94:$J94,0)+COUNTIF($E94:E94,E94)-1)</f>
        <v/>
      </c>
      <c r="L94" t="str">
        <f>IF($V94&lt;&gt;"OK","",RANK(F94,$E94:$J94,0)+COUNTIF($E94:F94,F94)-1)</f>
        <v/>
      </c>
      <c r="M94" t="str">
        <f>IF($V94&lt;&gt;"OK","",RANK(G94,$E94:$J94,0)+COUNTIF($E94:G94,G94)-1)</f>
        <v/>
      </c>
      <c r="N94" t="str">
        <f>IF($V94&lt;&gt;"OK","",RANK(H94,$E94:$J94,0)+COUNTIF($E94:H94,H94)-1)</f>
        <v/>
      </c>
      <c r="O94" t="str">
        <f>IF($V94&lt;&gt;"OK","",RANK(I94,$E94:$J94,0)+COUNTIF($E94:I94,I94)-1)</f>
        <v/>
      </c>
      <c r="P94" t="str">
        <f>IF($V94&lt;&gt;"OK","",RANK(J94,$E94:$J94,0)+COUNTIF($E94:J94,J94)-1)</f>
        <v/>
      </c>
      <c r="Q94" t="str">
        <f t="shared" si="31"/>
        <v/>
      </c>
      <c r="R94" t="str">
        <f t="shared" si="32"/>
        <v/>
      </c>
      <c r="S94" t="str">
        <f t="shared" si="33"/>
        <v/>
      </c>
      <c r="T94" t="str">
        <f t="shared" si="34"/>
        <v/>
      </c>
      <c r="U94" s="1" t="str">
        <f>IF($T94="","",IFERROR(VLOOKUP($T94,'Kunci dari RIASEC'!$A$4:$B$123,2,FALSE),"Rekomendasi belum tersedia"))</f>
        <v/>
      </c>
      <c r="V94" t="str">
        <f>IF('entri hasil dari isian siswa'!B94="","",'entri hasil dari isian siswa'!HY94)</f>
        <v/>
      </c>
      <c r="W94" t="str">
        <f>IF($B94="","",SUM('entri hasil dari isian siswa'!E94:O94))</f>
        <v/>
      </c>
      <c r="X94" t="str">
        <f>IF($B94="","",SUM('entri hasil dari isian siswa'!P94:Z94))</f>
        <v/>
      </c>
      <c r="Y94" t="str">
        <f>IF($B94="","",SUM('entri hasil dari isian siswa'!AA94:AK94))</f>
        <v/>
      </c>
      <c r="Z94" t="str">
        <f>IF($B94="","",SUM('entri hasil dari isian siswa'!AL94:AV94))</f>
        <v/>
      </c>
      <c r="AA94" t="str">
        <f>IF($B94="","",SUM('entri hasil dari isian siswa'!AW94:BG94))</f>
        <v/>
      </c>
      <c r="AB94" t="str">
        <f>IF($B94="","",SUM('entri hasil dari isian siswa'!BH94:BR94))</f>
        <v/>
      </c>
      <c r="AC94" t="str">
        <f>IF($B94="","",SUM('entri hasil dari isian siswa'!BS94:CC94))</f>
        <v/>
      </c>
      <c r="AD94" t="str">
        <f>IF($B94="","",SUM('entri hasil dari isian siswa'!CD94:CN94))</f>
        <v/>
      </c>
      <c r="AE94" t="str">
        <f>IF($B94="","",SUM('entri hasil dari isian siswa'!CO94:CY94))</f>
        <v/>
      </c>
      <c r="AF94" t="str">
        <f>IF($B94="","",SUM('entri hasil dari isian siswa'!CZ94:DJ94))</f>
        <v/>
      </c>
      <c r="AG94" t="str">
        <f>IF($B94="","",SUM('entri hasil dari isian siswa'!DK94:DU94))</f>
        <v/>
      </c>
      <c r="AH94" t="str">
        <f>IF($B94="","",SUM('entri hasil dari isian siswa'!DV94:EF94))</f>
        <v/>
      </c>
      <c r="AI94" t="str">
        <f>IF($B94="","",SUM('entri hasil dari isian siswa'!EG94:ET94))</f>
        <v/>
      </c>
      <c r="AJ94" t="str">
        <f>IF($B94="","",SUM('entri hasil dari isian siswa'!EU94:FH94))</f>
        <v/>
      </c>
      <c r="AK94" t="str">
        <f>IF($B94="","",SUM('entri hasil dari isian siswa'!FI94:FV94))</f>
        <v/>
      </c>
      <c r="AL94" t="str">
        <f>IF($B94="","",SUM('entri hasil dari isian siswa'!FW94:GJ94))</f>
        <v/>
      </c>
      <c r="AM94" t="str">
        <f>IF($B94="","",SUM('entri hasil dari isian siswa'!GK94:GX94))</f>
        <v/>
      </c>
      <c r="AN94" t="str">
        <f>IF($B94="","",SUM('entri hasil dari isian siswa'!GY94:HL94))</f>
        <v/>
      </c>
      <c r="AO94" t="str">
        <f>IF($B94="","",'entri hasil dari isian siswa'!HM94+'entri hasil dari isian siswa'!HS94)</f>
        <v/>
      </c>
      <c r="AP94" t="str">
        <f>IF($B94="","",'entri hasil dari isian siswa'!HN94+'entri hasil dari isian siswa'!HT94)</f>
        <v/>
      </c>
      <c r="AQ94" t="str">
        <f>IF($B94="","",'entri hasil dari isian siswa'!HO94+'entri hasil dari isian siswa'!HU94)</f>
        <v/>
      </c>
      <c r="AR94" t="str">
        <f>IF($B94="","",'entri hasil dari isian siswa'!HP94+'entri hasil dari isian siswa'!HV94)</f>
        <v/>
      </c>
      <c r="AS94" t="str">
        <f>IF($B94="","",'entri hasil dari isian siswa'!HQ94+'entri hasil dari isian siswa'!HW94)</f>
        <v/>
      </c>
      <c r="AT94" t="str">
        <f>IF($B94="","",'entri hasil dari isian siswa'!HR94+'entri hasil dari isian siswa'!HX94)</f>
        <v/>
      </c>
      <c r="AU94" s="69" t="str">
        <f t="shared" si="35"/>
        <v/>
      </c>
      <c r="AV94" s="69" t="str">
        <f>IF($AU94="","",IFERROR(VLOOKUP($AU94,'Kunci dari RIASEC'!$J$4:$K$33,2,FALSE),""))</f>
        <v/>
      </c>
    </row>
    <row r="95" spans="1:48">
      <c r="A95">
        <f t="shared" si="24"/>
        <v>91</v>
      </c>
      <c r="B95" t="str">
        <f>IF('entri hasil dari isian siswa'!B95="","",'entri hasil dari isian siswa'!B95)</f>
        <v/>
      </c>
      <c r="C95" t="str">
        <f>IF('entri hasil dari isian siswa'!C95="","",'entri hasil dari isian siswa'!C95)</f>
        <v/>
      </c>
      <c r="D95" t="str">
        <f>IF('entri hasil dari isian siswa'!D95="","",'entri hasil dari isian siswa'!D95)</f>
        <v/>
      </c>
      <c r="E95" t="str">
        <f t="shared" si="25"/>
        <v/>
      </c>
      <c r="F95" t="str">
        <f t="shared" si="26"/>
        <v/>
      </c>
      <c r="G95" t="str">
        <f t="shared" si="27"/>
        <v/>
      </c>
      <c r="H95" t="str">
        <f t="shared" si="28"/>
        <v/>
      </c>
      <c r="I95" t="str">
        <f t="shared" si="29"/>
        <v/>
      </c>
      <c r="J95" t="str">
        <f t="shared" si="30"/>
        <v/>
      </c>
      <c r="K95" t="str">
        <f>IF($V95&lt;&gt;"OK","",RANK(E95,$E95:$J95,0)+COUNTIF($E95:E95,E95)-1)</f>
        <v/>
      </c>
      <c r="L95" t="str">
        <f>IF($V95&lt;&gt;"OK","",RANK(F95,$E95:$J95,0)+COUNTIF($E95:F95,F95)-1)</f>
        <v/>
      </c>
      <c r="M95" t="str">
        <f>IF($V95&lt;&gt;"OK","",RANK(G95,$E95:$J95,0)+COUNTIF($E95:G95,G95)-1)</f>
        <v/>
      </c>
      <c r="N95" t="str">
        <f>IF($V95&lt;&gt;"OK","",RANK(H95,$E95:$J95,0)+COUNTIF($E95:H95,H95)-1)</f>
        <v/>
      </c>
      <c r="O95" t="str">
        <f>IF($V95&lt;&gt;"OK","",RANK(I95,$E95:$J95,0)+COUNTIF($E95:I95,I95)-1)</f>
        <v/>
      </c>
      <c r="P95" t="str">
        <f>IF($V95&lt;&gt;"OK","",RANK(J95,$E95:$J95,0)+COUNTIF($E95:J95,J95)-1)</f>
        <v/>
      </c>
      <c r="Q95" t="str">
        <f t="shared" si="31"/>
        <v/>
      </c>
      <c r="R95" t="str">
        <f t="shared" si="32"/>
        <v/>
      </c>
      <c r="S95" t="str">
        <f t="shared" si="33"/>
        <v/>
      </c>
      <c r="T95" t="str">
        <f t="shared" si="34"/>
        <v/>
      </c>
      <c r="U95" s="1" t="str">
        <f>IF($T95="","",IFERROR(VLOOKUP($T95,'Kunci dari RIASEC'!$A$4:$B$123,2,FALSE),"Rekomendasi belum tersedia"))</f>
        <v/>
      </c>
      <c r="V95" t="str">
        <f>IF('entri hasil dari isian siswa'!B95="","",'entri hasil dari isian siswa'!HY95)</f>
        <v/>
      </c>
      <c r="W95" t="str">
        <f>IF($B95="","",SUM('entri hasil dari isian siswa'!E95:O95))</f>
        <v/>
      </c>
      <c r="X95" t="str">
        <f>IF($B95="","",SUM('entri hasil dari isian siswa'!P95:Z95))</f>
        <v/>
      </c>
      <c r="Y95" t="str">
        <f>IF($B95="","",SUM('entri hasil dari isian siswa'!AA95:AK95))</f>
        <v/>
      </c>
      <c r="Z95" t="str">
        <f>IF($B95="","",SUM('entri hasil dari isian siswa'!AL95:AV95))</f>
        <v/>
      </c>
      <c r="AA95" t="str">
        <f>IF($B95="","",SUM('entri hasil dari isian siswa'!AW95:BG95))</f>
        <v/>
      </c>
      <c r="AB95" t="str">
        <f>IF($B95="","",SUM('entri hasil dari isian siswa'!BH95:BR95))</f>
        <v/>
      </c>
      <c r="AC95" t="str">
        <f>IF($B95="","",SUM('entri hasil dari isian siswa'!BS95:CC95))</f>
        <v/>
      </c>
      <c r="AD95" t="str">
        <f>IF($B95="","",SUM('entri hasil dari isian siswa'!CD95:CN95))</f>
        <v/>
      </c>
      <c r="AE95" t="str">
        <f>IF($B95="","",SUM('entri hasil dari isian siswa'!CO95:CY95))</f>
        <v/>
      </c>
      <c r="AF95" t="str">
        <f>IF($B95="","",SUM('entri hasil dari isian siswa'!CZ95:DJ95))</f>
        <v/>
      </c>
      <c r="AG95" t="str">
        <f>IF($B95="","",SUM('entri hasil dari isian siswa'!DK95:DU95))</f>
        <v/>
      </c>
      <c r="AH95" t="str">
        <f>IF($B95="","",SUM('entri hasil dari isian siswa'!DV95:EF95))</f>
        <v/>
      </c>
      <c r="AI95" t="str">
        <f>IF($B95="","",SUM('entri hasil dari isian siswa'!EG95:ET95))</f>
        <v/>
      </c>
      <c r="AJ95" t="str">
        <f>IF($B95="","",SUM('entri hasil dari isian siswa'!EU95:FH95))</f>
        <v/>
      </c>
      <c r="AK95" t="str">
        <f>IF($B95="","",SUM('entri hasil dari isian siswa'!FI95:FV95))</f>
        <v/>
      </c>
      <c r="AL95" t="str">
        <f>IF($B95="","",SUM('entri hasil dari isian siswa'!FW95:GJ95))</f>
        <v/>
      </c>
      <c r="AM95" t="str">
        <f>IF($B95="","",SUM('entri hasil dari isian siswa'!GK95:GX95))</f>
        <v/>
      </c>
      <c r="AN95" t="str">
        <f>IF($B95="","",SUM('entri hasil dari isian siswa'!GY95:HL95))</f>
        <v/>
      </c>
      <c r="AO95" t="str">
        <f>IF($B95="","",'entri hasil dari isian siswa'!HM95+'entri hasil dari isian siswa'!HS95)</f>
        <v/>
      </c>
      <c r="AP95" t="str">
        <f>IF($B95="","",'entri hasil dari isian siswa'!HN95+'entri hasil dari isian siswa'!HT95)</f>
        <v/>
      </c>
      <c r="AQ95" t="str">
        <f>IF($B95="","",'entri hasil dari isian siswa'!HO95+'entri hasil dari isian siswa'!HU95)</f>
        <v/>
      </c>
      <c r="AR95" t="str">
        <f>IF($B95="","",'entri hasil dari isian siswa'!HP95+'entri hasil dari isian siswa'!HV95)</f>
        <v/>
      </c>
      <c r="AS95" t="str">
        <f>IF($B95="","",'entri hasil dari isian siswa'!HQ95+'entri hasil dari isian siswa'!HW95)</f>
        <v/>
      </c>
      <c r="AT95" t="str">
        <f>IF($B95="","",'entri hasil dari isian siswa'!HR95+'entri hasil dari isian siswa'!HX95)</f>
        <v/>
      </c>
      <c r="AU95" s="69" t="str">
        <f t="shared" si="35"/>
        <v/>
      </c>
      <c r="AV95" s="69" t="str">
        <f>IF($AU95="","",IFERROR(VLOOKUP($AU95,'Kunci dari RIASEC'!$J$4:$K$33,2,FALSE),""))</f>
        <v/>
      </c>
    </row>
    <row r="96" spans="1:48">
      <c r="A96">
        <f t="shared" si="24"/>
        <v>92</v>
      </c>
      <c r="B96" t="str">
        <f>IF('entri hasil dari isian siswa'!B96="","",'entri hasil dari isian siswa'!B96)</f>
        <v/>
      </c>
      <c r="C96" t="str">
        <f>IF('entri hasil dari isian siswa'!C96="","",'entri hasil dari isian siswa'!C96)</f>
        <v/>
      </c>
      <c r="D96" t="str">
        <f>IF('entri hasil dari isian siswa'!D96="","",'entri hasil dari isian siswa'!D96)</f>
        <v/>
      </c>
      <c r="E96" t="str">
        <f t="shared" si="25"/>
        <v/>
      </c>
      <c r="F96" t="str">
        <f t="shared" si="26"/>
        <v/>
      </c>
      <c r="G96" t="str">
        <f t="shared" si="27"/>
        <v/>
      </c>
      <c r="H96" t="str">
        <f t="shared" si="28"/>
        <v/>
      </c>
      <c r="I96" t="str">
        <f t="shared" si="29"/>
        <v/>
      </c>
      <c r="J96" t="str">
        <f t="shared" si="30"/>
        <v/>
      </c>
      <c r="K96" t="str">
        <f>IF($V96&lt;&gt;"OK","",RANK(E96,$E96:$J96,0)+COUNTIF($E96:E96,E96)-1)</f>
        <v/>
      </c>
      <c r="L96" t="str">
        <f>IF($V96&lt;&gt;"OK","",RANK(F96,$E96:$J96,0)+COUNTIF($E96:F96,F96)-1)</f>
        <v/>
      </c>
      <c r="M96" t="str">
        <f>IF($V96&lt;&gt;"OK","",RANK(G96,$E96:$J96,0)+COUNTIF($E96:G96,G96)-1)</f>
        <v/>
      </c>
      <c r="N96" t="str">
        <f>IF($V96&lt;&gt;"OK","",RANK(H96,$E96:$J96,0)+COUNTIF($E96:H96,H96)-1)</f>
        <v/>
      </c>
      <c r="O96" t="str">
        <f>IF($V96&lt;&gt;"OK","",RANK(I96,$E96:$J96,0)+COUNTIF($E96:I96,I96)-1)</f>
        <v/>
      </c>
      <c r="P96" t="str">
        <f>IF($V96&lt;&gt;"OK","",RANK(J96,$E96:$J96,0)+COUNTIF($E96:J96,J96)-1)</f>
        <v/>
      </c>
      <c r="Q96" t="str">
        <f t="shared" si="31"/>
        <v/>
      </c>
      <c r="R96" t="str">
        <f t="shared" si="32"/>
        <v/>
      </c>
      <c r="S96" t="str">
        <f t="shared" si="33"/>
        <v/>
      </c>
      <c r="T96" t="str">
        <f t="shared" si="34"/>
        <v/>
      </c>
      <c r="U96" s="1" t="str">
        <f>IF($T96="","",IFERROR(VLOOKUP($T96,'Kunci dari RIASEC'!$A$4:$B$123,2,FALSE),"Rekomendasi belum tersedia"))</f>
        <v/>
      </c>
      <c r="V96" t="str">
        <f>IF('entri hasil dari isian siswa'!B96="","",'entri hasil dari isian siswa'!HY96)</f>
        <v/>
      </c>
      <c r="W96" t="str">
        <f>IF($B96="","",SUM('entri hasil dari isian siswa'!E96:O96))</f>
        <v/>
      </c>
      <c r="X96" t="str">
        <f>IF($B96="","",SUM('entri hasil dari isian siswa'!P96:Z96))</f>
        <v/>
      </c>
      <c r="Y96" t="str">
        <f>IF($B96="","",SUM('entri hasil dari isian siswa'!AA96:AK96))</f>
        <v/>
      </c>
      <c r="Z96" t="str">
        <f>IF($B96="","",SUM('entri hasil dari isian siswa'!AL96:AV96))</f>
        <v/>
      </c>
      <c r="AA96" t="str">
        <f>IF($B96="","",SUM('entri hasil dari isian siswa'!AW96:BG96))</f>
        <v/>
      </c>
      <c r="AB96" t="str">
        <f>IF($B96="","",SUM('entri hasil dari isian siswa'!BH96:BR96))</f>
        <v/>
      </c>
      <c r="AC96" t="str">
        <f>IF($B96="","",SUM('entri hasil dari isian siswa'!BS96:CC96))</f>
        <v/>
      </c>
      <c r="AD96" t="str">
        <f>IF($B96="","",SUM('entri hasil dari isian siswa'!CD96:CN96))</f>
        <v/>
      </c>
      <c r="AE96" t="str">
        <f>IF($B96="","",SUM('entri hasil dari isian siswa'!CO96:CY96))</f>
        <v/>
      </c>
      <c r="AF96" t="str">
        <f>IF($B96="","",SUM('entri hasil dari isian siswa'!CZ96:DJ96))</f>
        <v/>
      </c>
      <c r="AG96" t="str">
        <f>IF($B96="","",SUM('entri hasil dari isian siswa'!DK96:DU96))</f>
        <v/>
      </c>
      <c r="AH96" t="str">
        <f>IF($B96="","",SUM('entri hasil dari isian siswa'!DV96:EF96))</f>
        <v/>
      </c>
      <c r="AI96" t="str">
        <f>IF($B96="","",SUM('entri hasil dari isian siswa'!EG96:ET96))</f>
        <v/>
      </c>
      <c r="AJ96" t="str">
        <f>IF($B96="","",SUM('entri hasil dari isian siswa'!EU96:FH96))</f>
        <v/>
      </c>
      <c r="AK96" t="str">
        <f>IF($B96="","",SUM('entri hasil dari isian siswa'!FI96:FV96))</f>
        <v/>
      </c>
      <c r="AL96" t="str">
        <f>IF($B96="","",SUM('entri hasil dari isian siswa'!FW96:GJ96))</f>
        <v/>
      </c>
      <c r="AM96" t="str">
        <f>IF($B96="","",SUM('entri hasil dari isian siswa'!GK96:GX96))</f>
        <v/>
      </c>
      <c r="AN96" t="str">
        <f>IF($B96="","",SUM('entri hasil dari isian siswa'!GY96:HL96))</f>
        <v/>
      </c>
      <c r="AO96" t="str">
        <f>IF($B96="","",'entri hasil dari isian siswa'!HM96+'entri hasil dari isian siswa'!HS96)</f>
        <v/>
      </c>
      <c r="AP96" t="str">
        <f>IF($B96="","",'entri hasil dari isian siswa'!HN96+'entri hasil dari isian siswa'!HT96)</f>
        <v/>
      </c>
      <c r="AQ96" t="str">
        <f>IF($B96="","",'entri hasil dari isian siswa'!HO96+'entri hasil dari isian siswa'!HU96)</f>
        <v/>
      </c>
      <c r="AR96" t="str">
        <f>IF($B96="","",'entri hasil dari isian siswa'!HP96+'entri hasil dari isian siswa'!HV96)</f>
        <v/>
      </c>
      <c r="AS96" t="str">
        <f>IF($B96="","",'entri hasil dari isian siswa'!HQ96+'entri hasil dari isian siswa'!HW96)</f>
        <v/>
      </c>
      <c r="AT96" t="str">
        <f>IF($B96="","",'entri hasil dari isian siswa'!HR96+'entri hasil dari isian siswa'!HX96)</f>
        <v/>
      </c>
      <c r="AU96" s="69" t="str">
        <f t="shared" si="35"/>
        <v/>
      </c>
      <c r="AV96" s="69" t="str">
        <f>IF($AU96="","",IFERROR(VLOOKUP($AU96,'Kunci dari RIASEC'!$J$4:$K$33,2,FALSE),""))</f>
        <v/>
      </c>
    </row>
    <row r="97" spans="1:48">
      <c r="A97">
        <f t="shared" si="24"/>
        <v>93</v>
      </c>
      <c r="B97" t="str">
        <f>IF('entri hasil dari isian siswa'!B97="","",'entri hasil dari isian siswa'!B97)</f>
        <v/>
      </c>
      <c r="C97" t="str">
        <f>IF('entri hasil dari isian siswa'!C97="","",'entri hasil dari isian siswa'!C97)</f>
        <v/>
      </c>
      <c r="D97" t="str">
        <f>IF('entri hasil dari isian siswa'!D97="","",'entri hasil dari isian siswa'!D97)</f>
        <v/>
      </c>
      <c r="E97" t="str">
        <f t="shared" si="25"/>
        <v/>
      </c>
      <c r="F97" t="str">
        <f t="shared" si="26"/>
        <v/>
      </c>
      <c r="G97" t="str">
        <f t="shared" si="27"/>
        <v/>
      </c>
      <c r="H97" t="str">
        <f t="shared" si="28"/>
        <v/>
      </c>
      <c r="I97" t="str">
        <f t="shared" si="29"/>
        <v/>
      </c>
      <c r="J97" t="str">
        <f t="shared" si="30"/>
        <v/>
      </c>
      <c r="K97" t="str">
        <f>IF($V97&lt;&gt;"OK","",RANK(E97,$E97:$J97,0)+COUNTIF($E97:E97,E97)-1)</f>
        <v/>
      </c>
      <c r="L97" t="str">
        <f>IF($V97&lt;&gt;"OK","",RANK(F97,$E97:$J97,0)+COUNTIF($E97:F97,F97)-1)</f>
        <v/>
      </c>
      <c r="M97" t="str">
        <f>IF($V97&lt;&gt;"OK","",RANK(G97,$E97:$J97,0)+COUNTIF($E97:G97,G97)-1)</f>
        <v/>
      </c>
      <c r="N97" t="str">
        <f>IF($V97&lt;&gt;"OK","",RANK(H97,$E97:$J97,0)+COUNTIF($E97:H97,H97)-1)</f>
        <v/>
      </c>
      <c r="O97" t="str">
        <f>IF($V97&lt;&gt;"OK","",RANK(I97,$E97:$J97,0)+COUNTIF($E97:I97,I97)-1)</f>
        <v/>
      </c>
      <c r="P97" t="str">
        <f>IF($V97&lt;&gt;"OK","",RANK(J97,$E97:$J97,0)+COUNTIF($E97:J97,J97)-1)</f>
        <v/>
      </c>
      <c r="Q97" t="str">
        <f t="shared" si="31"/>
        <v/>
      </c>
      <c r="R97" t="str">
        <f t="shared" si="32"/>
        <v/>
      </c>
      <c r="S97" t="str">
        <f t="shared" si="33"/>
        <v/>
      </c>
      <c r="T97" t="str">
        <f t="shared" si="34"/>
        <v/>
      </c>
      <c r="U97" s="1" t="str">
        <f>IF($T97="","",IFERROR(VLOOKUP($T97,'Kunci dari RIASEC'!$A$4:$B$123,2,FALSE),"Rekomendasi belum tersedia"))</f>
        <v/>
      </c>
      <c r="V97" t="str">
        <f>IF('entri hasil dari isian siswa'!B97="","",'entri hasil dari isian siswa'!HY97)</f>
        <v/>
      </c>
      <c r="W97" t="str">
        <f>IF($B97="","",SUM('entri hasil dari isian siswa'!E97:O97))</f>
        <v/>
      </c>
      <c r="X97" t="str">
        <f>IF($B97="","",SUM('entri hasil dari isian siswa'!P97:Z97))</f>
        <v/>
      </c>
      <c r="Y97" t="str">
        <f>IF($B97="","",SUM('entri hasil dari isian siswa'!AA97:AK97))</f>
        <v/>
      </c>
      <c r="Z97" t="str">
        <f>IF($B97="","",SUM('entri hasil dari isian siswa'!AL97:AV97))</f>
        <v/>
      </c>
      <c r="AA97" t="str">
        <f>IF($B97="","",SUM('entri hasil dari isian siswa'!AW97:BG97))</f>
        <v/>
      </c>
      <c r="AB97" t="str">
        <f>IF($B97="","",SUM('entri hasil dari isian siswa'!BH97:BR97))</f>
        <v/>
      </c>
      <c r="AC97" t="str">
        <f>IF($B97="","",SUM('entri hasil dari isian siswa'!BS97:CC97))</f>
        <v/>
      </c>
      <c r="AD97" t="str">
        <f>IF($B97="","",SUM('entri hasil dari isian siswa'!CD97:CN97))</f>
        <v/>
      </c>
      <c r="AE97" t="str">
        <f>IF($B97="","",SUM('entri hasil dari isian siswa'!CO97:CY97))</f>
        <v/>
      </c>
      <c r="AF97" t="str">
        <f>IF($B97="","",SUM('entri hasil dari isian siswa'!CZ97:DJ97))</f>
        <v/>
      </c>
      <c r="AG97" t="str">
        <f>IF($B97="","",SUM('entri hasil dari isian siswa'!DK97:DU97))</f>
        <v/>
      </c>
      <c r="AH97" t="str">
        <f>IF($B97="","",SUM('entri hasil dari isian siswa'!DV97:EF97))</f>
        <v/>
      </c>
      <c r="AI97" t="str">
        <f>IF($B97="","",SUM('entri hasil dari isian siswa'!EG97:ET97))</f>
        <v/>
      </c>
      <c r="AJ97" t="str">
        <f>IF($B97="","",SUM('entri hasil dari isian siswa'!EU97:FH97))</f>
        <v/>
      </c>
      <c r="AK97" t="str">
        <f>IF($B97="","",SUM('entri hasil dari isian siswa'!FI97:FV97))</f>
        <v/>
      </c>
      <c r="AL97" t="str">
        <f>IF($B97="","",SUM('entri hasil dari isian siswa'!FW97:GJ97))</f>
        <v/>
      </c>
      <c r="AM97" t="str">
        <f>IF($B97="","",SUM('entri hasil dari isian siswa'!GK97:GX97))</f>
        <v/>
      </c>
      <c r="AN97" t="str">
        <f>IF($B97="","",SUM('entri hasil dari isian siswa'!GY97:HL97))</f>
        <v/>
      </c>
      <c r="AO97" t="str">
        <f>IF($B97="","",'entri hasil dari isian siswa'!HM97+'entri hasil dari isian siswa'!HS97)</f>
        <v/>
      </c>
      <c r="AP97" t="str">
        <f>IF($B97="","",'entri hasil dari isian siswa'!HN97+'entri hasil dari isian siswa'!HT97)</f>
        <v/>
      </c>
      <c r="AQ97" t="str">
        <f>IF($B97="","",'entri hasil dari isian siswa'!HO97+'entri hasil dari isian siswa'!HU97)</f>
        <v/>
      </c>
      <c r="AR97" t="str">
        <f>IF($B97="","",'entri hasil dari isian siswa'!HP97+'entri hasil dari isian siswa'!HV97)</f>
        <v/>
      </c>
      <c r="AS97" t="str">
        <f>IF($B97="","",'entri hasil dari isian siswa'!HQ97+'entri hasil dari isian siswa'!HW97)</f>
        <v/>
      </c>
      <c r="AT97" t="str">
        <f>IF($B97="","",'entri hasil dari isian siswa'!HR97+'entri hasil dari isian siswa'!HX97)</f>
        <v/>
      </c>
      <c r="AU97" s="69" t="str">
        <f t="shared" si="35"/>
        <v/>
      </c>
      <c r="AV97" s="69" t="str">
        <f>IF($AU97="","",IFERROR(VLOOKUP($AU97,'Kunci dari RIASEC'!$J$4:$K$33,2,FALSE),""))</f>
        <v/>
      </c>
    </row>
    <row r="98" spans="1:48">
      <c r="A98">
        <f t="shared" si="24"/>
        <v>94</v>
      </c>
      <c r="B98" t="str">
        <f>IF('entri hasil dari isian siswa'!B98="","",'entri hasil dari isian siswa'!B98)</f>
        <v/>
      </c>
      <c r="C98" t="str">
        <f>IF('entri hasil dari isian siswa'!C98="","",'entri hasil dari isian siswa'!C98)</f>
        <v/>
      </c>
      <c r="D98" t="str">
        <f>IF('entri hasil dari isian siswa'!D98="","",'entri hasil dari isian siswa'!D98)</f>
        <v/>
      </c>
      <c r="E98" t="str">
        <f t="shared" si="25"/>
        <v/>
      </c>
      <c r="F98" t="str">
        <f t="shared" si="26"/>
        <v/>
      </c>
      <c r="G98" t="str">
        <f t="shared" si="27"/>
        <v/>
      </c>
      <c r="H98" t="str">
        <f t="shared" si="28"/>
        <v/>
      </c>
      <c r="I98" t="str">
        <f t="shared" si="29"/>
        <v/>
      </c>
      <c r="J98" t="str">
        <f t="shared" si="30"/>
        <v/>
      </c>
      <c r="K98" t="str">
        <f>IF($V98&lt;&gt;"OK","",RANK(E98,$E98:$J98,0)+COUNTIF($E98:E98,E98)-1)</f>
        <v/>
      </c>
      <c r="L98" t="str">
        <f>IF($V98&lt;&gt;"OK","",RANK(F98,$E98:$J98,0)+COUNTIF($E98:F98,F98)-1)</f>
        <v/>
      </c>
      <c r="M98" t="str">
        <f>IF($V98&lt;&gt;"OK","",RANK(G98,$E98:$J98,0)+COUNTIF($E98:G98,G98)-1)</f>
        <v/>
      </c>
      <c r="N98" t="str">
        <f>IF($V98&lt;&gt;"OK","",RANK(H98,$E98:$J98,0)+COUNTIF($E98:H98,H98)-1)</f>
        <v/>
      </c>
      <c r="O98" t="str">
        <f>IF($V98&lt;&gt;"OK","",RANK(I98,$E98:$J98,0)+COUNTIF($E98:I98,I98)-1)</f>
        <v/>
      </c>
      <c r="P98" t="str">
        <f>IF($V98&lt;&gt;"OK","",RANK(J98,$E98:$J98,0)+COUNTIF($E98:J98,J98)-1)</f>
        <v/>
      </c>
      <c r="Q98" t="str">
        <f t="shared" si="31"/>
        <v/>
      </c>
      <c r="R98" t="str">
        <f t="shared" si="32"/>
        <v/>
      </c>
      <c r="S98" t="str">
        <f t="shared" si="33"/>
        <v/>
      </c>
      <c r="T98" t="str">
        <f t="shared" si="34"/>
        <v/>
      </c>
      <c r="U98" s="1" t="str">
        <f>IF($T98="","",IFERROR(VLOOKUP($T98,'Kunci dari RIASEC'!$A$4:$B$123,2,FALSE),"Rekomendasi belum tersedia"))</f>
        <v/>
      </c>
      <c r="V98" t="str">
        <f>IF('entri hasil dari isian siswa'!B98="","",'entri hasil dari isian siswa'!HY98)</f>
        <v/>
      </c>
      <c r="W98" t="str">
        <f>IF($B98="","",SUM('entri hasil dari isian siswa'!E98:O98))</f>
        <v/>
      </c>
      <c r="X98" t="str">
        <f>IF($B98="","",SUM('entri hasil dari isian siswa'!P98:Z98))</f>
        <v/>
      </c>
      <c r="Y98" t="str">
        <f>IF($B98="","",SUM('entri hasil dari isian siswa'!AA98:AK98))</f>
        <v/>
      </c>
      <c r="Z98" t="str">
        <f>IF($B98="","",SUM('entri hasil dari isian siswa'!AL98:AV98))</f>
        <v/>
      </c>
      <c r="AA98" t="str">
        <f>IF($B98="","",SUM('entri hasil dari isian siswa'!AW98:BG98))</f>
        <v/>
      </c>
      <c r="AB98" t="str">
        <f>IF($B98="","",SUM('entri hasil dari isian siswa'!BH98:BR98))</f>
        <v/>
      </c>
      <c r="AC98" t="str">
        <f>IF($B98="","",SUM('entri hasil dari isian siswa'!BS98:CC98))</f>
        <v/>
      </c>
      <c r="AD98" t="str">
        <f>IF($B98="","",SUM('entri hasil dari isian siswa'!CD98:CN98))</f>
        <v/>
      </c>
      <c r="AE98" t="str">
        <f>IF($B98="","",SUM('entri hasil dari isian siswa'!CO98:CY98))</f>
        <v/>
      </c>
      <c r="AF98" t="str">
        <f>IF($B98="","",SUM('entri hasil dari isian siswa'!CZ98:DJ98))</f>
        <v/>
      </c>
      <c r="AG98" t="str">
        <f>IF($B98="","",SUM('entri hasil dari isian siswa'!DK98:DU98))</f>
        <v/>
      </c>
      <c r="AH98" t="str">
        <f>IF($B98="","",SUM('entri hasil dari isian siswa'!DV98:EF98))</f>
        <v/>
      </c>
      <c r="AI98" t="str">
        <f>IF($B98="","",SUM('entri hasil dari isian siswa'!EG98:ET98))</f>
        <v/>
      </c>
      <c r="AJ98" t="str">
        <f>IF($B98="","",SUM('entri hasil dari isian siswa'!EU98:FH98))</f>
        <v/>
      </c>
      <c r="AK98" t="str">
        <f>IF($B98="","",SUM('entri hasil dari isian siswa'!FI98:FV98))</f>
        <v/>
      </c>
      <c r="AL98" t="str">
        <f>IF($B98="","",SUM('entri hasil dari isian siswa'!FW98:GJ98))</f>
        <v/>
      </c>
      <c r="AM98" t="str">
        <f>IF($B98="","",SUM('entri hasil dari isian siswa'!GK98:GX98))</f>
        <v/>
      </c>
      <c r="AN98" t="str">
        <f>IF($B98="","",SUM('entri hasil dari isian siswa'!GY98:HL98))</f>
        <v/>
      </c>
      <c r="AO98" t="str">
        <f>IF($B98="","",'entri hasil dari isian siswa'!HM98+'entri hasil dari isian siswa'!HS98)</f>
        <v/>
      </c>
      <c r="AP98" t="str">
        <f>IF($B98="","",'entri hasil dari isian siswa'!HN98+'entri hasil dari isian siswa'!HT98)</f>
        <v/>
      </c>
      <c r="AQ98" t="str">
        <f>IF($B98="","",'entri hasil dari isian siswa'!HO98+'entri hasil dari isian siswa'!HU98)</f>
        <v/>
      </c>
      <c r="AR98" t="str">
        <f>IF($B98="","",'entri hasil dari isian siswa'!HP98+'entri hasil dari isian siswa'!HV98)</f>
        <v/>
      </c>
      <c r="AS98" t="str">
        <f>IF($B98="","",'entri hasil dari isian siswa'!HQ98+'entri hasil dari isian siswa'!HW98)</f>
        <v/>
      </c>
      <c r="AT98" t="str">
        <f>IF($B98="","",'entri hasil dari isian siswa'!HR98+'entri hasil dari isian siswa'!HX98)</f>
        <v/>
      </c>
      <c r="AU98" s="69" t="str">
        <f t="shared" si="35"/>
        <v/>
      </c>
      <c r="AV98" s="69" t="str">
        <f>IF($AU98="","",IFERROR(VLOOKUP($AU98,'Kunci dari RIASEC'!$J$4:$K$33,2,FALSE),""))</f>
        <v/>
      </c>
    </row>
    <row r="99" spans="1:48">
      <c r="A99">
        <f t="shared" si="24"/>
        <v>95</v>
      </c>
      <c r="B99" t="str">
        <f>IF('entri hasil dari isian siswa'!B99="","",'entri hasil dari isian siswa'!B99)</f>
        <v/>
      </c>
      <c r="C99" t="str">
        <f>IF('entri hasil dari isian siswa'!C99="","",'entri hasil dari isian siswa'!C99)</f>
        <v/>
      </c>
      <c r="D99" t="str">
        <f>IF('entri hasil dari isian siswa'!D99="","",'entri hasil dari isian siswa'!D99)</f>
        <v/>
      </c>
      <c r="E99" t="str">
        <f t="shared" si="25"/>
        <v/>
      </c>
      <c r="F99" t="str">
        <f t="shared" si="26"/>
        <v/>
      </c>
      <c r="G99" t="str">
        <f t="shared" si="27"/>
        <v/>
      </c>
      <c r="H99" t="str">
        <f t="shared" si="28"/>
        <v/>
      </c>
      <c r="I99" t="str">
        <f t="shared" si="29"/>
        <v/>
      </c>
      <c r="J99" t="str">
        <f t="shared" si="30"/>
        <v/>
      </c>
      <c r="K99" t="str">
        <f>IF($V99&lt;&gt;"OK","",RANK(E99,$E99:$J99,0)+COUNTIF($E99:E99,E99)-1)</f>
        <v/>
      </c>
      <c r="L99" t="str">
        <f>IF($V99&lt;&gt;"OK","",RANK(F99,$E99:$J99,0)+COUNTIF($E99:F99,F99)-1)</f>
        <v/>
      </c>
      <c r="M99" t="str">
        <f>IF($V99&lt;&gt;"OK","",RANK(G99,$E99:$J99,0)+COUNTIF($E99:G99,G99)-1)</f>
        <v/>
      </c>
      <c r="N99" t="str">
        <f>IF($V99&lt;&gt;"OK","",RANK(H99,$E99:$J99,0)+COUNTIF($E99:H99,H99)-1)</f>
        <v/>
      </c>
      <c r="O99" t="str">
        <f>IF($V99&lt;&gt;"OK","",RANK(I99,$E99:$J99,0)+COUNTIF($E99:I99,I99)-1)</f>
        <v/>
      </c>
      <c r="P99" t="str">
        <f>IF($V99&lt;&gt;"OK","",RANK(J99,$E99:$J99,0)+COUNTIF($E99:J99,J99)-1)</f>
        <v/>
      </c>
      <c r="Q99" t="str">
        <f t="shared" si="31"/>
        <v/>
      </c>
      <c r="R99" t="str">
        <f t="shared" si="32"/>
        <v/>
      </c>
      <c r="S99" t="str">
        <f t="shared" si="33"/>
        <v/>
      </c>
      <c r="T99" t="str">
        <f t="shared" si="34"/>
        <v/>
      </c>
      <c r="U99" s="1" t="str">
        <f>IF($T99="","",IFERROR(VLOOKUP($T99,'Kunci dari RIASEC'!$A$4:$B$123,2,FALSE),"Rekomendasi belum tersedia"))</f>
        <v/>
      </c>
      <c r="V99" t="str">
        <f>IF('entri hasil dari isian siswa'!B99="","",'entri hasil dari isian siswa'!HY99)</f>
        <v/>
      </c>
      <c r="W99" t="str">
        <f>IF($B99="","",SUM('entri hasil dari isian siswa'!E99:O99))</f>
        <v/>
      </c>
      <c r="X99" t="str">
        <f>IF($B99="","",SUM('entri hasil dari isian siswa'!P99:Z99))</f>
        <v/>
      </c>
      <c r="Y99" t="str">
        <f>IF($B99="","",SUM('entri hasil dari isian siswa'!AA99:AK99))</f>
        <v/>
      </c>
      <c r="Z99" t="str">
        <f>IF($B99="","",SUM('entri hasil dari isian siswa'!AL99:AV99))</f>
        <v/>
      </c>
      <c r="AA99" t="str">
        <f>IF($B99="","",SUM('entri hasil dari isian siswa'!AW99:BG99))</f>
        <v/>
      </c>
      <c r="AB99" t="str">
        <f>IF($B99="","",SUM('entri hasil dari isian siswa'!BH99:BR99))</f>
        <v/>
      </c>
      <c r="AC99" t="str">
        <f>IF($B99="","",SUM('entri hasil dari isian siswa'!BS99:CC99))</f>
        <v/>
      </c>
      <c r="AD99" t="str">
        <f>IF($B99="","",SUM('entri hasil dari isian siswa'!CD99:CN99))</f>
        <v/>
      </c>
      <c r="AE99" t="str">
        <f>IF($B99="","",SUM('entri hasil dari isian siswa'!CO99:CY99))</f>
        <v/>
      </c>
      <c r="AF99" t="str">
        <f>IF($B99="","",SUM('entri hasil dari isian siswa'!CZ99:DJ99))</f>
        <v/>
      </c>
      <c r="AG99" t="str">
        <f>IF($B99="","",SUM('entri hasil dari isian siswa'!DK99:DU99))</f>
        <v/>
      </c>
      <c r="AH99" t="str">
        <f>IF($B99="","",SUM('entri hasil dari isian siswa'!DV99:EF99))</f>
        <v/>
      </c>
      <c r="AI99" t="str">
        <f>IF($B99="","",SUM('entri hasil dari isian siswa'!EG99:ET99))</f>
        <v/>
      </c>
      <c r="AJ99" t="str">
        <f>IF($B99="","",SUM('entri hasil dari isian siswa'!EU99:FH99))</f>
        <v/>
      </c>
      <c r="AK99" t="str">
        <f>IF($B99="","",SUM('entri hasil dari isian siswa'!FI99:FV99))</f>
        <v/>
      </c>
      <c r="AL99" t="str">
        <f>IF($B99="","",SUM('entri hasil dari isian siswa'!FW99:GJ99))</f>
        <v/>
      </c>
      <c r="AM99" t="str">
        <f>IF($B99="","",SUM('entri hasil dari isian siswa'!GK99:GX99))</f>
        <v/>
      </c>
      <c r="AN99" t="str">
        <f>IF($B99="","",SUM('entri hasil dari isian siswa'!GY99:HL99))</f>
        <v/>
      </c>
      <c r="AO99" t="str">
        <f>IF($B99="","",'entri hasil dari isian siswa'!HM99+'entri hasil dari isian siswa'!HS99)</f>
        <v/>
      </c>
      <c r="AP99" t="str">
        <f>IF($B99="","",'entri hasil dari isian siswa'!HN99+'entri hasil dari isian siswa'!HT99)</f>
        <v/>
      </c>
      <c r="AQ99" t="str">
        <f>IF($B99="","",'entri hasil dari isian siswa'!HO99+'entri hasil dari isian siswa'!HU99)</f>
        <v/>
      </c>
      <c r="AR99" t="str">
        <f>IF($B99="","",'entri hasil dari isian siswa'!HP99+'entri hasil dari isian siswa'!HV99)</f>
        <v/>
      </c>
      <c r="AS99" t="str">
        <f>IF($B99="","",'entri hasil dari isian siswa'!HQ99+'entri hasil dari isian siswa'!HW99)</f>
        <v/>
      </c>
      <c r="AT99" t="str">
        <f>IF($B99="","",'entri hasil dari isian siswa'!HR99+'entri hasil dari isian siswa'!HX99)</f>
        <v/>
      </c>
      <c r="AU99" s="69" t="str">
        <f t="shared" si="35"/>
        <v/>
      </c>
      <c r="AV99" s="69" t="str">
        <f>IF($AU99="","",IFERROR(VLOOKUP($AU99,'Kunci dari RIASEC'!$J$4:$K$33,2,FALSE),""))</f>
        <v/>
      </c>
    </row>
    <row r="100" spans="1:48">
      <c r="A100">
        <f t="shared" si="24"/>
        <v>96</v>
      </c>
      <c r="B100" t="str">
        <f>IF('entri hasil dari isian siswa'!B100="","",'entri hasil dari isian siswa'!B100)</f>
        <v/>
      </c>
      <c r="C100" t="str">
        <f>IF('entri hasil dari isian siswa'!C100="","",'entri hasil dari isian siswa'!C100)</f>
        <v/>
      </c>
      <c r="D100" t="str">
        <f>IF('entri hasil dari isian siswa'!D100="","",'entri hasil dari isian siswa'!D100)</f>
        <v/>
      </c>
      <c r="E100" t="str">
        <f t="shared" si="25"/>
        <v/>
      </c>
      <c r="F100" t="str">
        <f t="shared" si="26"/>
        <v/>
      </c>
      <c r="G100" t="str">
        <f t="shared" si="27"/>
        <v/>
      </c>
      <c r="H100" t="str">
        <f t="shared" si="28"/>
        <v/>
      </c>
      <c r="I100" t="str">
        <f t="shared" si="29"/>
        <v/>
      </c>
      <c r="J100" t="str">
        <f t="shared" si="30"/>
        <v/>
      </c>
      <c r="K100" t="str">
        <f>IF($V100&lt;&gt;"OK","",RANK(E100,$E100:$J100,0)+COUNTIF($E100:E100,E100)-1)</f>
        <v/>
      </c>
      <c r="L100" t="str">
        <f>IF($V100&lt;&gt;"OK","",RANK(F100,$E100:$J100,0)+COUNTIF($E100:F100,F100)-1)</f>
        <v/>
      </c>
      <c r="M100" t="str">
        <f>IF($V100&lt;&gt;"OK","",RANK(G100,$E100:$J100,0)+COUNTIF($E100:G100,G100)-1)</f>
        <v/>
      </c>
      <c r="N100" t="str">
        <f>IF($V100&lt;&gt;"OK","",RANK(H100,$E100:$J100,0)+COUNTIF($E100:H100,H100)-1)</f>
        <v/>
      </c>
      <c r="O100" t="str">
        <f>IF($V100&lt;&gt;"OK","",RANK(I100,$E100:$J100,0)+COUNTIF($E100:I100,I100)-1)</f>
        <v/>
      </c>
      <c r="P100" t="str">
        <f>IF($V100&lt;&gt;"OK","",RANK(J100,$E100:$J100,0)+COUNTIF($E100:J100,J100)-1)</f>
        <v/>
      </c>
      <c r="Q100" t="str">
        <f t="shared" si="31"/>
        <v/>
      </c>
      <c r="R100" t="str">
        <f t="shared" si="32"/>
        <v/>
      </c>
      <c r="S100" t="str">
        <f t="shared" si="33"/>
        <v/>
      </c>
      <c r="T100" t="str">
        <f t="shared" si="34"/>
        <v/>
      </c>
      <c r="U100" s="1" t="str">
        <f>IF($T100="","",IFERROR(VLOOKUP($T100,'Kunci dari RIASEC'!$A$4:$B$123,2,FALSE),"Rekomendasi belum tersedia"))</f>
        <v/>
      </c>
      <c r="V100" t="str">
        <f>IF('entri hasil dari isian siswa'!B100="","",'entri hasil dari isian siswa'!HY100)</f>
        <v/>
      </c>
      <c r="W100" t="str">
        <f>IF($B100="","",SUM('entri hasil dari isian siswa'!E100:O100))</f>
        <v/>
      </c>
      <c r="X100" t="str">
        <f>IF($B100="","",SUM('entri hasil dari isian siswa'!P100:Z100))</f>
        <v/>
      </c>
      <c r="Y100" t="str">
        <f>IF($B100="","",SUM('entri hasil dari isian siswa'!AA100:AK100))</f>
        <v/>
      </c>
      <c r="Z100" t="str">
        <f>IF($B100="","",SUM('entri hasil dari isian siswa'!AL100:AV100))</f>
        <v/>
      </c>
      <c r="AA100" t="str">
        <f>IF($B100="","",SUM('entri hasil dari isian siswa'!AW100:BG100))</f>
        <v/>
      </c>
      <c r="AB100" t="str">
        <f>IF($B100="","",SUM('entri hasil dari isian siswa'!BH100:BR100))</f>
        <v/>
      </c>
      <c r="AC100" t="str">
        <f>IF($B100="","",SUM('entri hasil dari isian siswa'!BS100:CC100))</f>
        <v/>
      </c>
      <c r="AD100" t="str">
        <f>IF($B100="","",SUM('entri hasil dari isian siswa'!CD100:CN100))</f>
        <v/>
      </c>
      <c r="AE100" t="str">
        <f>IF($B100="","",SUM('entri hasil dari isian siswa'!CO100:CY100))</f>
        <v/>
      </c>
      <c r="AF100" t="str">
        <f>IF($B100="","",SUM('entri hasil dari isian siswa'!CZ100:DJ100))</f>
        <v/>
      </c>
      <c r="AG100" t="str">
        <f>IF($B100="","",SUM('entri hasil dari isian siswa'!DK100:DU100))</f>
        <v/>
      </c>
      <c r="AH100" t="str">
        <f>IF($B100="","",SUM('entri hasil dari isian siswa'!DV100:EF100))</f>
        <v/>
      </c>
      <c r="AI100" t="str">
        <f>IF($B100="","",SUM('entri hasil dari isian siswa'!EG100:ET100))</f>
        <v/>
      </c>
      <c r="AJ100" t="str">
        <f>IF($B100="","",SUM('entri hasil dari isian siswa'!EU100:FH100))</f>
        <v/>
      </c>
      <c r="AK100" t="str">
        <f>IF($B100="","",SUM('entri hasil dari isian siswa'!FI100:FV100))</f>
        <v/>
      </c>
      <c r="AL100" t="str">
        <f>IF($B100="","",SUM('entri hasil dari isian siswa'!FW100:GJ100))</f>
        <v/>
      </c>
      <c r="AM100" t="str">
        <f>IF($B100="","",SUM('entri hasil dari isian siswa'!GK100:GX100))</f>
        <v/>
      </c>
      <c r="AN100" t="str">
        <f>IF($B100="","",SUM('entri hasil dari isian siswa'!GY100:HL100))</f>
        <v/>
      </c>
      <c r="AO100" t="str">
        <f>IF($B100="","",'entri hasil dari isian siswa'!HM100+'entri hasil dari isian siswa'!HS100)</f>
        <v/>
      </c>
      <c r="AP100" t="str">
        <f>IF($B100="","",'entri hasil dari isian siswa'!HN100+'entri hasil dari isian siswa'!HT100)</f>
        <v/>
      </c>
      <c r="AQ100" t="str">
        <f>IF($B100="","",'entri hasil dari isian siswa'!HO100+'entri hasil dari isian siswa'!HU100)</f>
        <v/>
      </c>
      <c r="AR100" t="str">
        <f>IF($B100="","",'entri hasil dari isian siswa'!HP100+'entri hasil dari isian siswa'!HV100)</f>
        <v/>
      </c>
      <c r="AS100" t="str">
        <f>IF($B100="","",'entri hasil dari isian siswa'!HQ100+'entri hasil dari isian siswa'!HW100)</f>
        <v/>
      </c>
      <c r="AT100" t="str">
        <f>IF($B100="","",'entri hasil dari isian siswa'!HR100+'entri hasil dari isian siswa'!HX100)</f>
        <v/>
      </c>
      <c r="AU100" s="69" t="str">
        <f t="shared" si="35"/>
        <v/>
      </c>
      <c r="AV100" s="69" t="str">
        <f>IF($AU100="","",IFERROR(VLOOKUP($AU100,'Kunci dari RIASEC'!$J$4:$K$33,2,FALSE),""))</f>
        <v/>
      </c>
    </row>
    <row r="101" spans="1:48">
      <c r="A101">
        <f t="shared" ref="A101:A132" si="36">ROW()-4</f>
        <v>97</v>
      </c>
      <c r="B101" t="str">
        <f>IF('entri hasil dari isian siswa'!B101="","",'entri hasil dari isian siswa'!B101)</f>
        <v/>
      </c>
      <c r="C101" t="str">
        <f>IF('entri hasil dari isian siswa'!C101="","",'entri hasil dari isian siswa'!C101)</f>
        <v/>
      </c>
      <c r="D101" t="str">
        <f>IF('entri hasil dari isian siswa'!D101="","",'entri hasil dari isian siswa'!D101)</f>
        <v/>
      </c>
      <c r="E101" t="str">
        <f t="shared" ref="E101:E132" si="37">IF($B101="","",W101+AC101+AI101+AO101)</f>
        <v/>
      </c>
      <c r="F101" t="str">
        <f t="shared" ref="F101:F132" si="38">IF($B101="","",X101+AD101+AJ101+AP101)</f>
        <v/>
      </c>
      <c r="G101" t="str">
        <f t="shared" ref="G101:G132" si="39">IF($B101="","",Y101+AE101+AK101+AQ101)</f>
        <v/>
      </c>
      <c r="H101" t="str">
        <f t="shared" ref="H101:H132" si="40">IF($B101="","",Z101+AF101+AL101+AR101)</f>
        <v/>
      </c>
      <c r="I101" t="str">
        <f t="shared" ref="I101:I132" si="41">IF($B101="","",AA101+AG101+AM101+AS101)</f>
        <v/>
      </c>
      <c r="J101" t="str">
        <f t="shared" ref="J101:J132" si="42">IF($B101="","",AB101+AH101+AN101+AT101)</f>
        <v/>
      </c>
      <c r="K101" t="str">
        <f>IF($V101&lt;&gt;"OK","",RANK(E101,$E101:$J101,0)+COUNTIF($E101:E101,E101)-1)</f>
        <v/>
      </c>
      <c r="L101" t="str">
        <f>IF($V101&lt;&gt;"OK","",RANK(F101,$E101:$J101,0)+COUNTIF($E101:F101,F101)-1)</f>
        <v/>
      </c>
      <c r="M101" t="str">
        <f>IF($V101&lt;&gt;"OK","",RANK(G101,$E101:$J101,0)+COUNTIF($E101:G101,G101)-1)</f>
        <v/>
      </c>
      <c r="N101" t="str">
        <f>IF($V101&lt;&gt;"OK","",RANK(H101,$E101:$J101,0)+COUNTIF($E101:H101,H101)-1)</f>
        <v/>
      </c>
      <c r="O101" t="str">
        <f>IF($V101&lt;&gt;"OK","",RANK(I101,$E101:$J101,0)+COUNTIF($E101:I101,I101)-1)</f>
        <v/>
      </c>
      <c r="P101" t="str">
        <f>IF($V101&lt;&gt;"OK","",RANK(J101,$E101:$J101,0)+COUNTIF($E101:J101,J101)-1)</f>
        <v/>
      </c>
      <c r="Q101" t="str">
        <f t="shared" ref="Q101:Q132" si="43">IF($V101&lt;&gt;"OK","",INDEX($E$4:$J$4,1,MATCH(1,$K101:$P101,0)))</f>
        <v/>
      </c>
      <c r="R101" t="str">
        <f t="shared" ref="R101:R132" si="44">IF($V101&lt;&gt;"OK","",INDEX($E$4:$J$4,1,MATCH(2,$K101:$P101,0)))</f>
        <v/>
      </c>
      <c r="S101" t="str">
        <f t="shared" ref="S101:S132" si="45">IF($V101&lt;&gt;"OK","",INDEX($E$4:$J$4,1,MATCH(3,$K101:$P101,0)))</f>
        <v/>
      </c>
      <c r="T101" t="str">
        <f t="shared" ref="T101:T132" si="46">IF($V101&lt;&gt;"OK","",Q101&amp;R101&amp;S101)</f>
        <v/>
      </c>
      <c r="U101" s="1" t="str">
        <f>IF($T101="","",IFERROR(VLOOKUP($T101,'Kunci dari RIASEC'!$A$4:$B$123,2,FALSE),"Rekomendasi belum tersedia"))</f>
        <v/>
      </c>
      <c r="V101" t="str">
        <f>IF('entri hasil dari isian siswa'!B101="","",'entri hasil dari isian siswa'!HY101)</f>
        <v/>
      </c>
      <c r="W101" t="str">
        <f>IF($B101="","",SUM('entri hasil dari isian siswa'!E101:O101))</f>
        <v/>
      </c>
      <c r="X101" t="str">
        <f>IF($B101="","",SUM('entri hasil dari isian siswa'!P101:Z101))</f>
        <v/>
      </c>
      <c r="Y101" t="str">
        <f>IF($B101="","",SUM('entri hasil dari isian siswa'!AA101:AK101))</f>
        <v/>
      </c>
      <c r="Z101" t="str">
        <f>IF($B101="","",SUM('entri hasil dari isian siswa'!AL101:AV101))</f>
        <v/>
      </c>
      <c r="AA101" t="str">
        <f>IF($B101="","",SUM('entri hasil dari isian siswa'!AW101:BG101))</f>
        <v/>
      </c>
      <c r="AB101" t="str">
        <f>IF($B101="","",SUM('entri hasil dari isian siswa'!BH101:BR101))</f>
        <v/>
      </c>
      <c r="AC101" t="str">
        <f>IF($B101="","",SUM('entri hasil dari isian siswa'!BS101:CC101))</f>
        <v/>
      </c>
      <c r="AD101" t="str">
        <f>IF($B101="","",SUM('entri hasil dari isian siswa'!CD101:CN101))</f>
        <v/>
      </c>
      <c r="AE101" t="str">
        <f>IF($B101="","",SUM('entri hasil dari isian siswa'!CO101:CY101))</f>
        <v/>
      </c>
      <c r="AF101" t="str">
        <f>IF($B101="","",SUM('entri hasil dari isian siswa'!CZ101:DJ101))</f>
        <v/>
      </c>
      <c r="AG101" t="str">
        <f>IF($B101="","",SUM('entri hasil dari isian siswa'!DK101:DU101))</f>
        <v/>
      </c>
      <c r="AH101" t="str">
        <f>IF($B101="","",SUM('entri hasil dari isian siswa'!DV101:EF101))</f>
        <v/>
      </c>
      <c r="AI101" t="str">
        <f>IF($B101="","",SUM('entri hasil dari isian siswa'!EG101:ET101))</f>
        <v/>
      </c>
      <c r="AJ101" t="str">
        <f>IF($B101="","",SUM('entri hasil dari isian siswa'!EU101:FH101))</f>
        <v/>
      </c>
      <c r="AK101" t="str">
        <f>IF($B101="","",SUM('entri hasil dari isian siswa'!FI101:FV101))</f>
        <v/>
      </c>
      <c r="AL101" t="str">
        <f>IF($B101="","",SUM('entri hasil dari isian siswa'!FW101:GJ101))</f>
        <v/>
      </c>
      <c r="AM101" t="str">
        <f>IF($B101="","",SUM('entri hasil dari isian siswa'!GK101:GX101))</f>
        <v/>
      </c>
      <c r="AN101" t="str">
        <f>IF($B101="","",SUM('entri hasil dari isian siswa'!GY101:HL101))</f>
        <v/>
      </c>
      <c r="AO101" t="str">
        <f>IF($B101="","",'entri hasil dari isian siswa'!HM101+'entri hasil dari isian siswa'!HS101)</f>
        <v/>
      </c>
      <c r="AP101" t="str">
        <f>IF($B101="","",'entri hasil dari isian siswa'!HN101+'entri hasil dari isian siswa'!HT101)</f>
        <v/>
      </c>
      <c r="AQ101" t="str">
        <f>IF($B101="","",'entri hasil dari isian siswa'!HO101+'entri hasil dari isian siswa'!HU101)</f>
        <v/>
      </c>
      <c r="AR101" t="str">
        <f>IF($B101="","",'entri hasil dari isian siswa'!HP101+'entri hasil dari isian siswa'!HV101)</f>
        <v/>
      </c>
      <c r="AS101" t="str">
        <f>IF($B101="","",'entri hasil dari isian siswa'!HQ101+'entri hasil dari isian siswa'!HW101)</f>
        <v/>
      </c>
      <c r="AT101" t="str">
        <f>IF($B101="","",'entri hasil dari isian siswa'!HR101+'entri hasil dari isian siswa'!HX101)</f>
        <v/>
      </c>
      <c r="AU101" s="69" t="str">
        <f t="shared" ref="AU101:AU132" si="47">IF($T101="","",LEFT($T101,2))</f>
        <v/>
      </c>
      <c r="AV101" s="69" t="str">
        <f>IF($AU101="","",IFERROR(VLOOKUP($AU101,'Kunci dari RIASEC'!$J$4:$K$33,2,FALSE),""))</f>
        <v/>
      </c>
    </row>
    <row r="102" spans="1:48">
      <c r="A102">
        <f t="shared" si="36"/>
        <v>98</v>
      </c>
      <c r="B102" t="str">
        <f>IF('entri hasil dari isian siswa'!B102="","",'entri hasil dari isian siswa'!B102)</f>
        <v/>
      </c>
      <c r="C102" t="str">
        <f>IF('entri hasil dari isian siswa'!C102="","",'entri hasil dari isian siswa'!C102)</f>
        <v/>
      </c>
      <c r="D102" t="str">
        <f>IF('entri hasil dari isian siswa'!D102="","",'entri hasil dari isian siswa'!D102)</f>
        <v/>
      </c>
      <c r="E102" t="str">
        <f t="shared" si="37"/>
        <v/>
      </c>
      <c r="F102" t="str">
        <f t="shared" si="38"/>
        <v/>
      </c>
      <c r="G102" t="str">
        <f t="shared" si="39"/>
        <v/>
      </c>
      <c r="H102" t="str">
        <f t="shared" si="40"/>
        <v/>
      </c>
      <c r="I102" t="str">
        <f t="shared" si="41"/>
        <v/>
      </c>
      <c r="J102" t="str">
        <f t="shared" si="42"/>
        <v/>
      </c>
      <c r="K102" t="str">
        <f>IF($V102&lt;&gt;"OK","",RANK(E102,$E102:$J102,0)+COUNTIF($E102:E102,E102)-1)</f>
        <v/>
      </c>
      <c r="L102" t="str">
        <f>IF($V102&lt;&gt;"OK","",RANK(F102,$E102:$J102,0)+COUNTIF($E102:F102,F102)-1)</f>
        <v/>
      </c>
      <c r="M102" t="str">
        <f>IF($V102&lt;&gt;"OK","",RANK(G102,$E102:$J102,0)+COUNTIF($E102:G102,G102)-1)</f>
        <v/>
      </c>
      <c r="N102" t="str">
        <f>IF($V102&lt;&gt;"OK","",RANK(H102,$E102:$J102,0)+COUNTIF($E102:H102,H102)-1)</f>
        <v/>
      </c>
      <c r="O102" t="str">
        <f>IF($V102&lt;&gt;"OK","",RANK(I102,$E102:$J102,0)+COUNTIF($E102:I102,I102)-1)</f>
        <v/>
      </c>
      <c r="P102" t="str">
        <f>IF($V102&lt;&gt;"OK","",RANK(J102,$E102:$J102,0)+COUNTIF($E102:J102,J102)-1)</f>
        <v/>
      </c>
      <c r="Q102" t="str">
        <f t="shared" si="43"/>
        <v/>
      </c>
      <c r="R102" t="str">
        <f t="shared" si="44"/>
        <v/>
      </c>
      <c r="S102" t="str">
        <f t="shared" si="45"/>
        <v/>
      </c>
      <c r="T102" t="str">
        <f t="shared" si="46"/>
        <v/>
      </c>
      <c r="U102" s="1" t="str">
        <f>IF($T102="","",IFERROR(VLOOKUP($T102,'Kunci dari RIASEC'!$A$4:$B$123,2,FALSE),"Rekomendasi belum tersedia"))</f>
        <v/>
      </c>
      <c r="V102" t="str">
        <f>IF('entri hasil dari isian siswa'!B102="","",'entri hasil dari isian siswa'!HY102)</f>
        <v/>
      </c>
      <c r="W102" t="str">
        <f>IF($B102="","",SUM('entri hasil dari isian siswa'!E102:O102))</f>
        <v/>
      </c>
      <c r="X102" t="str">
        <f>IF($B102="","",SUM('entri hasil dari isian siswa'!P102:Z102))</f>
        <v/>
      </c>
      <c r="Y102" t="str">
        <f>IF($B102="","",SUM('entri hasil dari isian siswa'!AA102:AK102))</f>
        <v/>
      </c>
      <c r="Z102" t="str">
        <f>IF($B102="","",SUM('entri hasil dari isian siswa'!AL102:AV102))</f>
        <v/>
      </c>
      <c r="AA102" t="str">
        <f>IF($B102="","",SUM('entri hasil dari isian siswa'!AW102:BG102))</f>
        <v/>
      </c>
      <c r="AB102" t="str">
        <f>IF($B102="","",SUM('entri hasil dari isian siswa'!BH102:BR102))</f>
        <v/>
      </c>
      <c r="AC102" t="str">
        <f>IF($B102="","",SUM('entri hasil dari isian siswa'!BS102:CC102))</f>
        <v/>
      </c>
      <c r="AD102" t="str">
        <f>IF($B102="","",SUM('entri hasil dari isian siswa'!CD102:CN102))</f>
        <v/>
      </c>
      <c r="AE102" t="str">
        <f>IF($B102="","",SUM('entri hasil dari isian siswa'!CO102:CY102))</f>
        <v/>
      </c>
      <c r="AF102" t="str">
        <f>IF($B102="","",SUM('entri hasil dari isian siswa'!CZ102:DJ102))</f>
        <v/>
      </c>
      <c r="AG102" t="str">
        <f>IF($B102="","",SUM('entri hasil dari isian siswa'!DK102:DU102))</f>
        <v/>
      </c>
      <c r="AH102" t="str">
        <f>IF($B102="","",SUM('entri hasil dari isian siswa'!DV102:EF102))</f>
        <v/>
      </c>
      <c r="AI102" t="str">
        <f>IF($B102="","",SUM('entri hasil dari isian siswa'!EG102:ET102))</f>
        <v/>
      </c>
      <c r="AJ102" t="str">
        <f>IF($B102="","",SUM('entri hasil dari isian siswa'!EU102:FH102))</f>
        <v/>
      </c>
      <c r="AK102" t="str">
        <f>IF($B102="","",SUM('entri hasil dari isian siswa'!FI102:FV102))</f>
        <v/>
      </c>
      <c r="AL102" t="str">
        <f>IF($B102="","",SUM('entri hasil dari isian siswa'!FW102:GJ102))</f>
        <v/>
      </c>
      <c r="AM102" t="str">
        <f>IF($B102="","",SUM('entri hasil dari isian siswa'!GK102:GX102))</f>
        <v/>
      </c>
      <c r="AN102" t="str">
        <f>IF($B102="","",SUM('entri hasil dari isian siswa'!GY102:HL102))</f>
        <v/>
      </c>
      <c r="AO102" t="str">
        <f>IF($B102="","",'entri hasil dari isian siswa'!HM102+'entri hasil dari isian siswa'!HS102)</f>
        <v/>
      </c>
      <c r="AP102" t="str">
        <f>IF($B102="","",'entri hasil dari isian siswa'!HN102+'entri hasil dari isian siswa'!HT102)</f>
        <v/>
      </c>
      <c r="AQ102" t="str">
        <f>IF($B102="","",'entri hasil dari isian siswa'!HO102+'entri hasil dari isian siswa'!HU102)</f>
        <v/>
      </c>
      <c r="AR102" t="str">
        <f>IF($B102="","",'entri hasil dari isian siswa'!HP102+'entri hasil dari isian siswa'!HV102)</f>
        <v/>
      </c>
      <c r="AS102" t="str">
        <f>IF($B102="","",'entri hasil dari isian siswa'!HQ102+'entri hasil dari isian siswa'!HW102)</f>
        <v/>
      </c>
      <c r="AT102" t="str">
        <f>IF($B102="","",'entri hasil dari isian siswa'!HR102+'entri hasil dari isian siswa'!HX102)</f>
        <v/>
      </c>
      <c r="AU102" s="69" t="str">
        <f t="shared" si="47"/>
        <v/>
      </c>
      <c r="AV102" s="69" t="str">
        <f>IF($AU102="","",IFERROR(VLOOKUP($AU102,'Kunci dari RIASEC'!$J$4:$K$33,2,FALSE),""))</f>
        <v/>
      </c>
    </row>
    <row r="103" spans="1:48">
      <c r="A103">
        <f t="shared" si="36"/>
        <v>99</v>
      </c>
      <c r="B103" t="str">
        <f>IF('entri hasil dari isian siswa'!B103="","",'entri hasil dari isian siswa'!B103)</f>
        <v/>
      </c>
      <c r="C103" t="str">
        <f>IF('entri hasil dari isian siswa'!C103="","",'entri hasil dari isian siswa'!C103)</f>
        <v/>
      </c>
      <c r="D103" t="str">
        <f>IF('entri hasil dari isian siswa'!D103="","",'entri hasil dari isian siswa'!D103)</f>
        <v/>
      </c>
      <c r="E103" t="str">
        <f t="shared" si="37"/>
        <v/>
      </c>
      <c r="F103" t="str">
        <f t="shared" si="38"/>
        <v/>
      </c>
      <c r="G103" t="str">
        <f t="shared" si="39"/>
        <v/>
      </c>
      <c r="H103" t="str">
        <f t="shared" si="40"/>
        <v/>
      </c>
      <c r="I103" t="str">
        <f t="shared" si="41"/>
        <v/>
      </c>
      <c r="J103" t="str">
        <f t="shared" si="42"/>
        <v/>
      </c>
      <c r="K103" t="str">
        <f>IF($V103&lt;&gt;"OK","",RANK(E103,$E103:$J103,0)+COUNTIF($E103:E103,E103)-1)</f>
        <v/>
      </c>
      <c r="L103" t="str">
        <f>IF($V103&lt;&gt;"OK","",RANK(F103,$E103:$J103,0)+COUNTIF($E103:F103,F103)-1)</f>
        <v/>
      </c>
      <c r="M103" t="str">
        <f>IF($V103&lt;&gt;"OK","",RANK(G103,$E103:$J103,0)+COUNTIF($E103:G103,G103)-1)</f>
        <v/>
      </c>
      <c r="N103" t="str">
        <f>IF($V103&lt;&gt;"OK","",RANK(H103,$E103:$J103,0)+COUNTIF($E103:H103,H103)-1)</f>
        <v/>
      </c>
      <c r="O103" t="str">
        <f>IF($V103&lt;&gt;"OK","",RANK(I103,$E103:$J103,0)+COUNTIF($E103:I103,I103)-1)</f>
        <v/>
      </c>
      <c r="P103" t="str">
        <f>IF($V103&lt;&gt;"OK","",RANK(J103,$E103:$J103,0)+COUNTIF($E103:J103,J103)-1)</f>
        <v/>
      </c>
      <c r="Q103" t="str">
        <f t="shared" si="43"/>
        <v/>
      </c>
      <c r="R103" t="str">
        <f t="shared" si="44"/>
        <v/>
      </c>
      <c r="S103" t="str">
        <f t="shared" si="45"/>
        <v/>
      </c>
      <c r="T103" t="str">
        <f t="shared" si="46"/>
        <v/>
      </c>
      <c r="U103" s="1" t="str">
        <f>IF($T103="","",IFERROR(VLOOKUP($T103,'Kunci dari RIASEC'!$A$4:$B$123,2,FALSE),"Rekomendasi belum tersedia"))</f>
        <v/>
      </c>
      <c r="V103" t="str">
        <f>IF('entri hasil dari isian siswa'!B103="","",'entri hasil dari isian siswa'!HY103)</f>
        <v/>
      </c>
      <c r="W103" t="str">
        <f>IF($B103="","",SUM('entri hasil dari isian siswa'!E103:O103))</f>
        <v/>
      </c>
      <c r="X103" t="str">
        <f>IF($B103="","",SUM('entri hasil dari isian siswa'!P103:Z103))</f>
        <v/>
      </c>
      <c r="Y103" t="str">
        <f>IF($B103="","",SUM('entri hasil dari isian siswa'!AA103:AK103))</f>
        <v/>
      </c>
      <c r="Z103" t="str">
        <f>IF($B103="","",SUM('entri hasil dari isian siswa'!AL103:AV103))</f>
        <v/>
      </c>
      <c r="AA103" t="str">
        <f>IF($B103="","",SUM('entri hasil dari isian siswa'!AW103:BG103))</f>
        <v/>
      </c>
      <c r="AB103" t="str">
        <f>IF($B103="","",SUM('entri hasil dari isian siswa'!BH103:BR103))</f>
        <v/>
      </c>
      <c r="AC103" t="str">
        <f>IF($B103="","",SUM('entri hasil dari isian siswa'!BS103:CC103))</f>
        <v/>
      </c>
      <c r="AD103" t="str">
        <f>IF($B103="","",SUM('entri hasil dari isian siswa'!CD103:CN103))</f>
        <v/>
      </c>
      <c r="AE103" t="str">
        <f>IF($B103="","",SUM('entri hasil dari isian siswa'!CO103:CY103))</f>
        <v/>
      </c>
      <c r="AF103" t="str">
        <f>IF($B103="","",SUM('entri hasil dari isian siswa'!CZ103:DJ103))</f>
        <v/>
      </c>
      <c r="AG103" t="str">
        <f>IF($B103="","",SUM('entri hasil dari isian siswa'!DK103:DU103))</f>
        <v/>
      </c>
      <c r="AH103" t="str">
        <f>IF($B103="","",SUM('entri hasil dari isian siswa'!DV103:EF103))</f>
        <v/>
      </c>
      <c r="AI103" t="str">
        <f>IF($B103="","",SUM('entri hasil dari isian siswa'!EG103:ET103))</f>
        <v/>
      </c>
      <c r="AJ103" t="str">
        <f>IF($B103="","",SUM('entri hasil dari isian siswa'!EU103:FH103))</f>
        <v/>
      </c>
      <c r="AK103" t="str">
        <f>IF($B103="","",SUM('entri hasil dari isian siswa'!FI103:FV103))</f>
        <v/>
      </c>
      <c r="AL103" t="str">
        <f>IF($B103="","",SUM('entri hasil dari isian siswa'!FW103:GJ103))</f>
        <v/>
      </c>
      <c r="AM103" t="str">
        <f>IF($B103="","",SUM('entri hasil dari isian siswa'!GK103:GX103))</f>
        <v/>
      </c>
      <c r="AN103" t="str">
        <f>IF($B103="","",SUM('entri hasil dari isian siswa'!GY103:HL103))</f>
        <v/>
      </c>
      <c r="AO103" t="str">
        <f>IF($B103="","",'entri hasil dari isian siswa'!HM103+'entri hasil dari isian siswa'!HS103)</f>
        <v/>
      </c>
      <c r="AP103" t="str">
        <f>IF($B103="","",'entri hasil dari isian siswa'!HN103+'entri hasil dari isian siswa'!HT103)</f>
        <v/>
      </c>
      <c r="AQ103" t="str">
        <f>IF($B103="","",'entri hasil dari isian siswa'!HO103+'entri hasil dari isian siswa'!HU103)</f>
        <v/>
      </c>
      <c r="AR103" t="str">
        <f>IF($B103="","",'entri hasil dari isian siswa'!HP103+'entri hasil dari isian siswa'!HV103)</f>
        <v/>
      </c>
      <c r="AS103" t="str">
        <f>IF($B103="","",'entri hasil dari isian siswa'!HQ103+'entri hasil dari isian siswa'!HW103)</f>
        <v/>
      </c>
      <c r="AT103" t="str">
        <f>IF($B103="","",'entri hasil dari isian siswa'!HR103+'entri hasil dari isian siswa'!HX103)</f>
        <v/>
      </c>
      <c r="AU103" s="69" t="str">
        <f t="shared" si="47"/>
        <v/>
      </c>
      <c r="AV103" s="69" t="str">
        <f>IF($AU103="","",IFERROR(VLOOKUP($AU103,'Kunci dari RIASEC'!$J$4:$K$33,2,FALSE),""))</f>
        <v/>
      </c>
    </row>
    <row r="104" spans="1:48">
      <c r="A104">
        <f t="shared" si="36"/>
        <v>100</v>
      </c>
      <c r="B104" t="str">
        <f>IF('entri hasil dari isian siswa'!B104="","",'entri hasil dari isian siswa'!B104)</f>
        <v/>
      </c>
      <c r="C104" t="str">
        <f>IF('entri hasil dari isian siswa'!C104="","",'entri hasil dari isian siswa'!C104)</f>
        <v/>
      </c>
      <c r="D104" t="str">
        <f>IF('entri hasil dari isian siswa'!D104="","",'entri hasil dari isian siswa'!D104)</f>
        <v/>
      </c>
      <c r="E104" t="str">
        <f t="shared" si="37"/>
        <v/>
      </c>
      <c r="F104" t="str">
        <f t="shared" si="38"/>
        <v/>
      </c>
      <c r="G104" t="str">
        <f t="shared" si="39"/>
        <v/>
      </c>
      <c r="H104" t="str">
        <f t="shared" si="40"/>
        <v/>
      </c>
      <c r="I104" t="str">
        <f t="shared" si="41"/>
        <v/>
      </c>
      <c r="J104" t="str">
        <f t="shared" si="42"/>
        <v/>
      </c>
      <c r="K104" t="str">
        <f>IF($V104&lt;&gt;"OK","",RANK(E104,$E104:$J104,0)+COUNTIF($E104:E104,E104)-1)</f>
        <v/>
      </c>
      <c r="L104" t="str">
        <f>IF($V104&lt;&gt;"OK","",RANK(F104,$E104:$J104,0)+COUNTIF($E104:F104,F104)-1)</f>
        <v/>
      </c>
      <c r="M104" t="str">
        <f>IF($V104&lt;&gt;"OK","",RANK(G104,$E104:$J104,0)+COUNTIF($E104:G104,G104)-1)</f>
        <v/>
      </c>
      <c r="N104" t="str">
        <f>IF($V104&lt;&gt;"OK","",RANK(H104,$E104:$J104,0)+COUNTIF($E104:H104,H104)-1)</f>
        <v/>
      </c>
      <c r="O104" t="str">
        <f>IF($V104&lt;&gt;"OK","",RANK(I104,$E104:$J104,0)+COUNTIF($E104:I104,I104)-1)</f>
        <v/>
      </c>
      <c r="P104" t="str">
        <f>IF($V104&lt;&gt;"OK","",RANK(J104,$E104:$J104,0)+COUNTIF($E104:J104,J104)-1)</f>
        <v/>
      </c>
      <c r="Q104" t="str">
        <f t="shared" si="43"/>
        <v/>
      </c>
      <c r="R104" t="str">
        <f t="shared" si="44"/>
        <v/>
      </c>
      <c r="S104" t="str">
        <f t="shared" si="45"/>
        <v/>
      </c>
      <c r="T104" t="str">
        <f t="shared" si="46"/>
        <v/>
      </c>
      <c r="U104" s="1" t="str">
        <f>IF($T104="","",IFERROR(VLOOKUP($T104,'Kunci dari RIASEC'!$A$4:$B$123,2,FALSE),"Rekomendasi belum tersedia"))</f>
        <v/>
      </c>
      <c r="V104" t="str">
        <f>IF('entri hasil dari isian siswa'!B104="","",'entri hasil dari isian siswa'!HY104)</f>
        <v/>
      </c>
      <c r="W104" t="str">
        <f>IF($B104="","",SUM('entri hasil dari isian siswa'!E104:O104))</f>
        <v/>
      </c>
      <c r="X104" t="str">
        <f>IF($B104="","",SUM('entri hasil dari isian siswa'!P104:Z104))</f>
        <v/>
      </c>
      <c r="Y104" t="str">
        <f>IF($B104="","",SUM('entri hasil dari isian siswa'!AA104:AK104))</f>
        <v/>
      </c>
      <c r="Z104" t="str">
        <f>IF($B104="","",SUM('entri hasil dari isian siswa'!AL104:AV104))</f>
        <v/>
      </c>
      <c r="AA104" t="str">
        <f>IF($B104="","",SUM('entri hasil dari isian siswa'!AW104:BG104))</f>
        <v/>
      </c>
      <c r="AB104" t="str">
        <f>IF($B104="","",SUM('entri hasil dari isian siswa'!BH104:BR104))</f>
        <v/>
      </c>
      <c r="AC104" t="str">
        <f>IF($B104="","",SUM('entri hasil dari isian siswa'!BS104:CC104))</f>
        <v/>
      </c>
      <c r="AD104" t="str">
        <f>IF($B104="","",SUM('entri hasil dari isian siswa'!CD104:CN104))</f>
        <v/>
      </c>
      <c r="AE104" t="str">
        <f>IF($B104="","",SUM('entri hasil dari isian siswa'!CO104:CY104))</f>
        <v/>
      </c>
      <c r="AF104" t="str">
        <f>IF($B104="","",SUM('entri hasil dari isian siswa'!CZ104:DJ104))</f>
        <v/>
      </c>
      <c r="AG104" t="str">
        <f>IF($B104="","",SUM('entri hasil dari isian siswa'!DK104:DU104))</f>
        <v/>
      </c>
      <c r="AH104" t="str">
        <f>IF($B104="","",SUM('entri hasil dari isian siswa'!DV104:EF104))</f>
        <v/>
      </c>
      <c r="AI104" t="str">
        <f>IF($B104="","",SUM('entri hasil dari isian siswa'!EG104:ET104))</f>
        <v/>
      </c>
      <c r="AJ104" t="str">
        <f>IF($B104="","",SUM('entri hasil dari isian siswa'!EU104:FH104))</f>
        <v/>
      </c>
      <c r="AK104" t="str">
        <f>IF($B104="","",SUM('entri hasil dari isian siswa'!FI104:FV104))</f>
        <v/>
      </c>
      <c r="AL104" t="str">
        <f>IF($B104="","",SUM('entri hasil dari isian siswa'!FW104:GJ104))</f>
        <v/>
      </c>
      <c r="AM104" t="str">
        <f>IF($B104="","",SUM('entri hasil dari isian siswa'!GK104:GX104))</f>
        <v/>
      </c>
      <c r="AN104" t="str">
        <f>IF($B104="","",SUM('entri hasil dari isian siswa'!GY104:HL104))</f>
        <v/>
      </c>
      <c r="AO104" t="str">
        <f>IF($B104="","",'entri hasil dari isian siswa'!HM104+'entri hasil dari isian siswa'!HS104)</f>
        <v/>
      </c>
      <c r="AP104" t="str">
        <f>IF($B104="","",'entri hasil dari isian siswa'!HN104+'entri hasil dari isian siswa'!HT104)</f>
        <v/>
      </c>
      <c r="AQ104" t="str">
        <f>IF($B104="","",'entri hasil dari isian siswa'!HO104+'entri hasil dari isian siswa'!HU104)</f>
        <v/>
      </c>
      <c r="AR104" t="str">
        <f>IF($B104="","",'entri hasil dari isian siswa'!HP104+'entri hasil dari isian siswa'!HV104)</f>
        <v/>
      </c>
      <c r="AS104" t="str">
        <f>IF($B104="","",'entri hasil dari isian siswa'!HQ104+'entri hasil dari isian siswa'!HW104)</f>
        <v/>
      </c>
      <c r="AT104" t="str">
        <f>IF($B104="","",'entri hasil dari isian siswa'!HR104+'entri hasil dari isian siswa'!HX104)</f>
        <v/>
      </c>
      <c r="AU104" s="69" t="str">
        <f t="shared" si="47"/>
        <v/>
      </c>
      <c r="AV104" s="69" t="str">
        <f>IF($AU104="","",IFERROR(VLOOKUP($AU104,'Kunci dari RIASEC'!$J$4:$K$33,2,FALSE),""))</f>
        <v/>
      </c>
    </row>
    <row r="105" spans="1:48">
      <c r="A105">
        <f t="shared" si="36"/>
        <v>101</v>
      </c>
      <c r="B105" t="str">
        <f>IF('entri hasil dari isian siswa'!B105="","",'entri hasil dari isian siswa'!B105)</f>
        <v/>
      </c>
      <c r="C105" t="str">
        <f>IF('entri hasil dari isian siswa'!C105="","",'entri hasil dari isian siswa'!C105)</f>
        <v/>
      </c>
      <c r="D105" t="str">
        <f>IF('entri hasil dari isian siswa'!D105="","",'entri hasil dari isian siswa'!D105)</f>
        <v/>
      </c>
      <c r="E105" t="str">
        <f t="shared" si="37"/>
        <v/>
      </c>
      <c r="F105" t="str">
        <f t="shared" si="38"/>
        <v/>
      </c>
      <c r="G105" t="str">
        <f t="shared" si="39"/>
        <v/>
      </c>
      <c r="H105" t="str">
        <f t="shared" si="40"/>
        <v/>
      </c>
      <c r="I105" t="str">
        <f t="shared" si="41"/>
        <v/>
      </c>
      <c r="J105" t="str">
        <f t="shared" si="42"/>
        <v/>
      </c>
      <c r="K105" t="str">
        <f>IF($V105&lt;&gt;"OK","",RANK(E105,$E105:$J105,0)+COUNTIF($E105:E105,E105)-1)</f>
        <v/>
      </c>
      <c r="L105" t="str">
        <f>IF($V105&lt;&gt;"OK","",RANK(F105,$E105:$J105,0)+COUNTIF($E105:F105,F105)-1)</f>
        <v/>
      </c>
      <c r="M105" t="str">
        <f>IF($V105&lt;&gt;"OK","",RANK(G105,$E105:$J105,0)+COUNTIF($E105:G105,G105)-1)</f>
        <v/>
      </c>
      <c r="N105" t="str">
        <f>IF($V105&lt;&gt;"OK","",RANK(H105,$E105:$J105,0)+COUNTIF($E105:H105,H105)-1)</f>
        <v/>
      </c>
      <c r="O105" t="str">
        <f>IF($V105&lt;&gt;"OK","",RANK(I105,$E105:$J105,0)+COUNTIF($E105:I105,I105)-1)</f>
        <v/>
      </c>
      <c r="P105" t="str">
        <f>IF($V105&lt;&gt;"OK","",RANK(J105,$E105:$J105,0)+COUNTIF($E105:J105,J105)-1)</f>
        <v/>
      </c>
      <c r="Q105" t="str">
        <f t="shared" si="43"/>
        <v/>
      </c>
      <c r="R105" t="str">
        <f t="shared" si="44"/>
        <v/>
      </c>
      <c r="S105" t="str">
        <f t="shared" si="45"/>
        <v/>
      </c>
      <c r="T105" t="str">
        <f t="shared" si="46"/>
        <v/>
      </c>
      <c r="U105" s="1" t="str">
        <f>IF($T105="","",IFERROR(VLOOKUP($T105,'Kunci dari RIASEC'!$A$4:$B$123,2,FALSE),"Rekomendasi belum tersedia"))</f>
        <v/>
      </c>
      <c r="V105" t="str">
        <f>IF('entri hasil dari isian siswa'!B105="","",'entri hasil dari isian siswa'!HY105)</f>
        <v/>
      </c>
      <c r="W105" t="str">
        <f>IF($B105="","",SUM('entri hasil dari isian siswa'!E105:O105))</f>
        <v/>
      </c>
      <c r="X105" t="str">
        <f>IF($B105="","",SUM('entri hasil dari isian siswa'!P105:Z105))</f>
        <v/>
      </c>
      <c r="Y105" t="str">
        <f>IF($B105="","",SUM('entri hasil dari isian siswa'!AA105:AK105))</f>
        <v/>
      </c>
      <c r="Z105" t="str">
        <f>IF($B105="","",SUM('entri hasil dari isian siswa'!AL105:AV105))</f>
        <v/>
      </c>
      <c r="AA105" t="str">
        <f>IF($B105="","",SUM('entri hasil dari isian siswa'!AW105:BG105))</f>
        <v/>
      </c>
      <c r="AB105" t="str">
        <f>IF($B105="","",SUM('entri hasil dari isian siswa'!BH105:BR105))</f>
        <v/>
      </c>
      <c r="AC105" t="str">
        <f>IF($B105="","",SUM('entri hasil dari isian siswa'!BS105:CC105))</f>
        <v/>
      </c>
      <c r="AD105" t="str">
        <f>IF($B105="","",SUM('entri hasil dari isian siswa'!CD105:CN105))</f>
        <v/>
      </c>
      <c r="AE105" t="str">
        <f>IF($B105="","",SUM('entri hasil dari isian siswa'!CO105:CY105))</f>
        <v/>
      </c>
      <c r="AF105" t="str">
        <f>IF($B105="","",SUM('entri hasil dari isian siswa'!CZ105:DJ105))</f>
        <v/>
      </c>
      <c r="AG105" t="str">
        <f>IF($B105="","",SUM('entri hasil dari isian siswa'!DK105:DU105))</f>
        <v/>
      </c>
      <c r="AH105" t="str">
        <f>IF($B105="","",SUM('entri hasil dari isian siswa'!DV105:EF105))</f>
        <v/>
      </c>
      <c r="AI105" t="str">
        <f>IF($B105="","",SUM('entri hasil dari isian siswa'!EG105:ET105))</f>
        <v/>
      </c>
      <c r="AJ105" t="str">
        <f>IF($B105="","",SUM('entri hasil dari isian siswa'!EU105:FH105))</f>
        <v/>
      </c>
      <c r="AK105" t="str">
        <f>IF($B105="","",SUM('entri hasil dari isian siswa'!FI105:FV105))</f>
        <v/>
      </c>
      <c r="AL105" t="str">
        <f>IF($B105="","",SUM('entri hasil dari isian siswa'!FW105:GJ105))</f>
        <v/>
      </c>
      <c r="AM105" t="str">
        <f>IF($B105="","",SUM('entri hasil dari isian siswa'!GK105:GX105))</f>
        <v/>
      </c>
      <c r="AN105" t="str">
        <f>IF($B105="","",SUM('entri hasil dari isian siswa'!GY105:HL105))</f>
        <v/>
      </c>
      <c r="AO105" t="str">
        <f>IF($B105="","",'entri hasil dari isian siswa'!HM105+'entri hasil dari isian siswa'!HS105)</f>
        <v/>
      </c>
      <c r="AP105" t="str">
        <f>IF($B105="","",'entri hasil dari isian siswa'!HN105+'entri hasil dari isian siswa'!HT105)</f>
        <v/>
      </c>
      <c r="AQ105" t="str">
        <f>IF($B105="","",'entri hasil dari isian siswa'!HO105+'entri hasil dari isian siswa'!HU105)</f>
        <v/>
      </c>
      <c r="AR105" t="str">
        <f>IF($B105="","",'entri hasil dari isian siswa'!HP105+'entri hasil dari isian siswa'!HV105)</f>
        <v/>
      </c>
      <c r="AS105" t="str">
        <f>IF($B105="","",'entri hasil dari isian siswa'!HQ105+'entri hasil dari isian siswa'!HW105)</f>
        <v/>
      </c>
      <c r="AT105" t="str">
        <f>IF($B105="","",'entri hasil dari isian siswa'!HR105+'entri hasil dari isian siswa'!HX105)</f>
        <v/>
      </c>
      <c r="AU105" s="69" t="str">
        <f t="shared" si="47"/>
        <v/>
      </c>
      <c r="AV105" s="69" t="str">
        <f>IF($AU105="","",IFERROR(VLOOKUP($AU105,'Kunci dari RIASEC'!$J$4:$K$33,2,FALSE),""))</f>
        <v/>
      </c>
    </row>
    <row r="106" spans="1:48">
      <c r="A106">
        <f t="shared" si="36"/>
        <v>102</v>
      </c>
      <c r="B106" t="str">
        <f>IF('entri hasil dari isian siswa'!B106="","",'entri hasil dari isian siswa'!B106)</f>
        <v/>
      </c>
      <c r="C106" t="str">
        <f>IF('entri hasil dari isian siswa'!C106="","",'entri hasil dari isian siswa'!C106)</f>
        <v/>
      </c>
      <c r="D106" t="str">
        <f>IF('entri hasil dari isian siswa'!D106="","",'entri hasil dari isian siswa'!D106)</f>
        <v/>
      </c>
      <c r="E106" t="str">
        <f t="shared" si="37"/>
        <v/>
      </c>
      <c r="F106" t="str">
        <f t="shared" si="38"/>
        <v/>
      </c>
      <c r="G106" t="str">
        <f t="shared" si="39"/>
        <v/>
      </c>
      <c r="H106" t="str">
        <f t="shared" si="40"/>
        <v/>
      </c>
      <c r="I106" t="str">
        <f t="shared" si="41"/>
        <v/>
      </c>
      <c r="J106" t="str">
        <f t="shared" si="42"/>
        <v/>
      </c>
      <c r="K106" t="str">
        <f>IF($V106&lt;&gt;"OK","",RANK(E106,$E106:$J106,0)+COUNTIF($E106:E106,E106)-1)</f>
        <v/>
      </c>
      <c r="L106" t="str">
        <f>IF($V106&lt;&gt;"OK","",RANK(F106,$E106:$J106,0)+COUNTIF($E106:F106,F106)-1)</f>
        <v/>
      </c>
      <c r="M106" t="str">
        <f>IF($V106&lt;&gt;"OK","",RANK(G106,$E106:$J106,0)+COUNTIF($E106:G106,G106)-1)</f>
        <v/>
      </c>
      <c r="N106" t="str">
        <f>IF($V106&lt;&gt;"OK","",RANK(H106,$E106:$J106,0)+COUNTIF($E106:H106,H106)-1)</f>
        <v/>
      </c>
      <c r="O106" t="str">
        <f>IF($V106&lt;&gt;"OK","",RANK(I106,$E106:$J106,0)+COUNTIF($E106:I106,I106)-1)</f>
        <v/>
      </c>
      <c r="P106" t="str">
        <f>IF($V106&lt;&gt;"OK","",RANK(J106,$E106:$J106,0)+COUNTIF($E106:J106,J106)-1)</f>
        <v/>
      </c>
      <c r="Q106" t="str">
        <f t="shared" si="43"/>
        <v/>
      </c>
      <c r="R106" t="str">
        <f t="shared" si="44"/>
        <v/>
      </c>
      <c r="S106" t="str">
        <f t="shared" si="45"/>
        <v/>
      </c>
      <c r="T106" t="str">
        <f t="shared" si="46"/>
        <v/>
      </c>
      <c r="U106" s="1" t="str">
        <f>IF($T106="","",IFERROR(VLOOKUP($T106,'Kunci dari RIASEC'!$A$4:$B$123,2,FALSE),"Rekomendasi belum tersedia"))</f>
        <v/>
      </c>
      <c r="V106" t="str">
        <f>IF('entri hasil dari isian siswa'!B106="","",'entri hasil dari isian siswa'!HY106)</f>
        <v/>
      </c>
      <c r="W106" t="str">
        <f>IF($B106="","",SUM('entri hasil dari isian siswa'!E106:O106))</f>
        <v/>
      </c>
      <c r="X106" t="str">
        <f>IF($B106="","",SUM('entri hasil dari isian siswa'!P106:Z106))</f>
        <v/>
      </c>
      <c r="Y106" t="str">
        <f>IF($B106="","",SUM('entri hasil dari isian siswa'!AA106:AK106))</f>
        <v/>
      </c>
      <c r="Z106" t="str">
        <f>IF($B106="","",SUM('entri hasil dari isian siswa'!AL106:AV106))</f>
        <v/>
      </c>
      <c r="AA106" t="str">
        <f>IF($B106="","",SUM('entri hasil dari isian siswa'!AW106:BG106))</f>
        <v/>
      </c>
      <c r="AB106" t="str">
        <f>IF($B106="","",SUM('entri hasil dari isian siswa'!BH106:BR106))</f>
        <v/>
      </c>
      <c r="AC106" t="str">
        <f>IF($B106="","",SUM('entri hasil dari isian siswa'!BS106:CC106))</f>
        <v/>
      </c>
      <c r="AD106" t="str">
        <f>IF($B106="","",SUM('entri hasil dari isian siswa'!CD106:CN106))</f>
        <v/>
      </c>
      <c r="AE106" t="str">
        <f>IF($B106="","",SUM('entri hasil dari isian siswa'!CO106:CY106))</f>
        <v/>
      </c>
      <c r="AF106" t="str">
        <f>IF($B106="","",SUM('entri hasil dari isian siswa'!CZ106:DJ106))</f>
        <v/>
      </c>
      <c r="AG106" t="str">
        <f>IF($B106="","",SUM('entri hasil dari isian siswa'!DK106:DU106))</f>
        <v/>
      </c>
      <c r="AH106" t="str">
        <f>IF($B106="","",SUM('entri hasil dari isian siswa'!DV106:EF106))</f>
        <v/>
      </c>
      <c r="AI106" t="str">
        <f>IF($B106="","",SUM('entri hasil dari isian siswa'!EG106:ET106))</f>
        <v/>
      </c>
      <c r="AJ106" t="str">
        <f>IF($B106="","",SUM('entri hasil dari isian siswa'!EU106:FH106))</f>
        <v/>
      </c>
      <c r="AK106" t="str">
        <f>IF($B106="","",SUM('entri hasil dari isian siswa'!FI106:FV106))</f>
        <v/>
      </c>
      <c r="AL106" t="str">
        <f>IF($B106="","",SUM('entri hasil dari isian siswa'!FW106:GJ106))</f>
        <v/>
      </c>
      <c r="AM106" t="str">
        <f>IF($B106="","",SUM('entri hasil dari isian siswa'!GK106:GX106))</f>
        <v/>
      </c>
      <c r="AN106" t="str">
        <f>IF($B106="","",SUM('entri hasil dari isian siswa'!GY106:HL106))</f>
        <v/>
      </c>
      <c r="AO106" t="str">
        <f>IF($B106="","",'entri hasil dari isian siswa'!HM106+'entri hasil dari isian siswa'!HS106)</f>
        <v/>
      </c>
      <c r="AP106" t="str">
        <f>IF($B106="","",'entri hasil dari isian siswa'!HN106+'entri hasil dari isian siswa'!HT106)</f>
        <v/>
      </c>
      <c r="AQ106" t="str">
        <f>IF($B106="","",'entri hasil dari isian siswa'!HO106+'entri hasil dari isian siswa'!HU106)</f>
        <v/>
      </c>
      <c r="AR106" t="str">
        <f>IF($B106="","",'entri hasil dari isian siswa'!HP106+'entri hasil dari isian siswa'!HV106)</f>
        <v/>
      </c>
      <c r="AS106" t="str">
        <f>IF($B106="","",'entri hasil dari isian siswa'!HQ106+'entri hasil dari isian siswa'!HW106)</f>
        <v/>
      </c>
      <c r="AT106" t="str">
        <f>IF($B106="","",'entri hasil dari isian siswa'!HR106+'entri hasil dari isian siswa'!HX106)</f>
        <v/>
      </c>
      <c r="AU106" s="69" t="str">
        <f t="shared" si="47"/>
        <v/>
      </c>
      <c r="AV106" s="69" t="str">
        <f>IF($AU106="","",IFERROR(VLOOKUP($AU106,'Kunci dari RIASEC'!$J$4:$K$33,2,FALSE),""))</f>
        <v/>
      </c>
    </row>
    <row r="107" spans="1:48">
      <c r="A107">
        <f t="shared" si="36"/>
        <v>103</v>
      </c>
      <c r="B107" t="str">
        <f>IF('entri hasil dari isian siswa'!B107="","",'entri hasil dari isian siswa'!B107)</f>
        <v/>
      </c>
      <c r="C107" t="str">
        <f>IF('entri hasil dari isian siswa'!C107="","",'entri hasil dari isian siswa'!C107)</f>
        <v/>
      </c>
      <c r="D107" t="str">
        <f>IF('entri hasil dari isian siswa'!D107="","",'entri hasil dari isian siswa'!D107)</f>
        <v/>
      </c>
      <c r="E107" t="str">
        <f t="shared" si="37"/>
        <v/>
      </c>
      <c r="F107" t="str">
        <f t="shared" si="38"/>
        <v/>
      </c>
      <c r="G107" t="str">
        <f t="shared" si="39"/>
        <v/>
      </c>
      <c r="H107" t="str">
        <f t="shared" si="40"/>
        <v/>
      </c>
      <c r="I107" t="str">
        <f t="shared" si="41"/>
        <v/>
      </c>
      <c r="J107" t="str">
        <f t="shared" si="42"/>
        <v/>
      </c>
      <c r="K107" t="str">
        <f>IF($V107&lt;&gt;"OK","",RANK(E107,$E107:$J107,0)+COUNTIF($E107:E107,E107)-1)</f>
        <v/>
      </c>
      <c r="L107" t="str">
        <f>IF($V107&lt;&gt;"OK","",RANK(F107,$E107:$J107,0)+COUNTIF($E107:F107,F107)-1)</f>
        <v/>
      </c>
      <c r="M107" t="str">
        <f>IF($V107&lt;&gt;"OK","",RANK(G107,$E107:$J107,0)+COUNTIF($E107:G107,G107)-1)</f>
        <v/>
      </c>
      <c r="N107" t="str">
        <f>IF($V107&lt;&gt;"OK","",RANK(H107,$E107:$J107,0)+COUNTIF($E107:H107,H107)-1)</f>
        <v/>
      </c>
      <c r="O107" t="str">
        <f>IF($V107&lt;&gt;"OK","",RANK(I107,$E107:$J107,0)+COUNTIF($E107:I107,I107)-1)</f>
        <v/>
      </c>
      <c r="P107" t="str">
        <f>IF($V107&lt;&gt;"OK","",RANK(J107,$E107:$J107,0)+COUNTIF($E107:J107,J107)-1)</f>
        <v/>
      </c>
      <c r="Q107" t="str">
        <f t="shared" si="43"/>
        <v/>
      </c>
      <c r="R107" t="str">
        <f t="shared" si="44"/>
        <v/>
      </c>
      <c r="S107" t="str">
        <f t="shared" si="45"/>
        <v/>
      </c>
      <c r="T107" t="str">
        <f t="shared" si="46"/>
        <v/>
      </c>
      <c r="U107" s="1" t="str">
        <f>IF($T107="","",IFERROR(VLOOKUP($T107,'Kunci dari RIASEC'!$A$4:$B$123,2,FALSE),"Rekomendasi belum tersedia"))</f>
        <v/>
      </c>
      <c r="V107" t="str">
        <f>IF('entri hasil dari isian siswa'!B107="","",'entri hasil dari isian siswa'!HY107)</f>
        <v/>
      </c>
      <c r="W107" t="str">
        <f>IF($B107="","",SUM('entri hasil dari isian siswa'!E107:O107))</f>
        <v/>
      </c>
      <c r="X107" t="str">
        <f>IF($B107="","",SUM('entri hasil dari isian siswa'!P107:Z107))</f>
        <v/>
      </c>
      <c r="Y107" t="str">
        <f>IF($B107="","",SUM('entri hasil dari isian siswa'!AA107:AK107))</f>
        <v/>
      </c>
      <c r="Z107" t="str">
        <f>IF($B107="","",SUM('entri hasil dari isian siswa'!AL107:AV107))</f>
        <v/>
      </c>
      <c r="AA107" t="str">
        <f>IF($B107="","",SUM('entri hasil dari isian siswa'!AW107:BG107))</f>
        <v/>
      </c>
      <c r="AB107" t="str">
        <f>IF($B107="","",SUM('entri hasil dari isian siswa'!BH107:BR107))</f>
        <v/>
      </c>
      <c r="AC107" t="str">
        <f>IF($B107="","",SUM('entri hasil dari isian siswa'!BS107:CC107))</f>
        <v/>
      </c>
      <c r="AD107" t="str">
        <f>IF($B107="","",SUM('entri hasil dari isian siswa'!CD107:CN107))</f>
        <v/>
      </c>
      <c r="AE107" t="str">
        <f>IF($B107="","",SUM('entri hasil dari isian siswa'!CO107:CY107))</f>
        <v/>
      </c>
      <c r="AF107" t="str">
        <f>IF($B107="","",SUM('entri hasil dari isian siswa'!CZ107:DJ107))</f>
        <v/>
      </c>
      <c r="AG107" t="str">
        <f>IF($B107="","",SUM('entri hasil dari isian siswa'!DK107:DU107))</f>
        <v/>
      </c>
      <c r="AH107" t="str">
        <f>IF($B107="","",SUM('entri hasil dari isian siswa'!DV107:EF107))</f>
        <v/>
      </c>
      <c r="AI107" t="str">
        <f>IF($B107="","",SUM('entri hasil dari isian siswa'!EG107:ET107))</f>
        <v/>
      </c>
      <c r="AJ107" t="str">
        <f>IF($B107="","",SUM('entri hasil dari isian siswa'!EU107:FH107))</f>
        <v/>
      </c>
      <c r="AK107" t="str">
        <f>IF($B107="","",SUM('entri hasil dari isian siswa'!FI107:FV107))</f>
        <v/>
      </c>
      <c r="AL107" t="str">
        <f>IF($B107="","",SUM('entri hasil dari isian siswa'!FW107:GJ107))</f>
        <v/>
      </c>
      <c r="AM107" t="str">
        <f>IF($B107="","",SUM('entri hasil dari isian siswa'!GK107:GX107))</f>
        <v/>
      </c>
      <c r="AN107" t="str">
        <f>IF($B107="","",SUM('entri hasil dari isian siswa'!GY107:HL107))</f>
        <v/>
      </c>
      <c r="AO107" t="str">
        <f>IF($B107="","",'entri hasil dari isian siswa'!HM107+'entri hasil dari isian siswa'!HS107)</f>
        <v/>
      </c>
      <c r="AP107" t="str">
        <f>IF($B107="","",'entri hasil dari isian siswa'!HN107+'entri hasil dari isian siswa'!HT107)</f>
        <v/>
      </c>
      <c r="AQ107" t="str">
        <f>IF($B107="","",'entri hasil dari isian siswa'!HO107+'entri hasil dari isian siswa'!HU107)</f>
        <v/>
      </c>
      <c r="AR107" t="str">
        <f>IF($B107="","",'entri hasil dari isian siswa'!HP107+'entri hasil dari isian siswa'!HV107)</f>
        <v/>
      </c>
      <c r="AS107" t="str">
        <f>IF($B107="","",'entri hasil dari isian siswa'!HQ107+'entri hasil dari isian siswa'!HW107)</f>
        <v/>
      </c>
      <c r="AT107" t="str">
        <f>IF($B107="","",'entri hasil dari isian siswa'!HR107+'entri hasil dari isian siswa'!HX107)</f>
        <v/>
      </c>
      <c r="AU107" s="69" t="str">
        <f t="shared" si="47"/>
        <v/>
      </c>
      <c r="AV107" s="69" t="str">
        <f>IF($AU107="","",IFERROR(VLOOKUP($AU107,'Kunci dari RIASEC'!$J$4:$K$33,2,FALSE),""))</f>
        <v/>
      </c>
    </row>
    <row r="108" spans="1:48">
      <c r="A108">
        <f t="shared" si="36"/>
        <v>104</v>
      </c>
      <c r="B108" t="str">
        <f>IF('entri hasil dari isian siswa'!B108="","",'entri hasil dari isian siswa'!B108)</f>
        <v/>
      </c>
      <c r="C108" t="str">
        <f>IF('entri hasil dari isian siswa'!C108="","",'entri hasil dari isian siswa'!C108)</f>
        <v/>
      </c>
      <c r="D108" t="str">
        <f>IF('entri hasil dari isian siswa'!D108="","",'entri hasil dari isian siswa'!D108)</f>
        <v/>
      </c>
      <c r="E108" t="str">
        <f t="shared" si="37"/>
        <v/>
      </c>
      <c r="F108" t="str">
        <f t="shared" si="38"/>
        <v/>
      </c>
      <c r="G108" t="str">
        <f t="shared" si="39"/>
        <v/>
      </c>
      <c r="H108" t="str">
        <f t="shared" si="40"/>
        <v/>
      </c>
      <c r="I108" t="str">
        <f t="shared" si="41"/>
        <v/>
      </c>
      <c r="J108" t="str">
        <f t="shared" si="42"/>
        <v/>
      </c>
      <c r="K108" t="str">
        <f>IF($V108&lt;&gt;"OK","",RANK(E108,$E108:$J108,0)+COUNTIF($E108:E108,E108)-1)</f>
        <v/>
      </c>
      <c r="L108" t="str">
        <f>IF($V108&lt;&gt;"OK","",RANK(F108,$E108:$J108,0)+COUNTIF($E108:F108,F108)-1)</f>
        <v/>
      </c>
      <c r="M108" t="str">
        <f>IF($V108&lt;&gt;"OK","",RANK(G108,$E108:$J108,0)+COUNTIF($E108:G108,G108)-1)</f>
        <v/>
      </c>
      <c r="N108" t="str">
        <f>IF($V108&lt;&gt;"OK","",RANK(H108,$E108:$J108,0)+COUNTIF($E108:H108,H108)-1)</f>
        <v/>
      </c>
      <c r="O108" t="str">
        <f>IF($V108&lt;&gt;"OK","",RANK(I108,$E108:$J108,0)+COUNTIF($E108:I108,I108)-1)</f>
        <v/>
      </c>
      <c r="P108" t="str">
        <f>IF($V108&lt;&gt;"OK","",RANK(J108,$E108:$J108,0)+COUNTIF($E108:J108,J108)-1)</f>
        <v/>
      </c>
      <c r="Q108" t="str">
        <f t="shared" si="43"/>
        <v/>
      </c>
      <c r="R108" t="str">
        <f t="shared" si="44"/>
        <v/>
      </c>
      <c r="S108" t="str">
        <f t="shared" si="45"/>
        <v/>
      </c>
      <c r="T108" t="str">
        <f t="shared" si="46"/>
        <v/>
      </c>
      <c r="U108" s="1" t="str">
        <f>IF($T108="","",IFERROR(VLOOKUP($T108,'Kunci dari RIASEC'!$A$4:$B$123,2,FALSE),"Rekomendasi belum tersedia"))</f>
        <v/>
      </c>
      <c r="V108" t="str">
        <f>IF('entri hasil dari isian siswa'!B108="","",'entri hasil dari isian siswa'!HY108)</f>
        <v/>
      </c>
      <c r="W108" t="str">
        <f>IF($B108="","",SUM('entri hasil dari isian siswa'!E108:O108))</f>
        <v/>
      </c>
      <c r="X108" t="str">
        <f>IF($B108="","",SUM('entri hasil dari isian siswa'!P108:Z108))</f>
        <v/>
      </c>
      <c r="Y108" t="str">
        <f>IF($B108="","",SUM('entri hasil dari isian siswa'!AA108:AK108))</f>
        <v/>
      </c>
      <c r="Z108" t="str">
        <f>IF($B108="","",SUM('entri hasil dari isian siswa'!AL108:AV108))</f>
        <v/>
      </c>
      <c r="AA108" t="str">
        <f>IF($B108="","",SUM('entri hasil dari isian siswa'!AW108:BG108))</f>
        <v/>
      </c>
      <c r="AB108" t="str">
        <f>IF($B108="","",SUM('entri hasil dari isian siswa'!BH108:BR108))</f>
        <v/>
      </c>
      <c r="AC108" t="str">
        <f>IF($B108="","",SUM('entri hasil dari isian siswa'!BS108:CC108))</f>
        <v/>
      </c>
      <c r="AD108" t="str">
        <f>IF($B108="","",SUM('entri hasil dari isian siswa'!CD108:CN108))</f>
        <v/>
      </c>
      <c r="AE108" t="str">
        <f>IF($B108="","",SUM('entri hasil dari isian siswa'!CO108:CY108))</f>
        <v/>
      </c>
      <c r="AF108" t="str">
        <f>IF($B108="","",SUM('entri hasil dari isian siswa'!CZ108:DJ108))</f>
        <v/>
      </c>
      <c r="AG108" t="str">
        <f>IF($B108="","",SUM('entri hasil dari isian siswa'!DK108:DU108))</f>
        <v/>
      </c>
      <c r="AH108" t="str">
        <f>IF($B108="","",SUM('entri hasil dari isian siswa'!DV108:EF108))</f>
        <v/>
      </c>
      <c r="AI108" t="str">
        <f>IF($B108="","",SUM('entri hasil dari isian siswa'!EG108:ET108))</f>
        <v/>
      </c>
      <c r="AJ108" t="str">
        <f>IF($B108="","",SUM('entri hasil dari isian siswa'!EU108:FH108))</f>
        <v/>
      </c>
      <c r="AK108" t="str">
        <f>IF($B108="","",SUM('entri hasil dari isian siswa'!FI108:FV108))</f>
        <v/>
      </c>
      <c r="AL108" t="str">
        <f>IF($B108="","",SUM('entri hasil dari isian siswa'!FW108:GJ108))</f>
        <v/>
      </c>
      <c r="AM108" t="str">
        <f>IF($B108="","",SUM('entri hasil dari isian siswa'!GK108:GX108))</f>
        <v/>
      </c>
      <c r="AN108" t="str">
        <f>IF($B108="","",SUM('entri hasil dari isian siswa'!GY108:HL108))</f>
        <v/>
      </c>
      <c r="AO108" t="str">
        <f>IF($B108="","",'entri hasil dari isian siswa'!HM108+'entri hasil dari isian siswa'!HS108)</f>
        <v/>
      </c>
      <c r="AP108" t="str">
        <f>IF($B108="","",'entri hasil dari isian siswa'!HN108+'entri hasil dari isian siswa'!HT108)</f>
        <v/>
      </c>
      <c r="AQ108" t="str">
        <f>IF($B108="","",'entri hasil dari isian siswa'!HO108+'entri hasil dari isian siswa'!HU108)</f>
        <v/>
      </c>
      <c r="AR108" t="str">
        <f>IF($B108="","",'entri hasil dari isian siswa'!HP108+'entri hasil dari isian siswa'!HV108)</f>
        <v/>
      </c>
      <c r="AS108" t="str">
        <f>IF($B108="","",'entri hasil dari isian siswa'!HQ108+'entri hasil dari isian siswa'!HW108)</f>
        <v/>
      </c>
      <c r="AT108" t="str">
        <f>IF($B108="","",'entri hasil dari isian siswa'!HR108+'entri hasil dari isian siswa'!HX108)</f>
        <v/>
      </c>
      <c r="AU108" s="69" t="str">
        <f t="shared" si="47"/>
        <v/>
      </c>
      <c r="AV108" s="69" t="str">
        <f>IF($AU108="","",IFERROR(VLOOKUP($AU108,'Kunci dari RIASEC'!$J$4:$K$33,2,FALSE),""))</f>
        <v/>
      </c>
    </row>
    <row r="109" spans="1:48">
      <c r="A109">
        <f t="shared" si="36"/>
        <v>105</v>
      </c>
      <c r="B109" t="str">
        <f>IF('entri hasil dari isian siswa'!B109="","",'entri hasil dari isian siswa'!B109)</f>
        <v/>
      </c>
      <c r="C109" t="str">
        <f>IF('entri hasil dari isian siswa'!C109="","",'entri hasil dari isian siswa'!C109)</f>
        <v/>
      </c>
      <c r="D109" t="str">
        <f>IF('entri hasil dari isian siswa'!D109="","",'entri hasil dari isian siswa'!D109)</f>
        <v/>
      </c>
      <c r="E109" t="str">
        <f t="shared" si="37"/>
        <v/>
      </c>
      <c r="F109" t="str">
        <f t="shared" si="38"/>
        <v/>
      </c>
      <c r="G109" t="str">
        <f t="shared" si="39"/>
        <v/>
      </c>
      <c r="H109" t="str">
        <f t="shared" si="40"/>
        <v/>
      </c>
      <c r="I109" t="str">
        <f t="shared" si="41"/>
        <v/>
      </c>
      <c r="J109" t="str">
        <f t="shared" si="42"/>
        <v/>
      </c>
      <c r="K109" t="str">
        <f>IF($V109&lt;&gt;"OK","",RANK(E109,$E109:$J109,0)+COUNTIF($E109:E109,E109)-1)</f>
        <v/>
      </c>
      <c r="L109" t="str">
        <f>IF($V109&lt;&gt;"OK","",RANK(F109,$E109:$J109,0)+COUNTIF($E109:F109,F109)-1)</f>
        <v/>
      </c>
      <c r="M109" t="str">
        <f>IF($V109&lt;&gt;"OK","",RANK(G109,$E109:$J109,0)+COUNTIF($E109:G109,G109)-1)</f>
        <v/>
      </c>
      <c r="N109" t="str">
        <f>IF($V109&lt;&gt;"OK","",RANK(H109,$E109:$J109,0)+COUNTIF($E109:H109,H109)-1)</f>
        <v/>
      </c>
      <c r="O109" t="str">
        <f>IF($V109&lt;&gt;"OK","",RANK(I109,$E109:$J109,0)+COUNTIF($E109:I109,I109)-1)</f>
        <v/>
      </c>
      <c r="P109" t="str">
        <f>IF($V109&lt;&gt;"OK","",RANK(J109,$E109:$J109,0)+COUNTIF($E109:J109,J109)-1)</f>
        <v/>
      </c>
      <c r="Q109" t="str">
        <f t="shared" si="43"/>
        <v/>
      </c>
      <c r="R109" t="str">
        <f t="shared" si="44"/>
        <v/>
      </c>
      <c r="S109" t="str">
        <f t="shared" si="45"/>
        <v/>
      </c>
      <c r="T109" t="str">
        <f t="shared" si="46"/>
        <v/>
      </c>
      <c r="U109" s="1" t="str">
        <f>IF($T109="","",IFERROR(VLOOKUP($T109,'Kunci dari RIASEC'!$A$4:$B$123,2,FALSE),"Rekomendasi belum tersedia"))</f>
        <v/>
      </c>
      <c r="V109" t="str">
        <f>IF('entri hasil dari isian siswa'!B109="","",'entri hasil dari isian siswa'!HY109)</f>
        <v/>
      </c>
      <c r="W109" t="str">
        <f>IF($B109="","",SUM('entri hasil dari isian siswa'!E109:O109))</f>
        <v/>
      </c>
      <c r="X109" t="str">
        <f>IF($B109="","",SUM('entri hasil dari isian siswa'!P109:Z109))</f>
        <v/>
      </c>
      <c r="Y109" t="str">
        <f>IF($B109="","",SUM('entri hasil dari isian siswa'!AA109:AK109))</f>
        <v/>
      </c>
      <c r="Z109" t="str">
        <f>IF($B109="","",SUM('entri hasil dari isian siswa'!AL109:AV109))</f>
        <v/>
      </c>
      <c r="AA109" t="str">
        <f>IF($B109="","",SUM('entri hasil dari isian siswa'!AW109:BG109))</f>
        <v/>
      </c>
      <c r="AB109" t="str">
        <f>IF($B109="","",SUM('entri hasil dari isian siswa'!BH109:BR109))</f>
        <v/>
      </c>
      <c r="AC109" t="str">
        <f>IF($B109="","",SUM('entri hasil dari isian siswa'!BS109:CC109))</f>
        <v/>
      </c>
      <c r="AD109" t="str">
        <f>IF($B109="","",SUM('entri hasil dari isian siswa'!CD109:CN109))</f>
        <v/>
      </c>
      <c r="AE109" t="str">
        <f>IF($B109="","",SUM('entri hasil dari isian siswa'!CO109:CY109))</f>
        <v/>
      </c>
      <c r="AF109" t="str">
        <f>IF($B109="","",SUM('entri hasil dari isian siswa'!CZ109:DJ109))</f>
        <v/>
      </c>
      <c r="AG109" t="str">
        <f>IF($B109="","",SUM('entri hasil dari isian siswa'!DK109:DU109))</f>
        <v/>
      </c>
      <c r="AH109" t="str">
        <f>IF($B109="","",SUM('entri hasil dari isian siswa'!DV109:EF109))</f>
        <v/>
      </c>
      <c r="AI109" t="str">
        <f>IF($B109="","",SUM('entri hasil dari isian siswa'!EG109:ET109))</f>
        <v/>
      </c>
      <c r="AJ109" t="str">
        <f>IF($B109="","",SUM('entri hasil dari isian siswa'!EU109:FH109))</f>
        <v/>
      </c>
      <c r="AK109" t="str">
        <f>IF($B109="","",SUM('entri hasil dari isian siswa'!FI109:FV109))</f>
        <v/>
      </c>
      <c r="AL109" t="str">
        <f>IF($B109="","",SUM('entri hasil dari isian siswa'!FW109:GJ109))</f>
        <v/>
      </c>
      <c r="AM109" t="str">
        <f>IF($B109="","",SUM('entri hasil dari isian siswa'!GK109:GX109))</f>
        <v/>
      </c>
      <c r="AN109" t="str">
        <f>IF($B109="","",SUM('entri hasil dari isian siswa'!GY109:HL109))</f>
        <v/>
      </c>
      <c r="AO109" t="str">
        <f>IF($B109="","",'entri hasil dari isian siswa'!HM109+'entri hasil dari isian siswa'!HS109)</f>
        <v/>
      </c>
      <c r="AP109" t="str">
        <f>IF($B109="","",'entri hasil dari isian siswa'!HN109+'entri hasil dari isian siswa'!HT109)</f>
        <v/>
      </c>
      <c r="AQ109" t="str">
        <f>IF($B109="","",'entri hasil dari isian siswa'!HO109+'entri hasil dari isian siswa'!HU109)</f>
        <v/>
      </c>
      <c r="AR109" t="str">
        <f>IF($B109="","",'entri hasil dari isian siswa'!HP109+'entri hasil dari isian siswa'!HV109)</f>
        <v/>
      </c>
      <c r="AS109" t="str">
        <f>IF($B109="","",'entri hasil dari isian siswa'!HQ109+'entri hasil dari isian siswa'!HW109)</f>
        <v/>
      </c>
      <c r="AT109" t="str">
        <f>IF($B109="","",'entri hasil dari isian siswa'!HR109+'entri hasil dari isian siswa'!HX109)</f>
        <v/>
      </c>
      <c r="AU109" s="69" t="str">
        <f t="shared" si="47"/>
        <v/>
      </c>
      <c r="AV109" s="69" t="str">
        <f>IF($AU109="","",IFERROR(VLOOKUP($AU109,'Kunci dari RIASEC'!$J$4:$K$33,2,FALSE),""))</f>
        <v/>
      </c>
    </row>
    <row r="110" spans="1:48">
      <c r="A110">
        <f t="shared" si="36"/>
        <v>106</v>
      </c>
      <c r="B110" t="str">
        <f>IF('entri hasil dari isian siswa'!B110="","",'entri hasil dari isian siswa'!B110)</f>
        <v/>
      </c>
      <c r="C110" t="str">
        <f>IF('entri hasil dari isian siswa'!C110="","",'entri hasil dari isian siswa'!C110)</f>
        <v/>
      </c>
      <c r="D110" t="str">
        <f>IF('entri hasil dari isian siswa'!D110="","",'entri hasil dari isian siswa'!D110)</f>
        <v/>
      </c>
      <c r="E110" t="str">
        <f t="shared" si="37"/>
        <v/>
      </c>
      <c r="F110" t="str">
        <f t="shared" si="38"/>
        <v/>
      </c>
      <c r="G110" t="str">
        <f t="shared" si="39"/>
        <v/>
      </c>
      <c r="H110" t="str">
        <f t="shared" si="40"/>
        <v/>
      </c>
      <c r="I110" t="str">
        <f t="shared" si="41"/>
        <v/>
      </c>
      <c r="J110" t="str">
        <f t="shared" si="42"/>
        <v/>
      </c>
      <c r="K110" t="str">
        <f>IF($V110&lt;&gt;"OK","",RANK(E110,$E110:$J110,0)+COUNTIF($E110:E110,E110)-1)</f>
        <v/>
      </c>
      <c r="L110" t="str">
        <f>IF($V110&lt;&gt;"OK","",RANK(F110,$E110:$J110,0)+COUNTIF($E110:F110,F110)-1)</f>
        <v/>
      </c>
      <c r="M110" t="str">
        <f>IF($V110&lt;&gt;"OK","",RANK(G110,$E110:$J110,0)+COUNTIF($E110:G110,G110)-1)</f>
        <v/>
      </c>
      <c r="N110" t="str">
        <f>IF($V110&lt;&gt;"OK","",RANK(H110,$E110:$J110,0)+COUNTIF($E110:H110,H110)-1)</f>
        <v/>
      </c>
      <c r="O110" t="str">
        <f>IF($V110&lt;&gt;"OK","",RANK(I110,$E110:$J110,0)+COUNTIF($E110:I110,I110)-1)</f>
        <v/>
      </c>
      <c r="P110" t="str">
        <f>IF($V110&lt;&gt;"OK","",RANK(J110,$E110:$J110,0)+COUNTIF($E110:J110,J110)-1)</f>
        <v/>
      </c>
      <c r="Q110" t="str">
        <f t="shared" si="43"/>
        <v/>
      </c>
      <c r="R110" t="str">
        <f t="shared" si="44"/>
        <v/>
      </c>
      <c r="S110" t="str">
        <f t="shared" si="45"/>
        <v/>
      </c>
      <c r="T110" t="str">
        <f t="shared" si="46"/>
        <v/>
      </c>
      <c r="U110" s="1" t="str">
        <f>IF($T110="","",IFERROR(VLOOKUP($T110,'Kunci dari RIASEC'!$A$4:$B$123,2,FALSE),"Rekomendasi belum tersedia"))</f>
        <v/>
      </c>
      <c r="V110" t="str">
        <f>IF('entri hasil dari isian siswa'!B110="","",'entri hasil dari isian siswa'!HY110)</f>
        <v/>
      </c>
      <c r="W110" t="str">
        <f>IF($B110="","",SUM('entri hasil dari isian siswa'!E110:O110))</f>
        <v/>
      </c>
      <c r="X110" t="str">
        <f>IF($B110="","",SUM('entri hasil dari isian siswa'!P110:Z110))</f>
        <v/>
      </c>
      <c r="Y110" t="str">
        <f>IF($B110="","",SUM('entri hasil dari isian siswa'!AA110:AK110))</f>
        <v/>
      </c>
      <c r="Z110" t="str">
        <f>IF($B110="","",SUM('entri hasil dari isian siswa'!AL110:AV110))</f>
        <v/>
      </c>
      <c r="AA110" t="str">
        <f>IF($B110="","",SUM('entri hasil dari isian siswa'!AW110:BG110))</f>
        <v/>
      </c>
      <c r="AB110" t="str">
        <f>IF($B110="","",SUM('entri hasil dari isian siswa'!BH110:BR110))</f>
        <v/>
      </c>
      <c r="AC110" t="str">
        <f>IF($B110="","",SUM('entri hasil dari isian siswa'!BS110:CC110))</f>
        <v/>
      </c>
      <c r="AD110" t="str">
        <f>IF($B110="","",SUM('entri hasil dari isian siswa'!CD110:CN110))</f>
        <v/>
      </c>
      <c r="AE110" t="str">
        <f>IF($B110="","",SUM('entri hasil dari isian siswa'!CO110:CY110))</f>
        <v/>
      </c>
      <c r="AF110" t="str">
        <f>IF($B110="","",SUM('entri hasil dari isian siswa'!CZ110:DJ110))</f>
        <v/>
      </c>
      <c r="AG110" t="str">
        <f>IF($B110="","",SUM('entri hasil dari isian siswa'!DK110:DU110))</f>
        <v/>
      </c>
      <c r="AH110" t="str">
        <f>IF($B110="","",SUM('entri hasil dari isian siswa'!DV110:EF110))</f>
        <v/>
      </c>
      <c r="AI110" t="str">
        <f>IF($B110="","",SUM('entri hasil dari isian siswa'!EG110:ET110))</f>
        <v/>
      </c>
      <c r="AJ110" t="str">
        <f>IF($B110="","",SUM('entri hasil dari isian siswa'!EU110:FH110))</f>
        <v/>
      </c>
      <c r="AK110" t="str">
        <f>IF($B110="","",SUM('entri hasil dari isian siswa'!FI110:FV110))</f>
        <v/>
      </c>
      <c r="AL110" t="str">
        <f>IF($B110="","",SUM('entri hasil dari isian siswa'!FW110:GJ110))</f>
        <v/>
      </c>
      <c r="AM110" t="str">
        <f>IF($B110="","",SUM('entri hasil dari isian siswa'!GK110:GX110))</f>
        <v/>
      </c>
      <c r="AN110" t="str">
        <f>IF($B110="","",SUM('entri hasil dari isian siswa'!GY110:HL110))</f>
        <v/>
      </c>
      <c r="AO110" t="str">
        <f>IF($B110="","",'entri hasil dari isian siswa'!HM110+'entri hasil dari isian siswa'!HS110)</f>
        <v/>
      </c>
      <c r="AP110" t="str">
        <f>IF($B110="","",'entri hasil dari isian siswa'!HN110+'entri hasil dari isian siswa'!HT110)</f>
        <v/>
      </c>
      <c r="AQ110" t="str">
        <f>IF($B110="","",'entri hasil dari isian siswa'!HO110+'entri hasil dari isian siswa'!HU110)</f>
        <v/>
      </c>
      <c r="AR110" t="str">
        <f>IF($B110="","",'entri hasil dari isian siswa'!HP110+'entri hasil dari isian siswa'!HV110)</f>
        <v/>
      </c>
      <c r="AS110" t="str">
        <f>IF($B110="","",'entri hasil dari isian siswa'!HQ110+'entri hasil dari isian siswa'!HW110)</f>
        <v/>
      </c>
      <c r="AT110" t="str">
        <f>IF($B110="","",'entri hasil dari isian siswa'!HR110+'entri hasil dari isian siswa'!HX110)</f>
        <v/>
      </c>
      <c r="AU110" s="69" t="str">
        <f t="shared" si="47"/>
        <v/>
      </c>
      <c r="AV110" s="69" t="str">
        <f>IF($AU110="","",IFERROR(VLOOKUP($AU110,'Kunci dari RIASEC'!$J$4:$K$33,2,FALSE),""))</f>
        <v/>
      </c>
    </row>
    <row r="111" spans="1:48">
      <c r="A111">
        <f t="shared" si="36"/>
        <v>107</v>
      </c>
      <c r="B111" t="str">
        <f>IF('entri hasil dari isian siswa'!B111="","",'entri hasil dari isian siswa'!B111)</f>
        <v/>
      </c>
      <c r="C111" t="str">
        <f>IF('entri hasil dari isian siswa'!C111="","",'entri hasil dari isian siswa'!C111)</f>
        <v/>
      </c>
      <c r="D111" t="str">
        <f>IF('entri hasil dari isian siswa'!D111="","",'entri hasil dari isian siswa'!D111)</f>
        <v/>
      </c>
      <c r="E111" t="str">
        <f t="shared" si="37"/>
        <v/>
      </c>
      <c r="F111" t="str">
        <f t="shared" si="38"/>
        <v/>
      </c>
      <c r="G111" t="str">
        <f t="shared" si="39"/>
        <v/>
      </c>
      <c r="H111" t="str">
        <f t="shared" si="40"/>
        <v/>
      </c>
      <c r="I111" t="str">
        <f t="shared" si="41"/>
        <v/>
      </c>
      <c r="J111" t="str">
        <f t="shared" si="42"/>
        <v/>
      </c>
      <c r="K111" t="str">
        <f>IF($V111&lt;&gt;"OK","",RANK(E111,$E111:$J111,0)+COUNTIF($E111:E111,E111)-1)</f>
        <v/>
      </c>
      <c r="L111" t="str">
        <f>IF($V111&lt;&gt;"OK","",RANK(F111,$E111:$J111,0)+COUNTIF($E111:F111,F111)-1)</f>
        <v/>
      </c>
      <c r="M111" t="str">
        <f>IF($V111&lt;&gt;"OK","",RANK(G111,$E111:$J111,0)+COUNTIF($E111:G111,G111)-1)</f>
        <v/>
      </c>
      <c r="N111" t="str">
        <f>IF($V111&lt;&gt;"OK","",RANK(H111,$E111:$J111,0)+COUNTIF($E111:H111,H111)-1)</f>
        <v/>
      </c>
      <c r="O111" t="str">
        <f>IF($V111&lt;&gt;"OK","",RANK(I111,$E111:$J111,0)+COUNTIF($E111:I111,I111)-1)</f>
        <v/>
      </c>
      <c r="P111" t="str">
        <f>IF($V111&lt;&gt;"OK","",RANK(J111,$E111:$J111,0)+COUNTIF($E111:J111,J111)-1)</f>
        <v/>
      </c>
      <c r="Q111" t="str">
        <f t="shared" si="43"/>
        <v/>
      </c>
      <c r="R111" t="str">
        <f t="shared" si="44"/>
        <v/>
      </c>
      <c r="S111" t="str">
        <f t="shared" si="45"/>
        <v/>
      </c>
      <c r="T111" t="str">
        <f t="shared" si="46"/>
        <v/>
      </c>
      <c r="U111" s="1" t="str">
        <f>IF($T111="","",IFERROR(VLOOKUP($T111,'Kunci dari RIASEC'!$A$4:$B$123,2,FALSE),"Rekomendasi belum tersedia"))</f>
        <v/>
      </c>
      <c r="V111" t="str">
        <f>IF('entri hasil dari isian siswa'!B111="","",'entri hasil dari isian siswa'!HY111)</f>
        <v/>
      </c>
      <c r="W111" t="str">
        <f>IF($B111="","",SUM('entri hasil dari isian siswa'!E111:O111))</f>
        <v/>
      </c>
      <c r="X111" t="str">
        <f>IF($B111="","",SUM('entri hasil dari isian siswa'!P111:Z111))</f>
        <v/>
      </c>
      <c r="Y111" t="str">
        <f>IF($B111="","",SUM('entri hasil dari isian siswa'!AA111:AK111))</f>
        <v/>
      </c>
      <c r="Z111" t="str">
        <f>IF($B111="","",SUM('entri hasil dari isian siswa'!AL111:AV111))</f>
        <v/>
      </c>
      <c r="AA111" t="str">
        <f>IF($B111="","",SUM('entri hasil dari isian siswa'!AW111:BG111))</f>
        <v/>
      </c>
      <c r="AB111" t="str">
        <f>IF($B111="","",SUM('entri hasil dari isian siswa'!BH111:BR111))</f>
        <v/>
      </c>
      <c r="AC111" t="str">
        <f>IF($B111="","",SUM('entri hasil dari isian siswa'!BS111:CC111))</f>
        <v/>
      </c>
      <c r="AD111" t="str">
        <f>IF($B111="","",SUM('entri hasil dari isian siswa'!CD111:CN111))</f>
        <v/>
      </c>
      <c r="AE111" t="str">
        <f>IF($B111="","",SUM('entri hasil dari isian siswa'!CO111:CY111))</f>
        <v/>
      </c>
      <c r="AF111" t="str">
        <f>IF($B111="","",SUM('entri hasil dari isian siswa'!CZ111:DJ111))</f>
        <v/>
      </c>
      <c r="AG111" t="str">
        <f>IF($B111="","",SUM('entri hasil dari isian siswa'!DK111:DU111))</f>
        <v/>
      </c>
      <c r="AH111" t="str">
        <f>IF($B111="","",SUM('entri hasil dari isian siswa'!DV111:EF111))</f>
        <v/>
      </c>
      <c r="AI111" t="str">
        <f>IF($B111="","",SUM('entri hasil dari isian siswa'!EG111:ET111))</f>
        <v/>
      </c>
      <c r="AJ111" t="str">
        <f>IF($B111="","",SUM('entri hasil dari isian siswa'!EU111:FH111))</f>
        <v/>
      </c>
      <c r="AK111" t="str">
        <f>IF($B111="","",SUM('entri hasil dari isian siswa'!FI111:FV111))</f>
        <v/>
      </c>
      <c r="AL111" t="str">
        <f>IF($B111="","",SUM('entri hasil dari isian siswa'!FW111:GJ111))</f>
        <v/>
      </c>
      <c r="AM111" t="str">
        <f>IF($B111="","",SUM('entri hasil dari isian siswa'!GK111:GX111))</f>
        <v/>
      </c>
      <c r="AN111" t="str">
        <f>IF($B111="","",SUM('entri hasil dari isian siswa'!GY111:HL111))</f>
        <v/>
      </c>
      <c r="AO111" t="str">
        <f>IF($B111="","",'entri hasil dari isian siswa'!HM111+'entri hasil dari isian siswa'!HS111)</f>
        <v/>
      </c>
      <c r="AP111" t="str">
        <f>IF($B111="","",'entri hasil dari isian siswa'!HN111+'entri hasil dari isian siswa'!HT111)</f>
        <v/>
      </c>
      <c r="AQ111" t="str">
        <f>IF($B111="","",'entri hasil dari isian siswa'!HO111+'entri hasil dari isian siswa'!HU111)</f>
        <v/>
      </c>
      <c r="AR111" t="str">
        <f>IF($B111="","",'entri hasil dari isian siswa'!HP111+'entri hasil dari isian siswa'!HV111)</f>
        <v/>
      </c>
      <c r="AS111" t="str">
        <f>IF($B111="","",'entri hasil dari isian siswa'!HQ111+'entri hasil dari isian siswa'!HW111)</f>
        <v/>
      </c>
      <c r="AT111" t="str">
        <f>IF($B111="","",'entri hasil dari isian siswa'!HR111+'entri hasil dari isian siswa'!HX111)</f>
        <v/>
      </c>
      <c r="AU111" s="69" t="str">
        <f t="shared" si="47"/>
        <v/>
      </c>
      <c r="AV111" s="69" t="str">
        <f>IF($AU111="","",IFERROR(VLOOKUP($AU111,'Kunci dari RIASEC'!$J$4:$K$33,2,FALSE),""))</f>
        <v/>
      </c>
    </row>
    <row r="112" spans="1:48">
      <c r="A112">
        <f t="shared" si="36"/>
        <v>108</v>
      </c>
      <c r="B112" t="str">
        <f>IF('entri hasil dari isian siswa'!B112="","",'entri hasil dari isian siswa'!B112)</f>
        <v/>
      </c>
      <c r="C112" t="str">
        <f>IF('entri hasil dari isian siswa'!C112="","",'entri hasil dari isian siswa'!C112)</f>
        <v/>
      </c>
      <c r="D112" t="str">
        <f>IF('entri hasil dari isian siswa'!D112="","",'entri hasil dari isian siswa'!D112)</f>
        <v/>
      </c>
      <c r="E112" t="str">
        <f t="shared" si="37"/>
        <v/>
      </c>
      <c r="F112" t="str">
        <f t="shared" si="38"/>
        <v/>
      </c>
      <c r="G112" t="str">
        <f t="shared" si="39"/>
        <v/>
      </c>
      <c r="H112" t="str">
        <f t="shared" si="40"/>
        <v/>
      </c>
      <c r="I112" t="str">
        <f t="shared" si="41"/>
        <v/>
      </c>
      <c r="J112" t="str">
        <f t="shared" si="42"/>
        <v/>
      </c>
      <c r="K112" t="str">
        <f>IF($V112&lt;&gt;"OK","",RANK(E112,$E112:$J112,0)+COUNTIF($E112:E112,E112)-1)</f>
        <v/>
      </c>
      <c r="L112" t="str">
        <f>IF($V112&lt;&gt;"OK","",RANK(F112,$E112:$J112,0)+COUNTIF($E112:F112,F112)-1)</f>
        <v/>
      </c>
      <c r="M112" t="str">
        <f>IF($V112&lt;&gt;"OK","",RANK(G112,$E112:$J112,0)+COUNTIF($E112:G112,G112)-1)</f>
        <v/>
      </c>
      <c r="N112" t="str">
        <f>IF($V112&lt;&gt;"OK","",RANK(H112,$E112:$J112,0)+COUNTIF($E112:H112,H112)-1)</f>
        <v/>
      </c>
      <c r="O112" t="str">
        <f>IF($V112&lt;&gt;"OK","",RANK(I112,$E112:$J112,0)+COUNTIF($E112:I112,I112)-1)</f>
        <v/>
      </c>
      <c r="P112" t="str">
        <f>IF($V112&lt;&gt;"OK","",RANK(J112,$E112:$J112,0)+COUNTIF($E112:J112,J112)-1)</f>
        <v/>
      </c>
      <c r="Q112" t="str">
        <f t="shared" si="43"/>
        <v/>
      </c>
      <c r="R112" t="str">
        <f t="shared" si="44"/>
        <v/>
      </c>
      <c r="S112" t="str">
        <f t="shared" si="45"/>
        <v/>
      </c>
      <c r="T112" t="str">
        <f t="shared" si="46"/>
        <v/>
      </c>
      <c r="U112" s="1" t="str">
        <f>IF($T112="","",IFERROR(VLOOKUP($T112,'Kunci dari RIASEC'!$A$4:$B$123,2,FALSE),"Rekomendasi belum tersedia"))</f>
        <v/>
      </c>
      <c r="V112" t="str">
        <f>IF('entri hasil dari isian siswa'!B112="","",'entri hasil dari isian siswa'!HY112)</f>
        <v/>
      </c>
      <c r="W112" t="str">
        <f>IF($B112="","",SUM('entri hasil dari isian siswa'!E112:O112))</f>
        <v/>
      </c>
      <c r="X112" t="str">
        <f>IF($B112="","",SUM('entri hasil dari isian siswa'!P112:Z112))</f>
        <v/>
      </c>
      <c r="Y112" t="str">
        <f>IF($B112="","",SUM('entri hasil dari isian siswa'!AA112:AK112))</f>
        <v/>
      </c>
      <c r="Z112" t="str">
        <f>IF($B112="","",SUM('entri hasil dari isian siswa'!AL112:AV112))</f>
        <v/>
      </c>
      <c r="AA112" t="str">
        <f>IF($B112="","",SUM('entri hasil dari isian siswa'!AW112:BG112))</f>
        <v/>
      </c>
      <c r="AB112" t="str">
        <f>IF($B112="","",SUM('entri hasil dari isian siswa'!BH112:BR112))</f>
        <v/>
      </c>
      <c r="AC112" t="str">
        <f>IF($B112="","",SUM('entri hasil dari isian siswa'!BS112:CC112))</f>
        <v/>
      </c>
      <c r="AD112" t="str">
        <f>IF($B112="","",SUM('entri hasil dari isian siswa'!CD112:CN112))</f>
        <v/>
      </c>
      <c r="AE112" t="str">
        <f>IF($B112="","",SUM('entri hasil dari isian siswa'!CO112:CY112))</f>
        <v/>
      </c>
      <c r="AF112" t="str">
        <f>IF($B112="","",SUM('entri hasil dari isian siswa'!CZ112:DJ112))</f>
        <v/>
      </c>
      <c r="AG112" t="str">
        <f>IF($B112="","",SUM('entri hasil dari isian siswa'!DK112:DU112))</f>
        <v/>
      </c>
      <c r="AH112" t="str">
        <f>IF($B112="","",SUM('entri hasil dari isian siswa'!DV112:EF112))</f>
        <v/>
      </c>
      <c r="AI112" t="str">
        <f>IF($B112="","",SUM('entri hasil dari isian siswa'!EG112:ET112))</f>
        <v/>
      </c>
      <c r="AJ112" t="str">
        <f>IF($B112="","",SUM('entri hasil dari isian siswa'!EU112:FH112))</f>
        <v/>
      </c>
      <c r="AK112" t="str">
        <f>IF($B112="","",SUM('entri hasil dari isian siswa'!FI112:FV112))</f>
        <v/>
      </c>
      <c r="AL112" t="str">
        <f>IF($B112="","",SUM('entri hasil dari isian siswa'!FW112:GJ112))</f>
        <v/>
      </c>
      <c r="AM112" t="str">
        <f>IF($B112="","",SUM('entri hasil dari isian siswa'!GK112:GX112))</f>
        <v/>
      </c>
      <c r="AN112" t="str">
        <f>IF($B112="","",SUM('entri hasil dari isian siswa'!GY112:HL112))</f>
        <v/>
      </c>
      <c r="AO112" t="str">
        <f>IF($B112="","",'entri hasil dari isian siswa'!HM112+'entri hasil dari isian siswa'!HS112)</f>
        <v/>
      </c>
      <c r="AP112" t="str">
        <f>IF($B112="","",'entri hasil dari isian siswa'!HN112+'entri hasil dari isian siswa'!HT112)</f>
        <v/>
      </c>
      <c r="AQ112" t="str">
        <f>IF($B112="","",'entri hasil dari isian siswa'!HO112+'entri hasil dari isian siswa'!HU112)</f>
        <v/>
      </c>
      <c r="AR112" t="str">
        <f>IF($B112="","",'entri hasil dari isian siswa'!HP112+'entri hasil dari isian siswa'!HV112)</f>
        <v/>
      </c>
      <c r="AS112" t="str">
        <f>IF($B112="","",'entri hasil dari isian siswa'!HQ112+'entri hasil dari isian siswa'!HW112)</f>
        <v/>
      </c>
      <c r="AT112" t="str">
        <f>IF($B112="","",'entri hasil dari isian siswa'!HR112+'entri hasil dari isian siswa'!HX112)</f>
        <v/>
      </c>
      <c r="AU112" s="69" t="str">
        <f t="shared" si="47"/>
        <v/>
      </c>
      <c r="AV112" s="69" t="str">
        <f>IF($AU112="","",IFERROR(VLOOKUP($AU112,'Kunci dari RIASEC'!$J$4:$K$33,2,FALSE),""))</f>
        <v/>
      </c>
    </row>
    <row r="113" spans="1:48">
      <c r="A113">
        <f t="shared" si="36"/>
        <v>109</v>
      </c>
      <c r="B113" t="str">
        <f>IF('entri hasil dari isian siswa'!B113="","",'entri hasil dari isian siswa'!B113)</f>
        <v/>
      </c>
      <c r="C113" t="str">
        <f>IF('entri hasil dari isian siswa'!C113="","",'entri hasil dari isian siswa'!C113)</f>
        <v/>
      </c>
      <c r="D113" t="str">
        <f>IF('entri hasil dari isian siswa'!D113="","",'entri hasil dari isian siswa'!D113)</f>
        <v/>
      </c>
      <c r="E113" t="str">
        <f t="shared" si="37"/>
        <v/>
      </c>
      <c r="F113" t="str">
        <f t="shared" si="38"/>
        <v/>
      </c>
      <c r="G113" t="str">
        <f t="shared" si="39"/>
        <v/>
      </c>
      <c r="H113" t="str">
        <f t="shared" si="40"/>
        <v/>
      </c>
      <c r="I113" t="str">
        <f t="shared" si="41"/>
        <v/>
      </c>
      <c r="J113" t="str">
        <f t="shared" si="42"/>
        <v/>
      </c>
      <c r="K113" t="str">
        <f>IF($V113&lt;&gt;"OK","",RANK(E113,$E113:$J113,0)+COUNTIF($E113:E113,E113)-1)</f>
        <v/>
      </c>
      <c r="L113" t="str">
        <f>IF($V113&lt;&gt;"OK","",RANK(F113,$E113:$J113,0)+COUNTIF($E113:F113,F113)-1)</f>
        <v/>
      </c>
      <c r="M113" t="str">
        <f>IF($V113&lt;&gt;"OK","",RANK(G113,$E113:$J113,0)+COUNTIF($E113:G113,G113)-1)</f>
        <v/>
      </c>
      <c r="N113" t="str">
        <f>IF($V113&lt;&gt;"OK","",RANK(H113,$E113:$J113,0)+COUNTIF($E113:H113,H113)-1)</f>
        <v/>
      </c>
      <c r="O113" t="str">
        <f>IF($V113&lt;&gt;"OK","",RANK(I113,$E113:$J113,0)+COUNTIF($E113:I113,I113)-1)</f>
        <v/>
      </c>
      <c r="P113" t="str">
        <f>IF($V113&lt;&gt;"OK","",RANK(J113,$E113:$J113,0)+COUNTIF($E113:J113,J113)-1)</f>
        <v/>
      </c>
      <c r="Q113" t="str">
        <f t="shared" si="43"/>
        <v/>
      </c>
      <c r="R113" t="str">
        <f t="shared" si="44"/>
        <v/>
      </c>
      <c r="S113" t="str">
        <f t="shared" si="45"/>
        <v/>
      </c>
      <c r="T113" t="str">
        <f t="shared" si="46"/>
        <v/>
      </c>
      <c r="U113" s="1" t="str">
        <f>IF($T113="","",IFERROR(VLOOKUP($T113,'Kunci dari RIASEC'!$A$4:$B$123,2,FALSE),"Rekomendasi belum tersedia"))</f>
        <v/>
      </c>
      <c r="V113" t="str">
        <f>IF('entri hasil dari isian siswa'!B113="","",'entri hasil dari isian siswa'!HY113)</f>
        <v/>
      </c>
      <c r="W113" t="str">
        <f>IF($B113="","",SUM('entri hasil dari isian siswa'!E113:O113))</f>
        <v/>
      </c>
      <c r="X113" t="str">
        <f>IF($B113="","",SUM('entri hasil dari isian siswa'!P113:Z113))</f>
        <v/>
      </c>
      <c r="Y113" t="str">
        <f>IF($B113="","",SUM('entri hasil dari isian siswa'!AA113:AK113))</f>
        <v/>
      </c>
      <c r="Z113" t="str">
        <f>IF($B113="","",SUM('entri hasil dari isian siswa'!AL113:AV113))</f>
        <v/>
      </c>
      <c r="AA113" t="str">
        <f>IF($B113="","",SUM('entri hasil dari isian siswa'!AW113:BG113))</f>
        <v/>
      </c>
      <c r="AB113" t="str">
        <f>IF($B113="","",SUM('entri hasil dari isian siswa'!BH113:BR113))</f>
        <v/>
      </c>
      <c r="AC113" t="str">
        <f>IF($B113="","",SUM('entri hasil dari isian siswa'!BS113:CC113))</f>
        <v/>
      </c>
      <c r="AD113" t="str">
        <f>IF($B113="","",SUM('entri hasil dari isian siswa'!CD113:CN113))</f>
        <v/>
      </c>
      <c r="AE113" t="str">
        <f>IF($B113="","",SUM('entri hasil dari isian siswa'!CO113:CY113))</f>
        <v/>
      </c>
      <c r="AF113" t="str">
        <f>IF($B113="","",SUM('entri hasil dari isian siswa'!CZ113:DJ113))</f>
        <v/>
      </c>
      <c r="AG113" t="str">
        <f>IF($B113="","",SUM('entri hasil dari isian siswa'!DK113:DU113))</f>
        <v/>
      </c>
      <c r="AH113" t="str">
        <f>IF($B113="","",SUM('entri hasil dari isian siswa'!DV113:EF113))</f>
        <v/>
      </c>
      <c r="AI113" t="str">
        <f>IF($B113="","",SUM('entri hasil dari isian siswa'!EG113:ET113))</f>
        <v/>
      </c>
      <c r="AJ113" t="str">
        <f>IF($B113="","",SUM('entri hasil dari isian siswa'!EU113:FH113))</f>
        <v/>
      </c>
      <c r="AK113" t="str">
        <f>IF($B113="","",SUM('entri hasil dari isian siswa'!FI113:FV113))</f>
        <v/>
      </c>
      <c r="AL113" t="str">
        <f>IF($B113="","",SUM('entri hasil dari isian siswa'!FW113:GJ113))</f>
        <v/>
      </c>
      <c r="AM113" t="str">
        <f>IF($B113="","",SUM('entri hasil dari isian siswa'!GK113:GX113))</f>
        <v/>
      </c>
      <c r="AN113" t="str">
        <f>IF($B113="","",SUM('entri hasil dari isian siswa'!GY113:HL113))</f>
        <v/>
      </c>
      <c r="AO113" t="str">
        <f>IF($B113="","",'entri hasil dari isian siswa'!HM113+'entri hasil dari isian siswa'!HS113)</f>
        <v/>
      </c>
      <c r="AP113" t="str">
        <f>IF($B113="","",'entri hasil dari isian siswa'!HN113+'entri hasil dari isian siswa'!HT113)</f>
        <v/>
      </c>
      <c r="AQ113" t="str">
        <f>IF($B113="","",'entri hasil dari isian siswa'!HO113+'entri hasil dari isian siswa'!HU113)</f>
        <v/>
      </c>
      <c r="AR113" t="str">
        <f>IF($B113="","",'entri hasil dari isian siswa'!HP113+'entri hasil dari isian siswa'!HV113)</f>
        <v/>
      </c>
      <c r="AS113" t="str">
        <f>IF($B113="","",'entri hasil dari isian siswa'!HQ113+'entri hasil dari isian siswa'!HW113)</f>
        <v/>
      </c>
      <c r="AT113" t="str">
        <f>IF($B113="","",'entri hasil dari isian siswa'!HR113+'entri hasil dari isian siswa'!HX113)</f>
        <v/>
      </c>
      <c r="AU113" s="69" t="str">
        <f t="shared" si="47"/>
        <v/>
      </c>
      <c r="AV113" s="69" t="str">
        <f>IF($AU113="","",IFERROR(VLOOKUP($AU113,'Kunci dari RIASEC'!$J$4:$K$33,2,FALSE),""))</f>
        <v/>
      </c>
    </row>
    <row r="114" spans="1:48">
      <c r="A114">
        <f t="shared" si="36"/>
        <v>110</v>
      </c>
      <c r="B114" t="str">
        <f>IF('entri hasil dari isian siswa'!B114="","",'entri hasil dari isian siswa'!B114)</f>
        <v/>
      </c>
      <c r="C114" t="str">
        <f>IF('entri hasil dari isian siswa'!C114="","",'entri hasil dari isian siswa'!C114)</f>
        <v/>
      </c>
      <c r="D114" t="str">
        <f>IF('entri hasil dari isian siswa'!D114="","",'entri hasil dari isian siswa'!D114)</f>
        <v/>
      </c>
      <c r="E114" t="str">
        <f t="shared" si="37"/>
        <v/>
      </c>
      <c r="F114" t="str">
        <f t="shared" si="38"/>
        <v/>
      </c>
      <c r="G114" t="str">
        <f t="shared" si="39"/>
        <v/>
      </c>
      <c r="H114" t="str">
        <f t="shared" si="40"/>
        <v/>
      </c>
      <c r="I114" t="str">
        <f t="shared" si="41"/>
        <v/>
      </c>
      <c r="J114" t="str">
        <f t="shared" si="42"/>
        <v/>
      </c>
      <c r="K114" t="str">
        <f>IF($V114&lt;&gt;"OK","",RANK(E114,$E114:$J114,0)+COUNTIF($E114:E114,E114)-1)</f>
        <v/>
      </c>
      <c r="L114" t="str">
        <f>IF($V114&lt;&gt;"OK","",RANK(F114,$E114:$J114,0)+COUNTIF($E114:F114,F114)-1)</f>
        <v/>
      </c>
      <c r="M114" t="str">
        <f>IF($V114&lt;&gt;"OK","",RANK(G114,$E114:$J114,0)+COUNTIF($E114:G114,G114)-1)</f>
        <v/>
      </c>
      <c r="N114" t="str">
        <f>IF($V114&lt;&gt;"OK","",RANK(H114,$E114:$J114,0)+COUNTIF($E114:H114,H114)-1)</f>
        <v/>
      </c>
      <c r="O114" t="str">
        <f>IF($V114&lt;&gt;"OK","",RANK(I114,$E114:$J114,0)+COUNTIF($E114:I114,I114)-1)</f>
        <v/>
      </c>
      <c r="P114" t="str">
        <f>IF($V114&lt;&gt;"OK","",RANK(J114,$E114:$J114,0)+COUNTIF($E114:J114,J114)-1)</f>
        <v/>
      </c>
      <c r="Q114" t="str">
        <f t="shared" si="43"/>
        <v/>
      </c>
      <c r="R114" t="str">
        <f t="shared" si="44"/>
        <v/>
      </c>
      <c r="S114" t="str">
        <f t="shared" si="45"/>
        <v/>
      </c>
      <c r="T114" t="str">
        <f t="shared" si="46"/>
        <v/>
      </c>
      <c r="U114" s="1" t="str">
        <f>IF($T114="","",IFERROR(VLOOKUP($T114,'Kunci dari RIASEC'!$A$4:$B$123,2,FALSE),"Rekomendasi belum tersedia"))</f>
        <v/>
      </c>
      <c r="V114" t="str">
        <f>IF('entri hasil dari isian siswa'!B114="","",'entri hasil dari isian siswa'!HY114)</f>
        <v/>
      </c>
      <c r="W114" t="str">
        <f>IF($B114="","",SUM('entri hasil dari isian siswa'!E114:O114))</f>
        <v/>
      </c>
      <c r="X114" t="str">
        <f>IF($B114="","",SUM('entri hasil dari isian siswa'!P114:Z114))</f>
        <v/>
      </c>
      <c r="Y114" t="str">
        <f>IF($B114="","",SUM('entri hasil dari isian siswa'!AA114:AK114))</f>
        <v/>
      </c>
      <c r="Z114" t="str">
        <f>IF($B114="","",SUM('entri hasil dari isian siswa'!AL114:AV114))</f>
        <v/>
      </c>
      <c r="AA114" t="str">
        <f>IF($B114="","",SUM('entri hasil dari isian siswa'!AW114:BG114))</f>
        <v/>
      </c>
      <c r="AB114" t="str">
        <f>IF($B114="","",SUM('entri hasil dari isian siswa'!BH114:BR114))</f>
        <v/>
      </c>
      <c r="AC114" t="str">
        <f>IF($B114="","",SUM('entri hasil dari isian siswa'!BS114:CC114))</f>
        <v/>
      </c>
      <c r="AD114" t="str">
        <f>IF($B114="","",SUM('entri hasil dari isian siswa'!CD114:CN114))</f>
        <v/>
      </c>
      <c r="AE114" t="str">
        <f>IF($B114="","",SUM('entri hasil dari isian siswa'!CO114:CY114))</f>
        <v/>
      </c>
      <c r="AF114" t="str">
        <f>IF($B114="","",SUM('entri hasil dari isian siswa'!CZ114:DJ114))</f>
        <v/>
      </c>
      <c r="AG114" t="str">
        <f>IF($B114="","",SUM('entri hasil dari isian siswa'!DK114:DU114))</f>
        <v/>
      </c>
      <c r="AH114" t="str">
        <f>IF($B114="","",SUM('entri hasil dari isian siswa'!DV114:EF114))</f>
        <v/>
      </c>
      <c r="AI114" t="str">
        <f>IF($B114="","",SUM('entri hasil dari isian siswa'!EG114:ET114))</f>
        <v/>
      </c>
      <c r="AJ114" t="str">
        <f>IF($B114="","",SUM('entri hasil dari isian siswa'!EU114:FH114))</f>
        <v/>
      </c>
      <c r="AK114" t="str">
        <f>IF($B114="","",SUM('entri hasil dari isian siswa'!FI114:FV114))</f>
        <v/>
      </c>
      <c r="AL114" t="str">
        <f>IF($B114="","",SUM('entri hasil dari isian siswa'!FW114:GJ114))</f>
        <v/>
      </c>
      <c r="AM114" t="str">
        <f>IF($B114="","",SUM('entri hasil dari isian siswa'!GK114:GX114))</f>
        <v/>
      </c>
      <c r="AN114" t="str">
        <f>IF($B114="","",SUM('entri hasil dari isian siswa'!GY114:HL114))</f>
        <v/>
      </c>
      <c r="AO114" t="str">
        <f>IF($B114="","",'entri hasil dari isian siswa'!HM114+'entri hasil dari isian siswa'!HS114)</f>
        <v/>
      </c>
      <c r="AP114" t="str">
        <f>IF($B114="","",'entri hasil dari isian siswa'!HN114+'entri hasil dari isian siswa'!HT114)</f>
        <v/>
      </c>
      <c r="AQ114" t="str">
        <f>IF($B114="","",'entri hasil dari isian siswa'!HO114+'entri hasil dari isian siswa'!HU114)</f>
        <v/>
      </c>
      <c r="AR114" t="str">
        <f>IF($B114="","",'entri hasil dari isian siswa'!HP114+'entri hasil dari isian siswa'!HV114)</f>
        <v/>
      </c>
      <c r="AS114" t="str">
        <f>IF($B114="","",'entri hasil dari isian siswa'!HQ114+'entri hasil dari isian siswa'!HW114)</f>
        <v/>
      </c>
      <c r="AT114" t="str">
        <f>IF($B114="","",'entri hasil dari isian siswa'!HR114+'entri hasil dari isian siswa'!HX114)</f>
        <v/>
      </c>
      <c r="AU114" s="69" t="str">
        <f t="shared" si="47"/>
        <v/>
      </c>
      <c r="AV114" s="69" t="str">
        <f>IF($AU114="","",IFERROR(VLOOKUP($AU114,'Kunci dari RIASEC'!$J$4:$K$33,2,FALSE),""))</f>
        <v/>
      </c>
    </row>
    <row r="115" spans="1:48">
      <c r="A115">
        <f t="shared" si="36"/>
        <v>111</v>
      </c>
      <c r="B115" t="str">
        <f>IF('entri hasil dari isian siswa'!B115="","",'entri hasil dari isian siswa'!B115)</f>
        <v/>
      </c>
      <c r="C115" t="str">
        <f>IF('entri hasil dari isian siswa'!C115="","",'entri hasil dari isian siswa'!C115)</f>
        <v/>
      </c>
      <c r="D115" t="str">
        <f>IF('entri hasil dari isian siswa'!D115="","",'entri hasil dari isian siswa'!D115)</f>
        <v/>
      </c>
      <c r="E115" t="str">
        <f t="shared" si="37"/>
        <v/>
      </c>
      <c r="F115" t="str">
        <f t="shared" si="38"/>
        <v/>
      </c>
      <c r="G115" t="str">
        <f t="shared" si="39"/>
        <v/>
      </c>
      <c r="H115" t="str">
        <f t="shared" si="40"/>
        <v/>
      </c>
      <c r="I115" t="str">
        <f t="shared" si="41"/>
        <v/>
      </c>
      <c r="J115" t="str">
        <f t="shared" si="42"/>
        <v/>
      </c>
      <c r="K115" t="str">
        <f>IF($V115&lt;&gt;"OK","",RANK(E115,$E115:$J115,0)+COUNTIF($E115:E115,E115)-1)</f>
        <v/>
      </c>
      <c r="L115" t="str">
        <f>IF($V115&lt;&gt;"OK","",RANK(F115,$E115:$J115,0)+COUNTIF($E115:F115,F115)-1)</f>
        <v/>
      </c>
      <c r="M115" t="str">
        <f>IF($V115&lt;&gt;"OK","",RANK(G115,$E115:$J115,0)+COUNTIF($E115:G115,G115)-1)</f>
        <v/>
      </c>
      <c r="N115" t="str">
        <f>IF($V115&lt;&gt;"OK","",RANK(H115,$E115:$J115,0)+COUNTIF($E115:H115,H115)-1)</f>
        <v/>
      </c>
      <c r="O115" t="str">
        <f>IF($V115&lt;&gt;"OK","",RANK(I115,$E115:$J115,0)+COUNTIF($E115:I115,I115)-1)</f>
        <v/>
      </c>
      <c r="P115" t="str">
        <f>IF($V115&lt;&gt;"OK","",RANK(J115,$E115:$J115,0)+COUNTIF($E115:J115,J115)-1)</f>
        <v/>
      </c>
      <c r="Q115" t="str">
        <f t="shared" si="43"/>
        <v/>
      </c>
      <c r="R115" t="str">
        <f t="shared" si="44"/>
        <v/>
      </c>
      <c r="S115" t="str">
        <f t="shared" si="45"/>
        <v/>
      </c>
      <c r="T115" t="str">
        <f t="shared" si="46"/>
        <v/>
      </c>
      <c r="U115" s="1" t="str">
        <f>IF($T115="","",IFERROR(VLOOKUP($T115,'Kunci dari RIASEC'!$A$4:$B$123,2,FALSE),"Rekomendasi belum tersedia"))</f>
        <v/>
      </c>
      <c r="V115" t="str">
        <f>IF('entri hasil dari isian siswa'!B115="","",'entri hasil dari isian siswa'!HY115)</f>
        <v/>
      </c>
      <c r="W115" t="str">
        <f>IF($B115="","",SUM('entri hasil dari isian siswa'!E115:O115))</f>
        <v/>
      </c>
      <c r="X115" t="str">
        <f>IF($B115="","",SUM('entri hasil dari isian siswa'!P115:Z115))</f>
        <v/>
      </c>
      <c r="Y115" t="str">
        <f>IF($B115="","",SUM('entri hasil dari isian siswa'!AA115:AK115))</f>
        <v/>
      </c>
      <c r="Z115" t="str">
        <f>IF($B115="","",SUM('entri hasil dari isian siswa'!AL115:AV115))</f>
        <v/>
      </c>
      <c r="AA115" t="str">
        <f>IF($B115="","",SUM('entri hasil dari isian siswa'!AW115:BG115))</f>
        <v/>
      </c>
      <c r="AB115" t="str">
        <f>IF($B115="","",SUM('entri hasil dari isian siswa'!BH115:BR115))</f>
        <v/>
      </c>
      <c r="AC115" t="str">
        <f>IF($B115="","",SUM('entri hasil dari isian siswa'!BS115:CC115))</f>
        <v/>
      </c>
      <c r="AD115" t="str">
        <f>IF($B115="","",SUM('entri hasil dari isian siswa'!CD115:CN115))</f>
        <v/>
      </c>
      <c r="AE115" t="str">
        <f>IF($B115="","",SUM('entri hasil dari isian siswa'!CO115:CY115))</f>
        <v/>
      </c>
      <c r="AF115" t="str">
        <f>IF($B115="","",SUM('entri hasil dari isian siswa'!CZ115:DJ115))</f>
        <v/>
      </c>
      <c r="AG115" t="str">
        <f>IF($B115="","",SUM('entri hasil dari isian siswa'!DK115:DU115))</f>
        <v/>
      </c>
      <c r="AH115" t="str">
        <f>IF($B115="","",SUM('entri hasil dari isian siswa'!DV115:EF115))</f>
        <v/>
      </c>
      <c r="AI115" t="str">
        <f>IF($B115="","",SUM('entri hasil dari isian siswa'!EG115:ET115))</f>
        <v/>
      </c>
      <c r="AJ115" t="str">
        <f>IF($B115="","",SUM('entri hasil dari isian siswa'!EU115:FH115))</f>
        <v/>
      </c>
      <c r="AK115" t="str">
        <f>IF($B115="","",SUM('entri hasil dari isian siswa'!FI115:FV115))</f>
        <v/>
      </c>
      <c r="AL115" t="str">
        <f>IF($B115="","",SUM('entri hasil dari isian siswa'!FW115:GJ115))</f>
        <v/>
      </c>
      <c r="AM115" t="str">
        <f>IF($B115="","",SUM('entri hasil dari isian siswa'!GK115:GX115))</f>
        <v/>
      </c>
      <c r="AN115" t="str">
        <f>IF($B115="","",SUM('entri hasil dari isian siswa'!GY115:HL115))</f>
        <v/>
      </c>
      <c r="AO115" t="str">
        <f>IF($B115="","",'entri hasil dari isian siswa'!HM115+'entri hasil dari isian siswa'!HS115)</f>
        <v/>
      </c>
      <c r="AP115" t="str">
        <f>IF($B115="","",'entri hasil dari isian siswa'!HN115+'entri hasil dari isian siswa'!HT115)</f>
        <v/>
      </c>
      <c r="AQ115" t="str">
        <f>IF($B115="","",'entri hasil dari isian siswa'!HO115+'entri hasil dari isian siswa'!HU115)</f>
        <v/>
      </c>
      <c r="AR115" t="str">
        <f>IF($B115="","",'entri hasil dari isian siswa'!HP115+'entri hasil dari isian siswa'!HV115)</f>
        <v/>
      </c>
      <c r="AS115" t="str">
        <f>IF($B115="","",'entri hasil dari isian siswa'!HQ115+'entri hasil dari isian siswa'!HW115)</f>
        <v/>
      </c>
      <c r="AT115" t="str">
        <f>IF($B115="","",'entri hasil dari isian siswa'!HR115+'entri hasil dari isian siswa'!HX115)</f>
        <v/>
      </c>
      <c r="AU115" s="69" t="str">
        <f t="shared" si="47"/>
        <v/>
      </c>
      <c r="AV115" s="69" t="str">
        <f>IF($AU115="","",IFERROR(VLOOKUP($AU115,'Kunci dari RIASEC'!$J$4:$K$33,2,FALSE),""))</f>
        <v/>
      </c>
    </row>
    <row r="116" spans="1:48">
      <c r="A116">
        <f t="shared" si="36"/>
        <v>112</v>
      </c>
      <c r="B116" t="str">
        <f>IF('entri hasil dari isian siswa'!B116="","",'entri hasil dari isian siswa'!B116)</f>
        <v/>
      </c>
      <c r="C116" t="str">
        <f>IF('entri hasil dari isian siswa'!C116="","",'entri hasil dari isian siswa'!C116)</f>
        <v/>
      </c>
      <c r="D116" t="str">
        <f>IF('entri hasil dari isian siswa'!D116="","",'entri hasil dari isian siswa'!D116)</f>
        <v/>
      </c>
      <c r="E116" t="str">
        <f t="shared" si="37"/>
        <v/>
      </c>
      <c r="F116" t="str">
        <f t="shared" si="38"/>
        <v/>
      </c>
      <c r="G116" t="str">
        <f t="shared" si="39"/>
        <v/>
      </c>
      <c r="H116" t="str">
        <f t="shared" si="40"/>
        <v/>
      </c>
      <c r="I116" t="str">
        <f t="shared" si="41"/>
        <v/>
      </c>
      <c r="J116" t="str">
        <f t="shared" si="42"/>
        <v/>
      </c>
      <c r="K116" t="str">
        <f>IF($V116&lt;&gt;"OK","",RANK(E116,$E116:$J116,0)+COUNTIF($E116:E116,E116)-1)</f>
        <v/>
      </c>
      <c r="L116" t="str">
        <f>IF($V116&lt;&gt;"OK","",RANK(F116,$E116:$J116,0)+COUNTIF($E116:F116,F116)-1)</f>
        <v/>
      </c>
      <c r="M116" t="str">
        <f>IF($V116&lt;&gt;"OK","",RANK(G116,$E116:$J116,0)+COUNTIF($E116:G116,G116)-1)</f>
        <v/>
      </c>
      <c r="N116" t="str">
        <f>IF($V116&lt;&gt;"OK","",RANK(H116,$E116:$J116,0)+COUNTIF($E116:H116,H116)-1)</f>
        <v/>
      </c>
      <c r="O116" t="str">
        <f>IF($V116&lt;&gt;"OK","",RANK(I116,$E116:$J116,0)+COUNTIF($E116:I116,I116)-1)</f>
        <v/>
      </c>
      <c r="P116" t="str">
        <f>IF($V116&lt;&gt;"OK","",RANK(J116,$E116:$J116,0)+COUNTIF($E116:J116,J116)-1)</f>
        <v/>
      </c>
      <c r="Q116" t="str">
        <f t="shared" si="43"/>
        <v/>
      </c>
      <c r="R116" t="str">
        <f t="shared" si="44"/>
        <v/>
      </c>
      <c r="S116" t="str">
        <f t="shared" si="45"/>
        <v/>
      </c>
      <c r="T116" t="str">
        <f t="shared" si="46"/>
        <v/>
      </c>
      <c r="U116" s="1" t="str">
        <f>IF($T116="","",IFERROR(VLOOKUP($T116,'Kunci dari RIASEC'!$A$4:$B$123,2,FALSE),"Rekomendasi belum tersedia"))</f>
        <v/>
      </c>
      <c r="V116" t="str">
        <f>IF('entri hasil dari isian siswa'!B116="","",'entri hasil dari isian siswa'!HY116)</f>
        <v/>
      </c>
      <c r="W116" t="str">
        <f>IF($B116="","",SUM('entri hasil dari isian siswa'!E116:O116))</f>
        <v/>
      </c>
      <c r="X116" t="str">
        <f>IF($B116="","",SUM('entri hasil dari isian siswa'!P116:Z116))</f>
        <v/>
      </c>
      <c r="Y116" t="str">
        <f>IF($B116="","",SUM('entri hasil dari isian siswa'!AA116:AK116))</f>
        <v/>
      </c>
      <c r="Z116" t="str">
        <f>IF($B116="","",SUM('entri hasil dari isian siswa'!AL116:AV116))</f>
        <v/>
      </c>
      <c r="AA116" t="str">
        <f>IF($B116="","",SUM('entri hasil dari isian siswa'!AW116:BG116))</f>
        <v/>
      </c>
      <c r="AB116" t="str">
        <f>IF($B116="","",SUM('entri hasil dari isian siswa'!BH116:BR116))</f>
        <v/>
      </c>
      <c r="AC116" t="str">
        <f>IF($B116="","",SUM('entri hasil dari isian siswa'!BS116:CC116))</f>
        <v/>
      </c>
      <c r="AD116" t="str">
        <f>IF($B116="","",SUM('entri hasil dari isian siswa'!CD116:CN116))</f>
        <v/>
      </c>
      <c r="AE116" t="str">
        <f>IF($B116="","",SUM('entri hasil dari isian siswa'!CO116:CY116))</f>
        <v/>
      </c>
      <c r="AF116" t="str">
        <f>IF($B116="","",SUM('entri hasil dari isian siswa'!CZ116:DJ116))</f>
        <v/>
      </c>
      <c r="AG116" t="str">
        <f>IF($B116="","",SUM('entri hasil dari isian siswa'!DK116:DU116))</f>
        <v/>
      </c>
      <c r="AH116" t="str">
        <f>IF($B116="","",SUM('entri hasil dari isian siswa'!DV116:EF116))</f>
        <v/>
      </c>
      <c r="AI116" t="str">
        <f>IF($B116="","",SUM('entri hasil dari isian siswa'!EG116:ET116))</f>
        <v/>
      </c>
      <c r="AJ116" t="str">
        <f>IF($B116="","",SUM('entri hasil dari isian siswa'!EU116:FH116))</f>
        <v/>
      </c>
      <c r="AK116" t="str">
        <f>IF($B116="","",SUM('entri hasil dari isian siswa'!FI116:FV116))</f>
        <v/>
      </c>
      <c r="AL116" t="str">
        <f>IF($B116="","",SUM('entri hasil dari isian siswa'!FW116:GJ116))</f>
        <v/>
      </c>
      <c r="AM116" t="str">
        <f>IF($B116="","",SUM('entri hasil dari isian siswa'!GK116:GX116))</f>
        <v/>
      </c>
      <c r="AN116" t="str">
        <f>IF($B116="","",SUM('entri hasil dari isian siswa'!GY116:HL116))</f>
        <v/>
      </c>
      <c r="AO116" t="str">
        <f>IF($B116="","",'entri hasil dari isian siswa'!HM116+'entri hasil dari isian siswa'!HS116)</f>
        <v/>
      </c>
      <c r="AP116" t="str">
        <f>IF($B116="","",'entri hasil dari isian siswa'!HN116+'entri hasil dari isian siswa'!HT116)</f>
        <v/>
      </c>
      <c r="AQ116" t="str">
        <f>IF($B116="","",'entri hasil dari isian siswa'!HO116+'entri hasil dari isian siswa'!HU116)</f>
        <v/>
      </c>
      <c r="AR116" t="str">
        <f>IF($B116="","",'entri hasil dari isian siswa'!HP116+'entri hasil dari isian siswa'!HV116)</f>
        <v/>
      </c>
      <c r="AS116" t="str">
        <f>IF($B116="","",'entri hasil dari isian siswa'!HQ116+'entri hasil dari isian siswa'!HW116)</f>
        <v/>
      </c>
      <c r="AT116" t="str">
        <f>IF($B116="","",'entri hasil dari isian siswa'!HR116+'entri hasil dari isian siswa'!HX116)</f>
        <v/>
      </c>
      <c r="AU116" s="69" t="str">
        <f t="shared" si="47"/>
        <v/>
      </c>
      <c r="AV116" s="69" t="str">
        <f>IF($AU116="","",IFERROR(VLOOKUP($AU116,'Kunci dari RIASEC'!$J$4:$K$33,2,FALSE),""))</f>
        <v/>
      </c>
    </row>
    <row r="117" spans="1:48">
      <c r="A117">
        <f t="shared" si="36"/>
        <v>113</v>
      </c>
      <c r="B117" t="str">
        <f>IF('entri hasil dari isian siswa'!B117="","",'entri hasil dari isian siswa'!B117)</f>
        <v/>
      </c>
      <c r="C117" t="str">
        <f>IF('entri hasil dari isian siswa'!C117="","",'entri hasil dari isian siswa'!C117)</f>
        <v/>
      </c>
      <c r="D117" t="str">
        <f>IF('entri hasil dari isian siswa'!D117="","",'entri hasil dari isian siswa'!D117)</f>
        <v/>
      </c>
      <c r="E117" t="str">
        <f t="shared" si="37"/>
        <v/>
      </c>
      <c r="F117" t="str">
        <f t="shared" si="38"/>
        <v/>
      </c>
      <c r="G117" t="str">
        <f t="shared" si="39"/>
        <v/>
      </c>
      <c r="H117" t="str">
        <f t="shared" si="40"/>
        <v/>
      </c>
      <c r="I117" t="str">
        <f t="shared" si="41"/>
        <v/>
      </c>
      <c r="J117" t="str">
        <f t="shared" si="42"/>
        <v/>
      </c>
      <c r="K117" t="str">
        <f>IF($V117&lt;&gt;"OK","",RANK(E117,$E117:$J117,0)+COUNTIF($E117:E117,E117)-1)</f>
        <v/>
      </c>
      <c r="L117" t="str">
        <f>IF($V117&lt;&gt;"OK","",RANK(F117,$E117:$J117,0)+COUNTIF($E117:F117,F117)-1)</f>
        <v/>
      </c>
      <c r="M117" t="str">
        <f>IF($V117&lt;&gt;"OK","",RANK(G117,$E117:$J117,0)+COUNTIF($E117:G117,G117)-1)</f>
        <v/>
      </c>
      <c r="N117" t="str">
        <f>IF($V117&lt;&gt;"OK","",RANK(H117,$E117:$J117,0)+COUNTIF($E117:H117,H117)-1)</f>
        <v/>
      </c>
      <c r="O117" t="str">
        <f>IF($V117&lt;&gt;"OK","",RANK(I117,$E117:$J117,0)+COUNTIF($E117:I117,I117)-1)</f>
        <v/>
      </c>
      <c r="P117" t="str">
        <f>IF($V117&lt;&gt;"OK","",RANK(J117,$E117:$J117,0)+COUNTIF($E117:J117,J117)-1)</f>
        <v/>
      </c>
      <c r="Q117" t="str">
        <f t="shared" si="43"/>
        <v/>
      </c>
      <c r="R117" t="str">
        <f t="shared" si="44"/>
        <v/>
      </c>
      <c r="S117" t="str">
        <f t="shared" si="45"/>
        <v/>
      </c>
      <c r="T117" t="str">
        <f t="shared" si="46"/>
        <v/>
      </c>
      <c r="U117" s="1" t="str">
        <f>IF($T117="","",IFERROR(VLOOKUP($T117,'Kunci dari RIASEC'!$A$4:$B$123,2,FALSE),"Rekomendasi belum tersedia"))</f>
        <v/>
      </c>
      <c r="V117" t="str">
        <f>IF('entri hasil dari isian siswa'!B117="","",'entri hasil dari isian siswa'!HY117)</f>
        <v/>
      </c>
      <c r="W117" t="str">
        <f>IF($B117="","",SUM('entri hasil dari isian siswa'!E117:O117))</f>
        <v/>
      </c>
      <c r="X117" t="str">
        <f>IF($B117="","",SUM('entri hasil dari isian siswa'!P117:Z117))</f>
        <v/>
      </c>
      <c r="Y117" t="str">
        <f>IF($B117="","",SUM('entri hasil dari isian siswa'!AA117:AK117))</f>
        <v/>
      </c>
      <c r="Z117" t="str">
        <f>IF($B117="","",SUM('entri hasil dari isian siswa'!AL117:AV117))</f>
        <v/>
      </c>
      <c r="AA117" t="str">
        <f>IF($B117="","",SUM('entri hasil dari isian siswa'!AW117:BG117))</f>
        <v/>
      </c>
      <c r="AB117" t="str">
        <f>IF($B117="","",SUM('entri hasil dari isian siswa'!BH117:BR117))</f>
        <v/>
      </c>
      <c r="AC117" t="str">
        <f>IF($B117="","",SUM('entri hasil dari isian siswa'!BS117:CC117))</f>
        <v/>
      </c>
      <c r="AD117" t="str">
        <f>IF($B117="","",SUM('entri hasil dari isian siswa'!CD117:CN117))</f>
        <v/>
      </c>
      <c r="AE117" t="str">
        <f>IF($B117="","",SUM('entri hasil dari isian siswa'!CO117:CY117))</f>
        <v/>
      </c>
      <c r="AF117" t="str">
        <f>IF($B117="","",SUM('entri hasil dari isian siswa'!CZ117:DJ117))</f>
        <v/>
      </c>
      <c r="AG117" t="str">
        <f>IF($B117="","",SUM('entri hasil dari isian siswa'!DK117:DU117))</f>
        <v/>
      </c>
      <c r="AH117" t="str">
        <f>IF($B117="","",SUM('entri hasil dari isian siswa'!DV117:EF117))</f>
        <v/>
      </c>
      <c r="AI117" t="str">
        <f>IF($B117="","",SUM('entri hasil dari isian siswa'!EG117:ET117))</f>
        <v/>
      </c>
      <c r="AJ117" t="str">
        <f>IF($B117="","",SUM('entri hasil dari isian siswa'!EU117:FH117))</f>
        <v/>
      </c>
      <c r="AK117" t="str">
        <f>IF($B117="","",SUM('entri hasil dari isian siswa'!FI117:FV117))</f>
        <v/>
      </c>
      <c r="AL117" t="str">
        <f>IF($B117="","",SUM('entri hasil dari isian siswa'!FW117:GJ117))</f>
        <v/>
      </c>
      <c r="AM117" t="str">
        <f>IF($B117="","",SUM('entri hasil dari isian siswa'!GK117:GX117))</f>
        <v/>
      </c>
      <c r="AN117" t="str">
        <f>IF($B117="","",SUM('entri hasil dari isian siswa'!GY117:HL117))</f>
        <v/>
      </c>
      <c r="AO117" t="str">
        <f>IF($B117="","",'entri hasil dari isian siswa'!HM117+'entri hasil dari isian siswa'!HS117)</f>
        <v/>
      </c>
      <c r="AP117" t="str">
        <f>IF($B117="","",'entri hasil dari isian siswa'!HN117+'entri hasil dari isian siswa'!HT117)</f>
        <v/>
      </c>
      <c r="AQ117" t="str">
        <f>IF($B117="","",'entri hasil dari isian siswa'!HO117+'entri hasil dari isian siswa'!HU117)</f>
        <v/>
      </c>
      <c r="AR117" t="str">
        <f>IF($B117="","",'entri hasil dari isian siswa'!HP117+'entri hasil dari isian siswa'!HV117)</f>
        <v/>
      </c>
      <c r="AS117" t="str">
        <f>IF($B117="","",'entri hasil dari isian siswa'!HQ117+'entri hasil dari isian siswa'!HW117)</f>
        <v/>
      </c>
      <c r="AT117" t="str">
        <f>IF($B117="","",'entri hasil dari isian siswa'!HR117+'entri hasil dari isian siswa'!HX117)</f>
        <v/>
      </c>
      <c r="AU117" s="69" t="str">
        <f t="shared" si="47"/>
        <v/>
      </c>
      <c r="AV117" s="69" t="str">
        <f>IF($AU117="","",IFERROR(VLOOKUP($AU117,'Kunci dari RIASEC'!$J$4:$K$33,2,FALSE),""))</f>
        <v/>
      </c>
    </row>
    <row r="118" spans="1:48">
      <c r="A118">
        <f t="shared" si="36"/>
        <v>114</v>
      </c>
      <c r="B118" t="str">
        <f>IF('entri hasil dari isian siswa'!B118="","",'entri hasil dari isian siswa'!B118)</f>
        <v/>
      </c>
      <c r="C118" t="str">
        <f>IF('entri hasil dari isian siswa'!C118="","",'entri hasil dari isian siswa'!C118)</f>
        <v/>
      </c>
      <c r="D118" t="str">
        <f>IF('entri hasil dari isian siswa'!D118="","",'entri hasil dari isian siswa'!D118)</f>
        <v/>
      </c>
      <c r="E118" t="str">
        <f t="shared" si="37"/>
        <v/>
      </c>
      <c r="F118" t="str">
        <f t="shared" si="38"/>
        <v/>
      </c>
      <c r="G118" t="str">
        <f t="shared" si="39"/>
        <v/>
      </c>
      <c r="H118" t="str">
        <f t="shared" si="40"/>
        <v/>
      </c>
      <c r="I118" t="str">
        <f t="shared" si="41"/>
        <v/>
      </c>
      <c r="J118" t="str">
        <f t="shared" si="42"/>
        <v/>
      </c>
      <c r="K118" t="str">
        <f>IF($V118&lt;&gt;"OK","",RANK(E118,$E118:$J118,0)+COUNTIF($E118:E118,E118)-1)</f>
        <v/>
      </c>
      <c r="L118" t="str">
        <f>IF($V118&lt;&gt;"OK","",RANK(F118,$E118:$J118,0)+COUNTIF($E118:F118,F118)-1)</f>
        <v/>
      </c>
      <c r="M118" t="str">
        <f>IF($V118&lt;&gt;"OK","",RANK(G118,$E118:$J118,0)+COUNTIF($E118:G118,G118)-1)</f>
        <v/>
      </c>
      <c r="N118" t="str">
        <f>IF($V118&lt;&gt;"OK","",RANK(H118,$E118:$J118,0)+COUNTIF($E118:H118,H118)-1)</f>
        <v/>
      </c>
      <c r="O118" t="str">
        <f>IF($V118&lt;&gt;"OK","",RANK(I118,$E118:$J118,0)+COUNTIF($E118:I118,I118)-1)</f>
        <v/>
      </c>
      <c r="P118" t="str">
        <f>IF($V118&lt;&gt;"OK","",RANK(J118,$E118:$J118,0)+COUNTIF($E118:J118,J118)-1)</f>
        <v/>
      </c>
      <c r="Q118" t="str">
        <f t="shared" si="43"/>
        <v/>
      </c>
      <c r="R118" t="str">
        <f t="shared" si="44"/>
        <v/>
      </c>
      <c r="S118" t="str">
        <f t="shared" si="45"/>
        <v/>
      </c>
      <c r="T118" t="str">
        <f t="shared" si="46"/>
        <v/>
      </c>
      <c r="U118" s="1" t="str">
        <f>IF($T118="","",IFERROR(VLOOKUP($T118,'Kunci dari RIASEC'!$A$4:$B$123,2,FALSE),"Rekomendasi belum tersedia"))</f>
        <v/>
      </c>
      <c r="V118" t="str">
        <f>IF('entri hasil dari isian siswa'!B118="","",'entri hasil dari isian siswa'!HY118)</f>
        <v/>
      </c>
      <c r="W118" t="str">
        <f>IF($B118="","",SUM('entri hasil dari isian siswa'!E118:O118))</f>
        <v/>
      </c>
      <c r="X118" t="str">
        <f>IF($B118="","",SUM('entri hasil dari isian siswa'!P118:Z118))</f>
        <v/>
      </c>
      <c r="Y118" t="str">
        <f>IF($B118="","",SUM('entri hasil dari isian siswa'!AA118:AK118))</f>
        <v/>
      </c>
      <c r="Z118" t="str">
        <f>IF($B118="","",SUM('entri hasil dari isian siswa'!AL118:AV118))</f>
        <v/>
      </c>
      <c r="AA118" t="str">
        <f>IF($B118="","",SUM('entri hasil dari isian siswa'!AW118:BG118))</f>
        <v/>
      </c>
      <c r="AB118" t="str">
        <f>IF($B118="","",SUM('entri hasil dari isian siswa'!BH118:BR118))</f>
        <v/>
      </c>
      <c r="AC118" t="str">
        <f>IF($B118="","",SUM('entri hasil dari isian siswa'!BS118:CC118))</f>
        <v/>
      </c>
      <c r="AD118" t="str">
        <f>IF($B118="","",SUM('entri hasil dari isian siswa'!CD118:CN118))</f>
        <v/>
      </c>
      <c r="AE118" t="str">
        <f>IF($B118="","",SUM('entri hasil dari isian siswa'!CO118:CY118))</f>
        <v/>
      </c>
      <c r="AF118" t="str">
        <f>IF($B118="","",SUM('entri hasil dari isian siswa'!CZ118:DJ118))</f>
        <v/>
      </c>
      <c r="AG118" t="str">
        <f>IF($B118="","",SUM('entri hasil dari isian siswa'!DK118:DU118))</f>
        <v/>
      </c>
      <c r="AH118" t="str">
        <f>IF($B118="","",SUM('entri hasil dari isian siswa'!DV118:EF118))</f>
        <v/>
      </c>
      <c r="AI118" t="str">
        <f>IF($B118="","",SUM('entri hasil dari isian siswa'!EG118:ET118))</f>
        <v/>
      </c>
      <c r="AJ118" t="str">
        <f>IF($B118="","",SUM('entri hasil dari isian siswa'!EU118:FH118))</f>
        <v/>
      </c>
      <c r="AK118" t="str">
        <f>IF($B118="","",SUM('entri hasil dari isian siswa'!FI118:FV118))</f>
        <v/>
      </c>
      <c r="AL118" t="str">
        <f>IF($B118="","",SUM('entri hasil dari isian siswa'!FW118:GJ118))</f>
        <v/>
      </c>
      <c r="AM118" t="str">
        <f>IF($B118="","",SUM('entri hasil dari isian siswa'!GK118:GX118))</f>
        <v/>
      </c>
      <c r="AN118" t="str">
        <f>IF($B118="","",SUM('entri hasil dari isian siswa'!GY118:HL118))</f>
        <v/>
      </c>
      <c r="AO118" t="str">
        <f>IF($B118="","",'entri hasil dari isian siswa'!HM118+'entri hasil dari isian siswa'!HS118)</f>
        <v/>
      </c>
      <c r="AP118" t="str">
        <f>IF($B118="","",'entri hasil dari isian siswa'!HN118+'entri hasil dari isian siswa'!HT118)</f>
        <v/>
      </c>
      <c r="AQ118" t="str">
        <f>IF($B118="","",'entri hasil dari isian siswa'!HO118+'entri hasil dari isian siswa'!HU118)</f>
        <v/>
      </c>
      <c r="AR118" t="str">
        <f>IF($B118="","",'entri hasil dari isian siswa'!HP118+'entri hasil dari isian siswa'!HV118)</f>
        <v/>
      </c>
      <c r="AS118" t="str">
        <f>IF($B118="","",'entri hasil dari isian siswa'!HQ118+'entri hasil dari isian siswa'!HW118)</f>
        <v/>
      </c>
      <c r="AT118" t="str">
        <f>IF($B118="","",'entri hasil dari isian siswa'!HR118+'entri hasil dari isian siswa'!HX118)</f>
        <v/>
      </c>
      <c r="AU118" s="69" t="str">
        <f t="shared" si="47"/>
        <v/>
      </c>
      <c r="AV118" s="69" t="str">
        <f>IF($AU118="","",IFERROR(VLOOKUP($AU118,'Kunci dari RIASEC'!$J$4:$K$33,2,FALSE),""))</f>
        <v/>
      </c>
    </row>
    <row r="119" spans="1:48">
      <c r="A119">
        <f t="shared" si="36"/>
        <v>115</v>
      </c>
      <c r="B119" t="str">
        <f>IF('entri hasil dari isian siswa'!B119="","",'entri hasil dari isian siswa'!B119)</f>
        <v/>
      </c>
      <c r="C119" t="str">
        <f>IF('entri hasil dari isian siswa'!C119="","",'entri hasil dari isian siswa'!C119)</f>
        <v/>
      </c>
      <c r="D119" t="str">
        <f>IF('entri hasil dari isian siswa'!D119="","",'entri hasil dari isian siswa'!D119)</f>
        <v/>
      </c>
      <c r="E119" t="str">
        <f t="shared" si="37"/>
        <v/>
      </c>
      <c r="F119" t="str">
        <f t="shared" si="38"/>
        <v/>
      </c>
      <c r="G119" t="str">
        <f t="shared" si="39"/>
        <v/>
      </c>
      <c r="H119" t="str">
        <f t="shared" si="40"/>
        <v/>
      </c>
      <c r="I119" t="str">
        <f t="shared" si="41"/>
        <v/>
      </c>
      <c r="J119" t="str">
        <f t="shared" si="42"/>
        <v/>
      </c>
      <c r="K119" t="str">
        <f>IF($V119&lt;&gt;"OK","",RANK(E119,$E119:$J119,0)+COUNTIF($E119:E119,E119)-1)</f>
        <v/>
      </c>
      <c r="L119" t="str">
        <f>IF($V119&lt;&gt;"OK","",RANK(F119,$E119:$J119,0)+COUNTIF($E119:F119,F119)-1)</f>
        <v/>
      </c>
      <c r="M119" t="str">
        <f>IF($V119&lt;&gt;"OK","",RANK(G119,$E119:$J119,0)+COUNTIF($E119:G119,G119)-1)</f>
        <v/>
      </c>
      <c r="N119" t="str">
        <f>IF($V119&lt;&gt;"OK","",RANK(H119,$E119:$J119,0)+COUNTIF($E119:H119,H119)-1)</f>
        <v/>
      </c>
      <c r="O119" t="str">
        <f>IF($V119&lt;&gt;"OK","",RANK(I119,$E119:$J119,0)+COUNTIF($E119:I119,I119)-1)</f>
        <v/>
      </c>
      <c r="P119" t="str">
        <f>IF($V119&lt;&gt;"OK","",RANK(J119,$E119:$J119,0)+COUNTIF($E119:J119,J119)-1)</f>
        <v/>
      </c>
      <c r="Q119" t="str">
        <f t="shared" si="43"/>
        <v/>
      </c>
      <c r="R119" t="str">
        <f t="shared" si="44"/>
        <v/>
      </c>
      <c r="S119" t="str">
        <f t="shared" si="45"/>
        <v/>
      </c>
      <c r="T119" t="str">
        <f t="shared" si="46"/>
        <v/>
      </c>
      <c r="U119" s="1" t="str">
        <f>IF($T119="","",IFERROR(VLOOKUP($T119,'Kunci dari RIASEC'!$A$4:$B$123,2,FALSE),"Rekomendasi belum tersedia"))</f>
        <v/>
      </c>
      <c r="V119" t="str">
        <f>IF('entri hasil dari isian siswa'!B119="","",'entri hasil dari isian siswa'!HY119)</f>
        <v/>
      </c>
      <c r="W119" t="str">
        <f>IF($B119="","",SUM('entri hasil dari isian siswa'!E119:O119))</f>
        <v/>
      </c>
      <c r="X119" t="str">
        <f>IF($B119="","",SUM('entri hasil dari isian siswa'!P119:Z119))</f>
        <v/>
      </c>
      <c r="Y119" t="str">
        <f>IF($B119="","",SUM('entri hasil dari isian siswa'!AA119:AK119))</f>
        <v/>
      </c>
      <c r="Z119" t="str">
        <f>IF($B119="","",SUM('entri hasil dari isian siswa'!AL119:AV119))</f>
        <v/>
      </c>
      <c r="AA119" t="str">
        <f>IF($B119="","",SUM('entri hasil dari isian siswa'!AW119:BG119))</f>
        <v/>
      </c>
      <c r="AB119" t="str">
        <f>IF($B119="","",SUM('entri hasil dari isian siswa'!BH119:BR119))</f>
        <v/>
      </c>
      <c r="AC119" t="str">
        <f>IF($B119="","",SUM('entri hasil dari isian siswa'!BS119:CC119))</f>
        <v/>
      </c>
      <c r="AD119" t="str">
        <f>IF($B119="","",SUM('entri hasil dari isian siswa'!CD119:CN119))</f>
        <v/>
      </c>
      <c r="AE119" t="str">
        <f>IF($B119="","",SUM('entri hasil dari isian siswa'!CO119:CY119))</f>
        <v/>
      </c>
      <c r="AF119" t="str">
        <f>IF($B119="","",SUM('entri hasil dari isian siswa'!CZ119:DJ119))</f>
        <v/>
      </c>
      <c r="AG119" t="str">
        <f>IF($B119="","",SUM('entri hasil dari isian siswa'!DK119:DU119))</f>
        <v/>
      </c>
      <c r="AH119" t="str">
        <f>IF($B119="","",SUM('entri hasil dari isian siswa'!DV119:EF119))</f>
        <v/>
      </c>
      <c r="AI119" t="str">
        <f>IF($B119="","",SUM('entri hasil dari isian siswa'!EG119:ET119))</f>
        <v/>
      </c>
      <c r="AJ119" t="str">
        <f>IF($B119="","",SUM('entri hasil dari isian siswa'!EU119:FH119))</f>
        <v/>
      </c>
      <c r="AK119" t="str">
        <f>IF($B119="","",SUM('entri hasil dari isian siswa'!FI119:FV119))</f>
        <v/>
      </c>
      <c r="AL119" t="str">
        <f>IF($B119="","",SUM('entri hasil dari isian siswa'!FW119:GJ119))</f>
        <v/>
      </c>
      <c r="AM119" t="str">
        <f>IF($B119="","",SUM('entri hasil dari isian siswa'!GK119:GX119))</f>
        <v/>
      </c>
      <c r="AN119" t="str">
        <f>IF($B119="","",SUM('entri hasil dari isian siswa'!GY119:HL119))</f>
        <v/>
      </c>
      <c r="AO119" t="str">
        <f>IF($B119="","",'entri hasil dari isian siswa'!HM119+'entri hasil dari isian siswa'!HS119)</f>
        <v/>
      </c>
      <c r="AP119" t="str">
        <f>IF($B119="","",'entri hasil dari isian siswa'!HN119+'entri hasil dari isian siswa'!HT119)</f>
        <v/>
      </c>
      <c r="AQ119" t="str">
        <f>IF($B119="","",'entri hasil dari isian siswa'!HO119+'entri hasil dari isian siswa'!HU119)</f>
        <v/>
      </c>
      <c r="AR119" t="str">
        <f>IF($B119="","",'entri hasil dari isian siswa'!HP119+'entri hasil dari isian siswa'!HV119)</f>
        <v/>
      </c>
      <c r="AS119" t="str">
        <f>IF($B119="","",'entri hasil dari isian siswa'!HQ119+'entri hasil dari isian siswa'!HW119)</f>
        <v/>
      </c>
      <c r="AT119" t="str">
        <f>IF($B119="","",'entri hasil dari isian siswa'!HR119+'entri hasil dari isian siswa'!HX119)</f>
        <v/>
      </c>
      <c r="AU119" s="69" t="str">
        <f t="shared" si="47"/>
        <v/>
      </c>
      <c r="AV119" s="69" t="str">
        <f>IF($AU119="","",IFERROR(VLOOKUP($AU119,'Kunci dari RIASEC'!$J$4:$K$33,2,FALSE),""))</f>
        <v/>
      </c>
    </row>
    <row r="120" spans="1:48">
      <c r="A120">
        <f t="shared" si="36"/>
        <v>116</v>
      </c>
      <c r="B120" t="str">
        <f>IF('entri hasil dari isian siswa'!B120="","",'entri hasil dari isian siswa'!B120)</f>
        <v/>
      </c>
      <c r="C120" t="str">
        <f>IF('entri hasil dari isian siswa'!C120="","",'entri hasil dari isian siswa'!C120)</f>
        <v/>
      </c>
      <c r="D120" t="str">
        <f>IF('entri hasil dari isian siswa'!D120="","",'entri hasil dari isian siswa'!D120)</f>
        <v/>
      </c>
      <c r="E120" t="str">
        <f t="shared" si="37"/>
        <v/>
      </c>
      <c r="F120" t="str">
        <f t="shared" si="38"/>
        <v/>
      </c>
      <c r="G120" t="str">
        <f t="shared" si="39"/>
        <v/>
      </c>
      <c r="H120" t="str">
        <f t="shared" si="40"/>
        <v/>
      </c>
      <c r="I120" t="str">
        <f t="shared" si="41"/>
        <v/>
      </c>
      <c r="J120" t="str">
        <f t="shared" si="42"/>
        <v/>
      </c>
      <c r="K120" t="str">
        <f>IF($V120&lt;&gt;"OK","",RANK(E120,$E120:$J120,0)+COUNTIF($E120:E120,E120)-1)</f>
        <v/>
      </c>
      <c r="L120" t="str">
        <f>IF($V120&lt;&gt;"OK","",RANK(F120,$E120:$J120,0)+COUNTIF($E120:F120,F120)-1)</f>
        <v/>
      </c>
      <c r="M120" t="str">
        <f>IF($V120&lt;&gt;"OK","",RANK(G120,$E120:$J120,0)+COUNTIF($E120:G120,G120)-1)</f>
        <v/>
      </c>
      <c r="N120" t="str">
        <f>IF($V120&lt;&gt;"OK","",RANK(H120,$E120:$J120,0)+COUNTIF($E120:H120,H120)-1)</f>
        <v/>
      </c>
      <c r="O120" t="str">
        <f>IF($V120&lt;&gt;"OK","",RANK(I120,$E120:$J120,0)+COUNTIF($E120:I120,I120)-1)</f>
        <v/>
      </c>
      <c r="P120" t="str">
        <f>IF($V120&lt;&gt;"OK","",RANK(J120,$E120:$J120,0)+COUNTIF($E120:J120,J120)-1)</f>
        <v/>
      </c>
      <c r="Q120" t="str">
        <f t="shared" si="43"/>
        <v/>
      </c>
      <c r="R120" t="str">
        <f t="shared" si="44"/>
        <v/>
      </c>
      <c r="S120" t="str">
        <f t="shared" si="45"/>
        <v/>
      </c>
      <c r="T120" t="str">
        <f t="shared" si="46"/>
        <v/>
      </c>
      <c r="U120" s="1" t="str">
        <f>IF($T120="","",IFERROR(VLOOKUP($T120,'Kunci dari RIASEC'!$A$4:$B$123,2,FALSE),"Rekomendasi belum tersedia"))</f>
        <v/>
      </c>
      <c r="V120" t="str">
        <f>IF('entri hasil dari isian siswa'!B120="","",'entri hasil dari isian siswa'!HY120)</f>
        <v/>
      </c>
      <c r="W120" t="str">
        <f>IF($B120="","",SUM('entri hasil dari isian siswa'!E120:O120))</f>
        <v/>
      </c>
      <c r="X120" t="str">
        <f>IF($B120="","",SUM('entri hasil dari isian siswa'!P120:Z120))</f>
        <v/>
      </c>
      <c r="Y120" t="str">
        <f>IF($B120="","",SUM('entri hasil dari isian siswa'!AA120:AK120))</f>
        <v/>
      </c>
      <c r="Z120" t="str">
        <f>IF($B120="","",SUM('entri hasil dari isian siswa'!AL120:AV120))</f>
        <v/>
      </c>
      <c r="AA120" t="str">
        <f>IF($B120="","",SUM('entri hasil dari isian siswa'!AW120:BG120))</f>
        <v/>
      </c>
      <c r="AB120" t="str">
        <f>IF($B120="","",SUM('entri hasil dari isian siswa'!BH120:BR120))</f>
        <v/>
      </c>
      <c r="AC120" t="str">
        <f>IF($B120="","",SUM('entri hasil dari isian siswa'!BS120:CC120))</f>
        <v/>
      </c>
      <c r="AD120" t="str">
        <f>IF($B120="","",SUM('entri hasil dari isian siswa'!CD120:CN120))</f>
        <v/>
      </c>
      <c r="AE120" t="str">
        <f>IF($B120="","",SUM('entri hasil dari isian siswa'!CO120:CY120))</f>
        <v/>
      </c>
      <c r="AF120" t="str">
        <f>IF($B120="","",SUM('entri hasil dari isian siswa'!CZ120:DJ120))</f>
        <v/>
      </c>
      <c r="AG120" t="str">
        <f>IF($B120="","",SUM('entri hasil dari isian siswa'!DK120:DU120))</f>
        <v/>
      </c>
      <c r="AH120" t="str">
        <f>IF($B120="","",SUM('entri hasil dari isian siswa'!DV120:EF120))</f>
        <v/>
      </c>
      <c r="AI120" t="str">
        <f>IF($B120="","",SUM('entri hasil dari isian siswa'!EG120:ET120))</f>
        <v/>
      </c>
      <c r="AJ120" t="str">
        <f>IF($B120="","",SUM('entri hasil dari isian siswa'!EU120:FH120))</f>
        <v/>
      </c>
      <c r="AK120" t="str">
        <f>IF($B120="","",SUM('entri hasil dari isian siswa'!FI120:FV120))</f>
        <v/>
      </c>
      <c r="AL120" t="str">
        <f>IF($B120="","",SUM('entri hasil dari isian siswa'!FW120:GJ120))</f>
        <v/>
      </c>
      <c r="AM120" t="str">
        <f>IF($B120="","",SUM('entri hasil dari isian siswa'!GK120:GX120))</f>
        <v/>
      </c>
      <c r="AN120" t="str">
        <f>IF($B120="","",SUM('entri hasil dari isian siswa'!GY120:HL120))</f>
        <v/>
      </c>
      <c r="AO120" t="str">
        <f>IF($B120="","",'entri hasil dari isian siswa'!HM120+'entri hasil dari isian siswa'!HS120)</f>
        <v/>
      </c>
      <c r="AP120" t="str">
        <f>IF($B120="","",'entri hasil dari isian siswa'!HN120+'entri hasil dari isian siswa'!HT120)</f>
        <v/>
      </c>
      <c r="AQ120" t="str">
        <f>IF($B120="","",'entri hasil dari isian siswa'!HO120+'entri hasil dari isian siswa'!HU120)</f>
        <v/>
      </c>
      <c r="AR120" t="str">
        <f>IF($B120="","",'entri hasil dari isian siswa'!HP120+'entri hasil dari isian siswa'!HV120)</f>
        <v/>
      </c>
      <c r="AS120" t="str">
        <f>IF($B120="","",'entri hasil dari isian siswa'!HQ120+'entri hasil dari isian siswa'!HW120)</f>
        <v/>
      </c>
      <c r="AT120" t="str">
        <f>IF($B120="","",'entri hasil dari isian siswa'!HR120+'entri hasil dari isian siswa'!HX120)</f>
        <v/>
      </c>
      <c r="AU120" s="69" t="str">
        <f t="shared" si="47"/>
        <v/>
      </c>
      <c r="AV120" s="69" t="str">
        <f>IF($AU120="","",IFERROR(VLOOKUP($AU120,'Kunci dari RIASEC'!$J$4:$K$33,2,FALSE),""))</f>
        <v/>
      </c>
    </row>
    <row r="121" spans="1:48">
      <c r="A121">
        <f t="shared" si="36"/>
        <v>117</v>
      </c>
      <c r="B121" t="str">
        <f>IF('entri hasil dari isian siswa'!B121="","",'entri hasil dari isian siswa'!B121)</f>
        <v/>
      </c>
      <c r="C121" t="str">
        <f>IF('entri hasil dari isian siswa'!C121="","",'entri hasil dari isian siswa'!C121)</f>
        <v/>
      </c>
      <c r="D121" t="str">
        <f>IF('entri hasil dari isian siswa'!D121="","",'entri hasil dari isian siswa'!D121)</f>
        <v/>
      </c>
      <c r="E121" t="str">
        <f t="shared" si="37"/>
        <v/>
      </c>
      <c r="F121" t="str">
        <f t="shared" si="38"/>
        <v/>
      </c>
      <c r="G121" t="str">
        <f t="shared" si="39"/>
        <v/>
      </c>
      <c r="H121" t="str">
        <f t="shared" si="40"/>
        <v/>
      </c>
      <c r="I121" t="str">
        <f t="shared" si="41"/>
        <v/>
      </c>
      <c r="J121" t="str">
        <f t="shared" si="42"/>
        <v/>
      </c>
      <c r="K121" t="str">
        <f>IF($V121&lt;&gt;"OK","",RANK(E121,$E121:$J121,0)+COUNTIF($E121:E121,E121)-1)</f>
        <v/>
      </c>
      <c r="L121" t="str">
        <f>IF($V121&lt;&gt;"OK","",RANK(F121,$E121:$J121,0)+COUNTIF($E121:F121,F121)-1)</f>
        <v/>
      </c>
      <c r="M121" t="str">
        <f>IF($V121&lt;&gt;"OK","",RANK(G121,$E121:$J121,0)+COUNTIF($E121:G121,G121)-1)</f>
        <v/>
      </c>
      <c r="N121" t="str">
        <f>IF($V121&lt;&gt;"OK","",RANK(H121,$E121:$J121,0)+COUNTIF($E121:H121,H121)-1)</f>
        <v/>
      </c>
      <c r="O121" t="str">
        <f>IF($V121&lt;&gt;"OK","",RANK(I121,$E121:$J121,0)+COUNTIF($E121:I121,I121)-1)</f>
        <v/>
      </c>
      <c r="P121" t="str">
        <f>IF($V121&lt;&gt;"OK","",RANK(J121,$E121:$J121,0)+COUNTIF($E121:J121,J121)-1)</f>
        <v/>
      </c>
      <c r="Q121" t="str">
        <f t="shared" si="43"/>
        <v/>
      </c>
      <c r="R121" t="str">
        <f t="shared" si="44"/>
        <v/>
      </c>
      <c r="S121" t="str">
        <f t="shared" si="45"/>
        <v/>
      </c>
      <c r="T121" t="str">
        <f t="shared" si="46"/>
        <v/>
      </c>
      <c r="U121" s="1" t="str">
        <f>IF($T121="","",IFERROR(VLOOKUP($T121,'Kunci dari RIASEC'!$A$4:$B$123,2,FALSE),"Rekomendasi belum tersedia"))</f>
        <v/>
      </c>
      <c r="V121" t="str">
        <f>IF('entri hasil dari isian siswa'!B121="","",'entri hasil dari isian siswa'!HY121)</f>
        <v/>
      </c>
      <c r="W121" t="str">
        <f>IF($B121="","",SUM('entri hasil dari isian siswa'!E121:O121))</f>
        <v/>
      </c>
      <c r="X121" t="str">
        <f>IF($B121="","",SUM('entri hasil dari isian siswa'!P121:Z121))</f>
        <v/>
      </c>
      <c r="Y121" t="str">
        <f>IF($B121="","",SUM('entri hasil dari isian siswa'!AA121:AK121))</f>
        <v/>
      </c>
      <c r="Z121" t="str">
        <f>IF($B121="","",SUM('entri hasil dari isian siswa'!AL121:AV121))</f>
        <v/>
      </c>
      <c r="AA121" t="str">
        <f>IF($B121="","",SUM('entri hasil dari isian siswa'!AW121:BG121))</f>
        <v/>
      </c>
      <c r="AB121" t="str">
        <f>IF($B121="","",SUM('entri hasil dari isian siswa'!BH121:BR121))</f>
        <v/>
      </c>
      <c r="AC121" t="str">
        <f>IF($B121="","",SUM('entri hasil dari isian siswa'!BS121:CC121))</f>
        <v/>
      </c>
      <c r="AD121" t="str">
        <f>IF($B121="","",SUM('entri hasil dari isian siswa'!CD121:CN121))</f>
        <v/>
      </c>
      <c r="AE121" t="str">
        <f>IF($B121="","",SUM('entri hasil dari isian siswa'!CO121:CY121))</f>
        <v/>
      </c>
      <c r="AF121" t="str">
        <f>IF($B121="","",SUM('entri hasil dari isian siswa'!CZ121:DJ121))</f>
        <v/>
      </c>
      <c r="AG121" t="str">
        <f>IF($B121="","",SUM('entri hasil dari isian siswa'!DK121:DU121))</f>
        <v/>
      </c>
      <c r="AH121" t="str">
        <f>IF($B121="","",SUM('entri hasil dari isian siswa'!DV121:EF121))</f>
        <v/>
      </c>
      <c r="AI121" t="str">
        <f>IF($B121="","",SUM('entri hasil dari isian siswa'!EG121:ET121))</f>
        <v/>
      </c>
      <c r="AJ121" t="str">
        <f>IF($B121="","",SUM('entri hasil dari isian siswa'!EU121:FH121))</f>
        <v/>
      </c>
      <c r="AK121" t="str">
        <f>IF($B121="","",SUM('entri hasil dari isian siswa'!FI121:FV121))</f>
        <v/>
      </c>
      <c r="AL121" t="str">
        <f>IF($B121="","",SUM('entri hasil dari isian siswa'!FW121:GJ121))</f>
        <v/>
      </c>
      <c r="AM121" t="str">
        <f>IF($B121="","",SUM('entri hasil dari isian siswa'!GK121:GX121))</f>
        <v/>
      </c>
      <c r="AN121" t="str">
        <f>IF($B121="","",SUM('entri hasil dari isian siswa'!GY121:HL121))</f>
        <v/>
      </c>
      <c r="AO121" t="str">
        <f>IF($B121="","",'entri hasil dari isian siswa'!HM121+'entri hasil dari isian siswa'!HS121)</f>
        <v/>
      </c>
      <c r="AP121" t="str">
        <f>IF($B121="","",'entri hasil dari isian siswa'!HN121+'entri hasil dari isian siswa'!HT121)</f>
        <v/>
      </c>
      <c r="AQ121" t="str">
        <f>IF($B121="","",'entri hasil dari isian siswa'!HO121+'entri hasil dari isian siswa'!HU121)</f>
        <v/>
      </c>
      <c r="AR121" t="str">
        <f>IF($B121="","",'entri hasil dari isian siswa'!HP121+'entri hasil dari isian siswa'!HV121)</f>
        <v/>
      </c>
      <c r="AS121" t="str">
        <f>IF($B121="","",'entri hasil dari isian siswa'!HQ121+'entri hasil dari isian siswa'!HW121)</f>
        <v/>
      </c>
      <c r="AT121" t="str">
        <f>IF($B121="","",'entri hasil dari isian siswa'!HR121+'entri hasil dari isian siswa'!HX121)</f>
        <v/>
      </c>
      <c r="AU121" s="69" t="str">
        <f t="shared" si="47"/>
        <v/>
      </c>
      <c r="AV121" s="69" t="str">
        <f>IF($AU121="","",IFERROR(VLOOKUP($AU121,'Kunci dari RIASEC'!$J$4:$K$33,2,FALSE),""))</f>
        <v/>
      </c>
    </row>
    <row r="122" spans="1:48">
      <c r="A122">
        <f t="shared" si="36"/>
        <v>118</v>
      </c>
      <c r="B122" t="str">
        <f>IF('entri hasil dari isian siswa'!B122="","",'entri hasil dari isian siswa'!B122)</f>
        <v/>
      </c>
      <c r="C122" t="str">
        <f>IF('entri hasil dari isian siswa'!C122="","",'entri hasil dari isian siswa'!C122)</f>
        <v/>
      </c>
      <c r="D122" t="str">
        <f>IF('entri hasil dari isian siswa'!D122="","",'entri hasil dari isian siswa'!D122)</f>
        <v/>
      </c>
      <c r="E122" t="str">
        <f t="shared" si="37"/>
        <v/>
      </c>
      <c r="F122" t="str">
        <f t="shared" si="38"/>
        <v/>
      </c>
      <c r="G122" t="str">
        <f t="shared" si="39"/>
        <v/>
      </c>
      <c r="H122" t="str">
        <f t="shared" si="40"/>
        <v/>
      </c>
      <c r="I122" t="str">
        <f t="shared" si="41"/>
        <v/>
      </c>
      <c r="J122" t="str">
        <f t="shared" si="42"/>
        <v/>
      </c>
      <c r="K122" t="str">
        <f>IF($V122&lt;&gt;"OK","",RANK(E122,$E122:$J122,0)+COUNTIF($E122:E122,E122)-1)</f>
        <v/>
      </c>
      <c r="L122" t="str">
        <f>IF($V122&lt;&gt;"OK","",RANK(F122,$E122:$J122,0)+COUNTIF($E122:F122,F122)-1)</f>
        <v/>
      </c>
      <c r="M122" t="str">
        <f>IF($V122&lt;&gt;"OK","",RANK(G122,$E122:$J122,0)+COUNTIF($E122:G122,G122)-1)</f>
        <v/>
      </c>
      <c r="N122" t="str">
        <f>IF($V122&lt;&gt;"OK","",RANK(H122,$E122:$J122,0)+COUNTIF($E122:H122,H122)-1)</f>
        <v/>
      </c>
      <c r="O122" t="str">
        <f>IF($V122&lt;&gt;"OK","",RANK(I122,$E122:$J122,0)+COUNTIF($E122:I122,I122)-1)</f>
        <v/>
      </c>
      <c r="P122" t="str">
        <f>IF($V122&lt;&gt;"OK","",RANK(J122,$E122:$J122,0)+COUNTIF($E122:J122,J122)-1)</f>
        <v/>
      </c>
      <c r="Q122" t="str">
        <f t="shared" si="43"/>
        <v/>
      </c>
      <c r="R122" t="str">
        <f t="shared" si="44"/>
        <v/>
      </c>
      <c r="S122" t="str">
        <f t="shared" si="45"/>
        <v/>
      </c>
      <c r="T122" t="str">
        <f t="shared" si="46"/>
        <v/>
      </c>
      <c r="U122" s="1" t="str">
        <f>IF($T122="","",IFERROR(VLOOKUP($T122,'Kunci dari RIASEC'!$A$4:$B$123,2,FALSE),"Rekomendasi belum tersedia"))</f>
        <v/>
      </c>
      <c r="V122" t="str">
        <f>IF('entri hasil dari isian siswa'!B122="","",'entri hasil dari isian siswa'!HY122)</f>
        <v/>
      </c>
      <c r="W122" t="str">
        <f>IF($B122="","",SUM('entri hasil dari isian siswa'!E122:O122))</f>
        <v/>
      </c>
      <c r="X122" t="str">
        <f>IF($B122="","",SUM('entri hasil dari isian siswa'!P122:Z122))</f>
        <v/>
      </c>
      <c r="Y122" t="str">
        <f>IF($B122="","",SUM('entri hasil dari isian siswa'!AA122:AK122))</f>
        <v/>
      </c>
      <c r="Z122" t="str">
        <f>IF($B122="","",SUM('entri hasil dari isian siswa'!AL122:AV122))</f>
        <v/>
      </c>
      <c r="AA122" t="str">
        <f>IF($B122="","",SUM('entri hasil dari isian siswa'!AW122:BG122))</f>
        <v/>
      </c>
      <c r="AB122" t="str">
        <f>IF($B122="","",SUM('entri hasil dari isian siswa'!BH122:BR122))</f>
        <v/>
      </c>
      <c r="AC122" t="str">
        <f>IF($B122="","",SUM('entri hasil dari isian siswa'!BS122:CC122))</f>
        <v/>
      </c>
      <c r="AD122" t="str">
        <f>IF($B122="","",SUM('entri hasil dari isian siswa'!CD122:CN122))</f>
        <v/>
      </c>
      <c r="AE122" t="str">
        <f>IF($B122="","",SUM('entri hasil dari isian siswa'!CO122:CY122))</f>
        <v/>
      </c>
      <c r="AF122" t="str">
        <f>IF($B122="","",SUM('entri hasil dari isian siswa'!CZ122:DJ122))</f>
        <v/>
      </c>
      <c r="AG122" t="str">
        <f>IF($B122="","",SUM('entri hasil dari isian siswa'!DK122:DU122))</f>
        <v/>
      </c>
      <c r="AH122" t="str">
        <f>IF($B122="","",SUM('entri hasil dari isian siswa'!DV122:EF122))</f>
        <v/>
      </c>
      <c r="AI122" t="str">
        <f>IF($B122="","",SUM('entri hasil dari isian siswa'!EG122:ET122))</f>
        <v/>
      </c>
      <c r="AJ122" t="str">
        <f>IF($B122="","",SUM('entri hasil dari isian siswa'!EU122:FH122))</f>
        <v/>
      </c>
      <c r="AK122" t="str">
        <f>IF($B122="","",SUM('entri hasil dari isian siswa'!FI122:FV122))</f>
        <v/>
      </c>
      <c r="AL122" t="str">
        <f>IF($B122="","",SUM('entri hasil dari isian siswa'!FW122:GJ122))</f>
        <v/>
      </c>
      <c r="AM122" t="str">
        <f>IF($B122="","",SUM('entri hasil dari isian siswa'!GK122:GX122))</f>
        <v/>
      </c>
      <c r="AN122" t="str">
        <f>IF($B122="","",SUM('entri hasil dari isian siswa'!GY122:HL122))</f>
        <v/>
      </c>
      <c r="AO122" t="str">
        <f>IF($B122="","",'entri hasil dari isian siswa'!HM122+'entri hasil dari isian siswa'!HS122)</f>
        <v/>
      </c>
      <c r="AP122" t="str">
        <f>IF($B122="","",'entri hasil dari isian siswa'!HN122+'entri hasil dari isian siswa'!HT122)</f>
        <v/>
      </c>
      <c r="AQ122" t="str">
        <f>IF($B122="","",'entri hasil dari isian siswa'!HO122+'entri hasil dari isian siswa'!HU122)</f>
        <v/>
      </c>
      <c r="AR122" t="str">
        <f>IF($B122="","",'entri hasil dari isian siswa'!HP122+'entri hasil dari isian siswa'!HV122)</f>
        <v/>
      </c>
      <c r="AS122" t="str">
        <f>IF($B122="","",'entri hasil dari isian siswa'!HQ122+'entri hasil dari isian siswa'!HW122)</f>
        <v/>
      </c>
      <c r="AT122" t="str">
        <f>IF($B122="","",'entri hasil dari isian siswa'!HR122+'entri hasil dari isian siswa'!HX122)</f>
        <v/>
      </c>
      <c r="AU122" s="69" t="str">
        <f t="shared" si="47"/>
        <v/>
      </c>
      <c r="AV122" s="69" t="str">
        <f>IF($AU122="","",IFERROR(VLOOKUP($AU122,'Kunci dari RIASEC'!$J$4:$K$33,2,FALSE),""))</f>
        <v/>
      </c>
    </row>
    <row r="123" spans="1:48">
      <c r="A123">
        <f t="shared" si="36"/>
        <v>119</v>
      </c>
      <c r="B123" t="str">
        <f>IF('entri hasil dari isian siswa'!B123="","",'entri hasil dari isian siswa'!B123)</f>
        <v/>
      </c>
      <c r="C123" t="str">
        <f>IF('entri hasil dari isian siswa'!C123="","",'entri hasil dari isian siswa'!C123)</f>
        <v/>
      </c>
      <c r="D123" t="str">
        <f>IF('entri hasil dari isian siswa'!D123="","",'entri hasil dari isian siswa'!D123)</f>
        <v/>
      </c>
      <c r="E123" t="str">
        <f t="shared" si="37"/>
        <v/>
      </c>
      <c r="F123" t="str">
        <f t="shared" si="38"/>
        <v/>
      </c>
      <c r="G123" t="str">
        <f t="shared" si="39"/>
        <v/>
      </c>
      <c r="H123" t="str">
        <f t="shared" si="40"/>
        <v/>
      </c>
      <c r="I123" t="str">
        <f t="shared" si="41"/>
        <v/>
      </c>
      <c r="J123" t="str">
        <f t="shared" si="42"/>
        <v/>
      </c>
      <c r="K123" t="str">
        <f>IF($V123&lt;&gt;"OK","",RANK(E123,$E123:$J123,0)+COUNTIF($E123:E123,E123)-1)</f>
        <v/>
      </c>
      <c r="L123" t="str">
        <f>IF($V123&lt;&gt;"OK","",RANK(F123,$E123:$J123,0)+COUNTIF($E123:F123,F123)-1)</f>
        <v/>
      </c>
      <c r="M123" t="str">
        <f>IF($V123&lt;&gt;"OK","",RANK(G123,$E123:$J123,0)+COUNTIF($E123:G123,G123)-1)</f>
        <v/>
      </c>
      <c r="N123" t="str">
        <f>IF($V123&lt;&gt;"OK","",RANK(H123,$E123:$J123,0)+COUNTIF($E123:H123,H123)-1)</f>
        <v/>
      </c>
      <c r="O123" t="str">
        <f>IF($V123&lt;&gt;"OK","",RANK(I123,$E123:$J123,0)+COUNTIF($E123:I123,I123)-1)</f>
        <v/>
      </c>
      <c r="P123" t="str">
        <f>IF($V123&lt;&gt;"OK","",RANK(J123,$E123:$J123,0)+COUNTIF($E123:J123,J123)-1)</f>
        <v/>
      </c>
      <c r="Q123" t="str">
        <f t="shared" si="43"/>
        <v/>
      </c>
      <c r="R123" t="str">
        <f t="shared" si="44"/>
        <v/>
      </c>
      <c r="S123" t="str">
        <f t="shared" si="45"/>
        <v/>
      </c>
      <c r="T123" t="str">
        <f t="shared" si="46"/>
        <v/>
      </c>
      <c r="U123" s="1" t="str">
        <f>IF($T123="","",IFERROR(VLOOKUP($T123,'Kunci dari RIASEC'!$A$4:$B$123,2,FALSE),"Rekomendasi belum tersedia"))</f>
        <v/>
      </c>
      <c r="V123" t="str">
        <f>IF('entri hasil dari isian siswa'!B123="","",'entri hasil dari isian siswa'!HY123)</f>
        <v/>
      </c>
      <c r="W123" t="str">
        <f>IF($B123="","",SUM('entri hasil dari isian siswa'!E123:O123))</f>
        <v/>
      </c>
      <c r="X123" t="str">
        <f>IF($B123="","",SUM('entri hasil dari isian siswa'!P123:Z123))</f>
        <v/>
      </c>
      <c r="Y123" t="str">
        <f>IF($B123="","",SUM('entri hasil dari isian siswa'!AA123:AK123))</f>
        <v/>
      </c>
      <c r="Z123" t="str">
        <f>IF($B123="","",SUM('entri hasil dari isian siswa'!AL123:AV123))</f>
        <v/>
      </c>
      <c r="AA123" t="str">
        <f>IF($B123="","",SUM('entri hasil dari isian siswa'!AW123:BG123))</f>
        <v/>
      </c>
      <c r="AB123" t="str">
        <f>IF($B123="","",SUM('entri hasil dari isian siswa'!BH123:BR123))</f>
        <v/>
      </c>
      <c r="AC123" t="str">
        <f>IF($B123="","",SUM('entri hasil dari isian siswa'!BS123:CC123))</f>
        <v/>
      </c>
      <c r="AD123" t="str">
        <f>IF($B123="","",SUM('entri hasil dari isian siswa'!CD123:CN123))</f>
        <v/>
      </c>
      <c r="AE123" t="str">
        <f>IF($B123="","",SUM('entri hasil dari isian siswa'!CO123:CY123))</f>
        <v/>
      </c>
      <c r="AF123" t="str">
        <f>IF($B123="","",SUM('entri hasil dari isian siswa'!CZ123:DJ123))</f>
        <v/>
      </c>
      <c r="AG123" t="str">
        <f>IF($B123="","",SUM('entri hasil dari isian siswa'!DK123:DU123))</f>
        <v/>
      </c>
      <c r="AH123" t="str">
        <f>IF($B123="","",SUM('entri hasil dari isian siswa'!DV123:EF123))</f>
        <v/>
      </c>
      <c r="AI123" t="str">
        <f>IF($B123="","",SUM('entri hasil dari isian siswa'!EG123:ET123))</f>
        <v/>
      </c>
      <c r="AJ123" t="str">
        <f>IF($B123="","",SUM('entri hasil dari isian siswa'!EU123:FH123))</f>
        <v/>
      </c>
      <c r="AK123" t="str">
        <f>IF($B123="","",SUM('entri hasil dari isian siswa'!FI123:FV123))</f>
        <v/>
      </c>
      <c r="AL123" t="str">
        <f>IF($B123="","",SUM('entri hasil dari isian siswa'!FW123:GJ123))</f>
        <v/>
      </c>
      <c r="AM123" t="str">
        <f>IF($B123="","",SUM('entri hasil dari isian siswa'!GK123:GX123))</f>
        <v/>
      </c>
      <c r="AN123" t="str">
        <f>IF($B123="","",SUM('entri hasil dari isian siswa'!GY123:HL123))</f>
        <v/>
      </c>
      <c r="AO123" t="str">
        <f>IF($B123="","",'entri hasil dari isian siswa'!HM123+'entri hasil dari isian siswa'!HS123)</f>
        <v/>
      </c>
      <c r="AP123" t="str">
        <f>IF($B123="","",'entri hasil dari isian siswa'!HN123+'entri hasil dari isian siswa'!HT123)</f>
        <v/>
      </c>
      <c r="AQ123" t="str">
        <f>IF($B123="","",'entri hasil dari isian siswa'!HO123+'entri hasil dari isian siswa'!HU123)</f>
        <v/>
      </c>
      <c r="AR123" t="str">
        <f>IF($B123="","",'entri hasil dari isian siswa'!HP123+'entri hasil dari isian siswa'!HV123)</f>
        <v/>
      </c>
      <c r="AS123" t="str">
        <f>IF($B123="","",'entri hasil dari isian siswa'!HQ123+'entri hasil dari isian siswa'!HW123)</f>
        <v/>
      </c>
      <c r="AT123" t="str">
        <f>IF($B123="","",'entri hasil dari isian siswa'!HR123+'entri hasil dari isian siswa'!HX123)</f>
        <v/>
      </c>
      <c r="AU123" s="69" t="str">
        <f t="shared" si="47"/>
        <v/>
      </c>
      <c r="AV123" s="69" t="str">
        <f>IF($AU123="","",IFERROR(VLOOKUP($AU123,'Kunci dari RIASEC'!$J$4:$K$33,2,FALSE),""))</f>
        <v/>
      </c>
    </row>
    <row r="124" spans="1:48">
      <c r="A124">
        <f t="shared" si="36"/>
        <v>120</v>
      </c>
      <c r="B124" t="str">
        <f>IF('entri hasil dari isian siswa'!B124="","",'entri hasil dari isian siswa'!B124)</f>
        <v/>
      </c>
      <c r="C124" t="str">
        <f>IF('entri hasil dari isian siswa'!C124="","",'entri hasil dari isian siswa'!C124)</f>
        <v/>
      </c>
      <c r="D124" t="str">
        <f>IF('entri hasil dari isian siswa'!D124="","",'entri hasil dari isian siswa'!D124)</f>
        <v/>
      </c>
      <c r="E124" t="str">
        <f t="shared" si="37"/>
        <v/>
      </c>
      <c r="F124" t="str">
        <f t="shared" si="38"/>
        <v/>
      </c>
      <c r="G124" t="str">
        <f t="shared" si="39"/>
        <v/>
      </c>
      <c r="H124" t="str">
        <f t="shared" si="40"/>
        <v/>
      </c>
      <c r="I124" t="str">
        <f t="shared" si="41"/>
        <v/>
      </c>
      <c r="J124" t="str">
        <f t="shared" si="42"/>
        <v/>
      </c>
      <c r="K124" t="str">
        <f>IF($V124&lt;&gt;"OK","",RANK(E124,$E124:$J124,0)+COUNTIF($E124:E124,E124)-1)</f>
        <v/>
      </c>
      <c r="L124" t="str">
        <f>IF($V124&lt;&gt;"OK","",RANK(F124,$E124:$J124,0)+COUNTIF($E124:F124,F124)-1)</f>
        <v/>
      </c>
      <c r="M124" t="str">
        <f>IF($V124&lt;&gt;"OK","",RANK(G124,$E124:$J124,0)+COUNTIF($E124:G124,G124)-1)</f>
        <v/>
      </c>
      <c r="N124" t="str">
        <f>IF($V124&lt;&gt;"OK","",RANK(H124,$E124:$J124,0)+COUNTIF($E124:H124,H124)-1)</f>
        <v/>
      </c>
      <c r="O124" t="str">
        <f>IF($V124&lt;&gt;"OK","",RANK(I124,$E124:$J124,0)+COUNTIF($E124:I124,I124)-1)</f>
        <v/>
      </c>
      <c r="P124" t="str">
        <f>IF($V124&lt;&gt;"OK","",RANK(J124,$E124:$J124,0)+COUNTIF($E124:J124,J124)-1)</f>
        <v/>
      </c>
      <c r="Q124" t="str">
        <f t="shared" si="43"/>
        <v/>
      </c>
      <c r="R124" t="str">
        <f t="shared" si="44"/>
        <v/>
      </c>
      <c r="S124" t="str">
        <f t="shared" si="45"/>
        <v/>
      </c>
      <c r="T124" t="str">
        <f t="shared" si="46"/>
        <v/>
      </c>
      <c r="U124" s="1" t="str">
        <f>IF($T124="","",IFERROR(VLOOKUP($T124,'Kunci dari RIASEC'!$A$4:$B$123,2,FALSE),"Rekomendasi belum tersedia"))</f>
        <v/>
      </c>
      <c r="V124" t="str">
        <f>IF('entri hasil dari isian siswa'!B124="","",'entri hasil dari isian siswa'!HY124)</f>
        <v/>
      </c>
      <c r="W124" t="str">
        <f>IF($B124="","",SUM('entri hasil dari isian siswa'!E124:O124))</f>
        <v/>
      </c>
      <c r="X124" t="str">
        <f>IF($B124="","",SUM('entri hasil dari isian siswa'!P124:Z124))</f>
        <v/>
      </c>
      <c r="Y124" t="str">
        <f>IF($B124="","",SUM('entri hasil dari isian siswa'!AA124:AK124))</f>
        <v/>
      </c>
      <c r="Z124" t="str">
        <f>IF($B124="","",SUM('entri hasil dari isian siswa'!AL124:AV124))</f>
        <v/>
      </c>
      <c r="AA124" t="str">
        <f>IF($B124="","",SUM('entri hasil dari isian siswa'!AW124:BG124))</f>
        <v/>
      </c>
      <c r="AB124" t="str">
        <f>IF($B124="","",SUM('entri hasil dari isian siswa'!BH124:BR124))</f>
        <v/>
      </c>
      <c r="AC124" t="str">
        <f>IF($B124="","",SUM('entri hasil dari isian siswa'!BS124:CC124))</f>
        <v/>
      </c>
      <c r="AD124" t="str">
        <f>IF($B124="","",SUM('entri hasil dari isian siswa'!CD124:CN124))</f>
        <v/>
      </c>
      <c r="AE124" t="str">
        <f>IF($B124="","",SUM('entri hasil dari isian siswa'!CO124:CY124))</f>
        <v/>
      </c>
      <c r="AF124" t="str">
        <f>IF($B124="","",SUM('entri hasil dari isian siswa'!CZ124:DJ124))</f>
        <v/>
      </c>
      <c r="AG124" t="str">
        <f>IF($B124="","",SUM('entri hasil dari isian siswa'!DK124:DU124))</f>
        <v/>
      </c>
      <c r="AH124" t="str">
        <f>IF($B124="","",SUM('entri hasil dari isian siswa'!DV124:EF124))</f>
        <v/>
      </c>
      <c r="AI124" t="str">
        <f>IF($B124="","",SUM('entri hasil dari isian siswa'!EG124:ET124))</f>
        <v/>
      </c>
      <c r="AJ124" t="str">
        <f>IF($B124="","",SUM('entri hasil dari isian siswa'!EU124:FH124))</f>
        <v/>
      </c>
      <c r="AK124" t="str">
        <f>IF($B124="","",SUM('entri hasil dari isian siswa'!FI124:FV124))</f>
        <v/>
      </c>
      <c r="AL124" t="str">
        <f>IF($B124="","",SUM('entri hasil dari isian siswa'!FW124:GJ124))</f>
        <v/>
      </c>
      <c r="AM124" t="str">
        <f>IF($B124="","",SUM('entri hasil dari isian siswa'!GK124:GX124))</f>
        <v/>
      </c>
      <c r="AN124" t="str">
        <f>IF($B124="","",SUM('entri hasil dari isian siswa'!GY124:HL124))</f>
        <v/>
      </c>
      <c r="AO124" t="str">
        <f>IF($B124="","",'entri hasil dari isian siswa'!HM124+'entri hasil dari isian siswa'!HS124)</f>
        <v/>
      </c>
      <c r="AP124" t="str">
        <f>IF($B124="","",'entri hasil dari isian siswa'!HN124+'entri hasil dari isian siswa'!HT124)</f>
        <v/>
      </c>
      <c r="AQ124" t="str">
        <f>IF($B124="","",'entri hasil dari isian siswa'!HO124+'entri hasil dari isian siswa'!HU124)</f>
        <v/>
      </c>
      <c r="AR124" t="str">
        <f>IF($B124="","",'entri hasil dari isian siswa'!HP124+'entri hasil dari isian siswa'!HV124)</f>
        <v/>
      </c>
      <c r="AS124" t="str">
        <f>IF($B124="","",'entri hasil dari isian siswa'!HQ124+'entri hasil dari isian siswa'!HW124)</f>
        <v/>
      </c>
      <c r="AT124" t="str">
        <f>IF($B124="","",'entri hasil dari isian siswa'!HR124+'entri hasil dari isian siswa'!HX124)</f>
        <v/>
      </c>
      <c r="AU124" s="69" t="str">
        <f t="shared" si="47"/>
        <v/>
      </c>
      <c r="AV124" s="69" t="str">
        <f>IF($AU124="","",IFERROR(VLOOKUP($AU124,'Kunci dari RIASEC'!$J$4:$K$33,2,FALSE),""))</f>
        <v/>
      </c>
    </row>
    <row r="125" spans="1:48">
      <c r="A125">
        <f t="shared" si="36"/>
        <v>121</v>
      </c>
      <c r="B125" t="str">
        <f>IF('entri hasil dari isian siswa'!B125="","",'entri hasil dari isian siswa'!B125)</f>
        <v/>
      </c>
      <c r="C125" t="str">
        <f>IF('entri hasil dari isian siswa'!C125="","",'entri hasil dari isian siswa'!C125)</f>
        <v/>
      </c>
      <c r="D125" t="str">
        <f>IF('entri hasil dari isian siswa'!D125="","",'entri hasil dari isian siswa'!D125)</f>
        <v/>
      </c>
      <c r="E125" t="str">
        <f t="shared" si="37"/>
        <v/>
      </c>
      <c r="F125" t="str">
        <f t="shared" si="38"/>
        <v/>
      </c>
      <c r="G125" t="str">
        <f t="shared" si="39"/>
        <v/>
      </c>
      <c r="H125" t="str">
        <f t="shared" si="40"/>
        <v/>
      </c>
      <c r="I125" t="str">
        <f t="shared" si="41"/>
        <v/>
      </c>
      <c r="J125" t="str">
        <f t="shared" si="42"/>
        <v/>
      </c>
      <c r="K125" t="str">
        <f>IF($V125&lt;&gt;"OK","",RANK(E125,$E125:$J125,0)+COUNTIF($E125:E125,E125)-1)</f>
        <v/>
      </c>
      <c r="L125" t="str">
        <f>IF($V125&lt;&gt;"OK","",RANK(F125,$E125:$J125,0)+COUNTIF($E125:F125,F125)-1)</f>
        <v/>
      </c>
      <c r="M125" t="str">
        <f>IF($V125&lt;&gt;"OK","",RANK(G125,$E125:$J125,0)+COUNTIF($E125:G125,G125)-1)</f>
        <v/>
      </c>
      <c r="N125" t="str">
        <f>IF($V125&lt;&gt;"OK","",RANK(H125,$E125:$J125,0)+COUNTIF($E125:H125,H125)-1)</f>
        <v/>
      </c>
      <c r="O125" t="str">
        <f>IF($V125&lt;&gt;"OK","",RANK(I125,$E125:$J125,0)+COUNTIF($E125:I125,I125)-1)</f>
        <v/>
      </c>
      <c r="P125" t="str">
        <f>IF($V125&lt;&gt;"OK","",RANK(J125,$E125:$J125,0)+COUNTIF($E125:J125,J125)-1)</f>
        <v/>
      </c>
      <c r="Q125" t="str">
        <f t="shared" si="43"/>
        <v/>
      </c>
      <c r="R125" t="str">
        <f t="shared" si="44"/>
        <v/>
      </c>
      <c r="S125" t="str">
        <f t="shared" si="45"/>
        <v/>
      </c>
      <c r="T125" t="str">
        <f t="shared" si="46"/>
        <v/>
      </c>
      <c r="U125" s="1" t="str">
        <f>IF($T125="","",IFERROR(VLOOKUP($T125,'Kunci dari RIASEC'!$A$4:$B$123,2,FALSE),"Rekomendasi belum tersedia"))</f>
        <v/>
      </c>
      <c r="V125" t="str">
        <f>IF('entri hasil dari isian siswa'!B125="","",'entri hasil dari isian siswa'!HY125)</f>
        <v/>
      </c>
      <c r="W125" t="str">
        <f>IF($B125="","",SUM('entri hasil dari isian siswa'!E125:O125))</f>
        <v/>
      </c>
      <c r="X125" t="str">
        <f>IF($B125="","",SUM('entri hasil dari isian siswa'!P125:Z125))</f>
        <v/>
      </c>
      <c r="Y125" t="str">
        <f>IF($B125="","",SUM('entri hasil dari isian siswa'!AA125:AK125))</f>
        <v/>
      </c>
      <c r="Z125" t="str">
        <f>IF($B125="","",SUM('entri hasil dari isian siswa'!AL125:AV125))</f>
        <v/>
      </c>
      <c r="AA125" t="str">
        <f>IF($B125="","",SUM('entri hasil dari isian siswa'!AW125:BG125))</f>
        <v/>
      </c>
      <c r="AB125" t="str">
        <f>IF($B125="","",SUM('entri hasil dari isian siswa'!BH125:BR125))</f>
        <v/>
      </c>
      <c r="AC125" t="str">
        <f>IF($B125="","",SUM('entri hasil dari isian siswa'!BS125:CC125))</f>
        <v/>
      </c>
      <c r="AD125" t="str">
        <f>IF($B125="","",SUM('entri hasil dari isian siswa'!CD125:CN125))</f>
        <v/>
      </c>
      <c r="AE125" t="str">
        <f>IF($B125="","",SUM('entri hasil dari isian siswa'!CO125:CY125))</f>
        <v/>
      </c>
      <c r="AF125" t="str">
        <f>IF($B125="","",SUM('entri hasil dari isian siswa'!CZ125:DJ125))</f>
        <v/>
      </c>
      <c r="AG125" t="str">
        <f>IF($B125="","",SUM('entri hasil dari isian siswa'!DK125:DU125))</f>
        <v/>
      </c>
      <c r="AH125" t="str">
        <f>IF($B125="","",SUM('entri hasil dari isian siswa'!DV125:EF125))</f>
        <v/>
      </c>
      <c r="AI125" t="str">
        <f>IF($B125="","",SUM('entri hasil dari isian siswa'!EG125:ET125))</f>
        <v/>
      </c>
      <c r="AJ125" t="str">
        <f>IF($B125="","",SUM('entri hasil dari isian siswa'!EU125:FH125))</f>
        <v/>
      </c>
      <c r="AK125" t="str">
        <f>IF($B125="","",SUM('entri hasil dari isian siswa'!FI125:FV125))</f>
        <v/>
      </c>
      <c r="AL125" t="str">
        <f>IF($B125="","",SUM('entri hasil dari isian siswa'!FW125:GJ125))</f>
        <v/>
      </c>
      <c r="AM125" t="str">
        <f>IF($B125="","",SUM('entri hasil dari isian siswa'!GK125:GX125))</f>
        <v/>
      </c>
      <c r="AN125" t="str">
        <f>IF($B125="","",SUM('entri hasil dari isian siswa'!GY125:HL125))</f>
        <v/>
      </c>
      <c r="AO125" t="str">
        <f>IF($B125="","",'entri hasil dari isian siswa'!HM125+'entri hasil dari isian siswa'!HS125)</f>
        <v/>
      </c>
      <c r="AP125" t="str">
        <f>IF($B125="","",'entri hasil dari isian siswa'!HN125+'entri hasil dari isian siswa'!HT125)</f>
        <v/>
      </c>
      <c r="AQ125" t="str">
        <f>IF($B125="","",'entri hasil dari isian siswa'!HO125+'entri hasil dari isian siswa'!HU125)</f>
        <v/>
      </c>
      <c r="AR125" t="str">
        <f>IF($B125="","",'entri hasil dari isian siswa'!HP125+'entri hasil dari isian siswa'!HV125)</f>
        <v/>
      </c>
      <c r="AS125" t="str">
        <f>IF($B125="","",'entri hasil dari isian siswa'!HQ125+'entri hasil dari isian siswa'!HW125)</f>
        <v/>
      </c>
      <c r="AT125" t="str">
        <f>IF($B125="","",'entri hasil dari isian siswa'!HR125+'entri hasil dari isian siswa'!HX125)</f>
        <v/>
      </c>
      <c r="AU125" s="69" t="str">
        <f t="shared" si="47"/>
        <v/>
      </c>
      <c r="AV125" s="69" t="str">
        <f>IF($AU125="","",IFERROR(VLOOKUP($AU125,'Kunci dari RIASEC'!$J$4:$K$33,2,FALSE),""))</f>
        <v/>
      </c>
    </row>
    <row r="126" spans="1:48">
      <c r="A126">
        <f t="shared" si="36"/>
        <v>122</v>
      </c>
      <c r="B126" t="str">
        <f>IF('entri hasil dari isian siswa'!B126="","",'entri hasil dari isian siswa'!B126)</f>
        <v/>
      </c>
      <c r="C126" t="str">
        <f>IF('entri hasil dari isian siswa'!C126="","",'entri hasil dari isian siswa'!C126)</f>
        <v/>
      </c>
      <c r="D126" t="str">
        <f>IF('entri hasil dari isian siswa'!D126="","",'entri hasil dari isian siswa'!D126)</f>
        <v/>
      </c>
      <c r="E126" t="str">
        <f t="shared" si="37"/>
        <v/>
      </c>
      <c r="F126" t="str">
        <f t="shared" si="38"/>
        <v/>
      </c>
      <c r="G126" t="str">
        <f t="shared" si="39"/>
        <v/>
      </c>
      <c r="H126" t="str">
        <f t="shared" si="40"/>
        <v/>
      </c>
      <c r="I126" t="str">
        <f t="shared" si="41"/>
        <v/>
      </c>
      <c r="J126" t="str">
        <f t="shared" si="42"/>
        <v/>
      </c>
      <c r="K126" t="str">
        <f>IF($V126&lt;&gt;"OK","",RANK(E126,$E126:$J126,0)+COUNTIF($E126:E126,E126)-1)</f>
        <v/>
      </c>
      <c r="L126" t="str">
        <f>IF($V126&lt;&gt;"OK","",RANK(F126,$E126:$J126,0)+COUNTIF($E126:F126,F126)-1)</f>
        <v/>
      </c>
      <c r="M126" t="str">
        <f>IF($V126&lt;&gt;"OK","",RANK(G126,$E126:$J126,0)+COUNTIF($E126:G126,G126)-1)</f>
        <v/>
      </c>
      <c r="N126" t="str">
        <f>IF($V126&lt;&gt;"OK","",RANK(H126,$E126:$J126,0)+COUNTIF($E126:H126,H126)-1)</f>
        <v/>
      </c>
      <c r="O126" t="str">
        <f>IF($V126&lt;&gt;"OK","",RANK(I126,$E126:$J126,0)+COUNTIF($E126:I126,I126)-1)</f>
        <v/>
      </c>
      <c r="P126" t="str">
        <f>IF($V126&lt;&gt;"OK","",RANK(J126,$E126:$J126,0)+COUNTIF($E126:J126,J126)-1)</f>
        <v/>
      </c>
      <c r="Q126" t="str">
        <f t="shared" si="43"/>
        <v/>
      </c>
      <c r="R126" t="str">
        <f t="shared" si="44"/>
        <v/>
      </c>
      <c r="S126" t="str">
        <f t="shared" si="45"/>
        <v/>
      </c>
      <c r="T126" t="str">
        <f t="shared" si="46"/>
        <v/>
      </c>
      <c r="U126" s="1" t="str">
        <f>IF($T126="","",IFERROR(VLOOKUP($T126,'Kunci dari RIASEC'!$A$4:$B$123,2,FALSE),"Rekomendasi belum tersedia"))</f>
        <v/>
      </c>
      <c r="V126" t="str">
        <f>IF('entri hasil dari isian siswa'!B126="","",'entri hasil dari isian siswa'!HY126)</f>
        <v/>
      </c>
      <c r="W126" t="str">
        <f>IF($B126="","",SUM('entri hasil dari isian siswa'!E126:O126))</f>
        <v/>
      </c>
      <c r="X126" t="str">
        <f>IF($B126="","",SUM('entri hasil dari isian siswa'!P126:Z126))</f>
        <v/>
      </c>
      <c r="Y126" t="str">
        <f>IF($B126="","",SUM('entri hasil dari isian siswa'!AA126:AK126))</f>
        <v/>
      </c>
      <c r="Z126" t="str">
        <f>IF($B126="","",SUM('entri hasil dari isian siswa'!AL126:AV126))</f>
        <v/>
      </c>
      <c r="AA126" t="str">
        <f>IF($B126="","",SUM('entri hasil dari isian siswa'!AW126:BG126))</f>
        <v/>
      </c>
      <c r="AB126" t="str">
        <f>IF($B126="","",SUM('entri hasil dari isian siswa'!BH126:BR126))</f>
        <v/>
      </c>
      <c r="AC126" t="str">
        <f>IF($B126="","",SUM('entri hasil dari isian siswa'!BS126:CC126))</f>
        <v/>
      </c>
      <c r="AD126" t="str">
        <f>IF($B126="","",SUM('entri hasil dari isian siswa'!CD126:CN126))</f>
        <v/>
      </c>
      <c r="AE126" t="str">
        <f>IF($B126="","",SUM('entri hasil dari isian siswa'!CO126:CY126))</f>
        <v/>
      </c>
      <c r="AF126" t="str">
        <f>IF($B126="","",SUM('entri hasil dari isian siswa'!CZ126:DJ126))</f>
        <v/>
      </c>
      <c r="AG126" t="str">
        <f>IF($B126="","",SUM('entri hasil dari isian siswa'!DK126:DU126))</f>
        <v/>
      </c>
      <c r="AH126" t="str">
        <f>IF($B126="","",SUM('entri hasil dari isian siswa'!DV126:EF126))</f>
        <v/>
      </c>
      <c r="AI126" t="str">
        <f>IF($B126="","",SUM('entri hasil dari isian siswa'!EG126:ET126))</f>
        <v/>
      </c>
      <c r="AJ126" t="str">
        <f>IF($B126="","",SUM('entri hasil dari isian siswa'!EU126:FH126))</f>
        <v/>
      </c>
      <c r="AK126" t="str">
        <f>IF($B126="","",SUM('entri hasil dari isian siswa'!FI126:FV126))</f>
        <v/>
      </c>
      <c r="AL126" t="str">
        <f>IF($B126="","",SUM('entri hasil dari isian siswa'!FW126:GJ126))</f>
        <v/>
      </c>
      <c r="AM126" t="str">
        <f>IF($B126="","",SUM('entri hasil dari isian siswa'!GK126:GX126))</f>
        <v/>
      </c>
      <c r="AN126" t="str">
        <f>IF($B126="","",SUM('entri hasil dari isian siswa'!GY126:HL126))</f>
        <v/>
      </c>
      <c r="AO126" t="str">
        <f>IF($B126="","",'entri hasil dari isian siswa'!HM126+'entri hasil dari isian siswa'!HS126)</f>
        <v/>
      </c>
      <c r="AP126" t="str">
        <f>IF($B126="","",'entri hasil dari isian siswa'!HN126+'entri hasil dari isian siswa'!HT126)</f>
        <v/>
      </c>
      <c r="AQ126" t="str">
        <f>IF($B126="","",'entri hasil dari isian siswa'!HO126+'entri hasil dari isian siswa'!HU126)</f>
        <v/>
      </c>
      <c r="AR126" t="str">
        <f>IF($B126="","",'entri hasil dari isian siswa'!HP126+'entri hasil dari isian siswa'!HV126)</f>
        <v/>
      </c>
      <c r="AS126" t="str">
        <f>IF($B126="","",'entri hasil dari isian siswa'!HQ126+'entri hasil dari isian siswa'!HW126)</f>
        <v/>
      </c>
      <c r="AT126" t="str">
        <f>IF($B126="","",'entri hasil dari isian siswa'!HR126+'entri hasil dari isian siswa'!HX126)</f>
        <v/>
      </c>
      <c r="AU126" s="69" t="str">
        <f t="shared" si="47"/>
        <v/>
      </c>
      <c r="AV126" s="69" t="str">
        <f>IF($AU126="","",IFERROR(VLOOKUP($AU126,'Kunci dari RIASEC'!$J$4:$K$33,2,FALSE),""))</f>
        <v/>
      </c>
    </row>
    <row r="127" spans="1:48">
      <c r="A127">
        <f t="shared" si="36"/>
        <v>123</v>
      </c>
      <c r="B127" t="str">
        <f>IF('entri hasil dari isian siswa'!B127="","",'entri hasil dari isian siswa'!B127)</f>
        <v/>
      </c>
      <c r="C127" t="str">
        <f>IF('entri hasil dari isian siswa'!C127="","",'entri hasil dari isian siswa'!C127)</f>
        <v/>
      </c>
      <c r="D127" t="str">
        <f>IF('entri hasil dari isian siswa'!D127="","",'entri hasil dari isian siswa'!D127)</f>
        <v/>
      </c>
      <c r="E127" t="str">
        <f t="shared" si="37"/>
        <v/>
      </c>
      <c r="F127" t="str">
        <f t="shared" si="38"/>
        <v/>
      </c>
      <c r="G127" t="str">
        <f t="shared" si="39"/>
        <v/>
      </c>
      <c r="H127" t="str">
        <f t="shared" si="40"/>
        <v/>
      </c>
      <c r="I127" t="str">
        <f t="shared" si="41"/>
        <v/>
      </c>
      <c r="J127" t="str">
        <f t="shared" si="42"/>
        <v/>
      </c>
      <c r="K127" t="str">
        <f>IF($V127&lt;&gt;"OK","",RANK(E127,$E127:$J127,0)+COUNTIF($E127:E127,E127)-1)</f>
        <v/>
      </c>
      <c r="L127" t="str">
        <f>IF($V127&lt;&gt;"OK","",RANK(F127,$E127:$J127,0)+COUNTIF($E127:F127,F127)-1)</f>
        <v/>
      </c>
      <c r="M127" t="str">
        <f>IF($V127&lt;&gt;"OK","",RANK(G127,$E127:$J127,0)+COUNTIF($E127:G127,G127)-1)</f>
        <v/>
      </c>
      <c r="N127" t="str">
        <f>IF($V127&lt;&gt;"OK","",RANK(H127,$E127:$J127,0)+COUNTIF($E127:H127,H127)-1)</f>
        <v/>
      </c>
      <c r="O127" t="str">
        <f>IF($V127&lt;&gt;"OK","",RANK(I127,$E127:$J127,0)+COUNTIF($E127:I127,I127)-1)</f>
        <v/>
      </c>
      <c r="P127" t="str">
        <f>IF($V127&lt;&gt;"OK","",RANK(J127,$E127:$J127,0)+COUNTIF($E127:J127,J127)-1)</f>
        <v/>
      </c>
      <c r="Q127" t="str">
        <f t="shared" si="43"/>
        <v/>
      </c>
      <c r="R127" t="str">
        <f t="shared" si="44"/>
        <v/>
      </c>
      <c r="S127" t="str">
        <f t="shared" si="45"/>
        <v/>
      </c>
      <c r="T127" t="str">
        <f t="shared" si="46"/>
        <v/>
      </c>
      <c r="U127" s="1" t="str">
        <f>IF($T127="","",IFERROR(VLOOKUP($T127,'Kunci dari RIASEC'!$A$4:$B$123,2,FALSE),"Rekomendasi belum tersedia"))</f>
        <v/>
      </c>
      <c r="V127" t="str">
        <f>IF('entri hasil dari isian siswa'!B127="","",'entri hasil dari isian siswa'!HY127)</f>
        <v/>
      </c>
      <c r="W127" t="str">
        <f>IF($B127="","",SUM('entri hasil dari isian siswa'!E127:O127))</f>
        <v/>
      </c>
      <c r="X127" t="str">
        <f>IF($B127="","",SUM('entri hasil dari isian siswa'!P127:Z127))</f>
        <v/>
      </c>
      <c r="Y127" t="str">
        <f>IF($B127="","",SUM('entri hasil dari isian siswa'!AA127:AK127))</f>
        <v/>
      </c>
      <c r="Z127" t="str">
        <f>IF($B127="","",SUM('entri hasil dari isian siswa'!AL127:AV127))</f>
        <v/>
      </c>
      <c r="AA127" t="str">
        <f>IF($B127="","",SUM('entri hasil dari isian siswa'!AW127:BG127))</f>
        <v/>
      </c>
      <c r="AB127" t="str">
        <f>IF($B127="","",SUM('entri hasil dari isian siswa'!BH127:BR127))</f>
        <v/>
      </c>
      <c r="AC127" t="str">
        <f>IF($B127="","",SUM('entri hasil dari isian siswa'!BS127:CC127))</f>
        <v/>
      </c>
      <c r="AD127" t="str">
        <f>IF($B127="","",SUM('entri hasil dari isian siswa'!CD127:CN127))</f>
        <v/>
      </c>
      <c r="AE127" t="str">
        <f>IF($B127="","",SUM('entri hasil dari isian siswa'!CO127:CY127))</f>
        <v/>
      </c>
      <c r="AF127" t="str">
        <f>IF($B127="","",SUM('entri hasil dari isian siswa'!CZ127:DJ127))</f>
        <v/>
      </c>
      <c r="AG127" t="str">
        <f>IF($B127="","",SUM('entri hasil dari isian siswa'!DK127:DU127))</f>
        <v/>
      </c>
      <c r="AH127" t="str">
        <f>IF($B127="","",SUM('entri hasil dari isian siswa'!DV127:EF127))</f>
        <v/>
      </c>
      <c r="AI127" t="str">
        <f>IF($B127="","",SUM('entri hasil dari isian siswa'!EG127:ET127))</f>
        <v/>
      </c>
      <c r="AJ127" t="str">
        <f>IF($B127="","",SUM('entri hasil dari isian siswa'!EU127:FH127))</f>
        <v/>
      </c>
      <c r="AK127" t="str">
        <f>IF($B127="","",SUM('entri hasil dari isian siswa'!FI127:FV127))</f>
        <v/>
      </c>
      <c r="AL127" t="str">
        <f>IF($B127="","",SUM('entri hasil dari isian siswa'!FW127:GJ127))</f>
        <v/>
      </c>
      <c r="AM127" t="str">
        <f>IF($B127="","",SUM('entri hasil dari isian siswa'!GK127:GX127))</f>
        <v/>
      </c>
      <c r="AN127" t="str">
        <f>IF($B127="","",SUM('entri hasil dari isian siswa'!GY127:HL127))</f>
        <v/>
      </c>
      <c r="AO127" t="str">
        <f>IF($B127="","",'entri hasil dari isian siswa'!HM127+'entri hasil dari isian siswa'!HS127)</f>
        <v/>
      </c>
      <c r="AP127" t="str">
        <f>IF($B127="","",'entri hasil dari isian siswa'!HN127+'entri hasil dari isian siswa'!HT127)</f>
        <v/>
      </c>
      <c r="AQ127" t="str">
        <f>IF($B127="","",'entri hasil dari isian siswa'!HO127+'entri hasil dari isian siswa'!HU127)</f>
        <v/>
      </c>
      <c r="AR127" t="str">
        <f>IF($B127="","",'entri hasil dari isian siswa'!HP127+'entri hasil dari isian siswa'!HV127)</f>
        <v/>
      </c>
      <c r="AS127" t="str">
        <f>IF($B127="","",'entri hasil dari isian siswa'!HQ127+'entri hasil dari isian siswa'!HW127)</f>
        <v/>
      </c>
      <c r="AT127" t="str">
        <f>IF($B127="","",'entri hasil dari isian siswa'!HR127+'entri hasil dari isian siswa'!HX127)</f>
        <v/>
      </c>
      <c r="AU127" s="69" t="str">
        <f t="shared" si="47"/>
        <v/>
      </c>
      <c r="AV127" s="69" t="str">
        <f>IF($AU127="","",IFERROR(VLOOKUP($AU127,'Kunci dari RIASEC'!$J$4:$K$33,2,FALSE),""))</f>
        <v/>
      </c>
    </row>
    <row r="128" spans="1:48">
      <c r="A128">
        <f t="shared" si="36"/>
        <v>124</v>
      </c>
      <c r="B128" t="str">
        <f>IF('entri hasil dari isian siswa'!B128="","",'entri hasil dari isian siswa'!B128)</f>
        <v/>
      </c>
      <c r="C128" t="str">
        <f>IF('entri hasil dari isian siswa'!C128="","",'entri hasil dari isian siswa'!C128)</f>
        <v/>
      </c>
      <c r="D128" t="str">
        <f>IF('entri hasil dari isian siswa'!D128="","",'entri hasil dari isian siswa'!D128)</f>
        <v/>
      </c>
      <c r="E128" t="str">
        <f t="shared" si="37"/>
        <v/>
      </c>
      <c r="F128" t="str">
        <f t="shared" si="38"/>
        <v/>
      </c>
      <c r="G128" t="str">
        <f t="shared" si="39"/>
        <v/>
      </c>
      <c r="H128" t="str">
        <f t="shared" si="40"/>
        <v/>
      </c>
      <c r="I128" t="str">
        <f t="shared" si="41"/>
        <v/>
      </c>
      <c r="J128" t="str">
        <f t="shared" si="42"/>
        <v/>
      </c>
      <c r="K128" t="str">
        <f>IF($V128&lt;&gt;"OK","",RANK(E128,$E128:$J128,0)+COUNTIF($E128:E128,E128)-1)</f>
        <v/>
      </c>
      <c r="L128" t="str">
        <f>IF($V128&lt;&gt;"OK","",RANK(F128,$E128:$J128,0)+COUNTIF($E128:F128,F128)-1)</f>
        <v/>
      </c>
      <c r="M128" t="str">
        <f>IF($V128&lt;&gt;"OK","",RANK(G128,$E128:$J128,0)+COUNTIF($E128:G128,G128)-1)</f>
        <v/>
      </c>
      <c r="N128" t="str">
        <f>IF($V128&lt;&gt;"OK","",RANK(H128,$E128:$J128,0)+COUNTIF($E128:H128,H128)-1)</f>
        <v/>
      </c>
      <c r="O128" t="str">
        <f>IF($V128&lt;&gt;"OK","",RANK(I128,$E128:$J128,0)+COUNTIF($E128:I128,I128)-1)</f>
        <v/>
      </c>
      <c r="P128" t="str">
        <f>IF($V128&lt;&gt;"OK","",RANK(J128,$E128:$J128,0)+COUNTIF($E128:J128,J128)-1)</f>
        <v/>
      </c>
      <c r="Q128" t="str">
        <f t="shared" si="43"/>
        <v/>
      </c>
      <c r="R128" t="str">
        <f t="shared" si="44"/>
        <v/>
      </c>
      <c r="S128" t="str">
        <f t="shared" si="45"/>
        <v/>
      </c>
      <c r="T128" t="str">
        <f t="shared" si="46"/>
        <v/>
      </c>
      <c r="U128" s="1" t="str">
        <f>IF($T128="","",IFERROR(VLOOKUP($T128,'Kunci dari RIASEC'!$A$4:$B$123,2,FALSE),"Rekomendasi belum tersedia"))</f>
        <v/>
      </c>
      <c r="V128" t="str">
        <f>IF('entri hasil dari isian siswa'!B128="","",'entri hasil dari isian siswa'!HY128)</f>
        <v/>
      </c>
      <c r="W128" t="str">
        <f>IF($B128="","",SUM('entri hasil dari isian siswa'!E128:O128))</f>
        <v/>
      </c>
      <c r="X128" t="str">
        <f>IF($B128="","",SUM('entri hasil dari isian siswa'!P128:Z128))</f>
        <v/>
      </c>
      <c r="Y128" t="str">
        <f>IF($B128="","",SUM('entri hasil dari isian siswa'!AA128:AK128))</f>
        <v/>
      </c>
      <c r="Z128" t="str">
        <f>IF($B128="","",SUM('entri hasil dari isian siswa'!AL128:AV128))</f>
        <v/>
      </c>
      <c r="AA128" t="str">
        <f>IF($B128="","",SUM('entri hasil dari isian siswa'!AW128:BG128))</f>
        <v/>
      </c>
      <c r="AB128" t="str">
        <f>IF($B128="","",SUM('entri hasil dari isian siswa'!BH128:BR128))</f>
        <v/>
      </c>
      <c r="AC128" t="str">
        <f>IF($B128="","",SUM('entri hasil dari isian siswa'!BS128:CC128))</f>
        <v/>
      </c>
      <c r="AD128" t="str">
        <f>IF($B128="","",SUM('entri hasil dari isian siswa'!CD128:CN128))</f>
        <v/>
      </c>
      <c r="AE128" t="str">
        <f>IF($B128="","",SUM('entri hasil dari isian siswa'!CO128:CY128))</f>
        <v/>
      </c>
      <c r="AF128" t="str">
        <f>IF($B128="","",SUM('entri hasil dari isian siswa'!CZ128:DJ128))</f>
        <v/>
      </c>
      <c r="AG128" t="str">
        <f>IF($B128="","",SUM('entri hasil dari isian siswa'!DK128:DU128))</f>
        <v/>
      </c>
      <c r="AH128" t="str">
        <f>IF($B128="","",SUM('entri hasil dari isian siswa'!DV128:EF128))</f>
        <v/>
      </c>
      <c r="AI128" t="str">
        <f>IF($B128="","",SUM('entri hasil dari isian siswa'!EG128:ET128))</f>
        <v/>
      </c>
      <c r="AJ128" t="str">
        <f>IF($B128="","",SUM('entri hasil dari isian siswa'!EU128:FH128))</f>
        <v/>
      </c>
      <c r="AK128" t="str">
        <f>IF($B128="","",SUM('entri hasil dari isian siswa'!FI128:FV128))</f>
        <v/>
      </c>
      <c r="AL128" t="str">
        <f>IF($B128="","",SUM('entri hasil dari isian siswa'!FW128:GJ128))</f>
        <v/>
      </c>
      <c r="AM128" t="str">
        <f>IF($B128="","",SUM('entri hasil dari isian siswa'!GK128:GX128))</f>
        <v/>
      </c>
      <c r="AN128" t="str">
        <f>IF($B128="","",SUM('entri hasil dari isian siswa'!GY128:HL128))</f>
        <v/>
      </c>
      <c r="AO128" t="str">
        <f>IF($B128="","",'entri hasil dari isian siswa'!HM128+'entri hasil dari isian siswa'!HS128)</f>
        <v/>
      </c>
      <c r="AP128" t="str">
        <f>IF($B128="","",'entri hasil dari isian siswa'!HN128+'entri hasil dari isian siswa'!HT128)</f>
        <v/>
      </c>
      <c r="AQ128" t="str">
        <f>IF($B128="","",'entri hasil dari isian siswa'!HO128+'entri hasil dari isian siswa'!HU128)</f>
        <v/>
      </c>
      <c r="AR128" t="str">
        <f>IF($B128="","",'entri hasil dari isian siswa'!HP128+'entri hasil dari isian siswa'!HV128)</f>
        <v/>
      </c>
      <c r="AS128" t="str">
        <f>IF($B128="","",'entri hasil dari isian siswa'!HQ128+'entri hasil dari isian siswa'!HW128)</f>
        <v/>
      </c>
      <c r="AT128" t="str">
        <f>IF($B128="","",'entri hasil dari isian siswa'!HR128+'entri hasil dari isian siswa'!HX128)</f>
        <v/>
      </c>
      <c r="AU128" s="69" t="str">
        <f t="shared" si="47"/>
        <v/>
      </c>
      <c r="AV128" s="69" t="str">
        <f>IF($AU128="","",IFERROR(VLOOKUP($AU128,'Kunci dari RIASEC'!$J$4:$K$33,2,FALSE),""))</f>
        <v/>
      </c>
    </row>
    <row r="129" spans="1:48">
      <c r="A129">
        <f t="shared" si="36"/>
        <v>125</v>
      </c>
      <c r="B129" t="str">
        <f>IF('entri hasil dari isian siswa'!B129="","",'entri hasil dari isian siswa'!B129)</f>
        <v/>
      </c>
      <c r="C129" t="str">
        <f>IF('entri hasil dari isian siswa'!C129="","",'entri hasil dari isian siswa'!C129)</f>
        <v/>
      </c>
      <c r="D129" t="str">
        <f>IF('entri hasil dari isian siswa'!D129="","",'entri hasil dari isian siswa'!D129)</f>
        <v/>
      </c>
      <c r="E129" t="str">
        <f t="shared" si="37"/>
        <v/>
      </c>
      <c r="F129" t="str">
        <f t="shared" si="38"/>
        <v/>
      </c>
      <c r="G129" t="str">
        <f t="shared" si="39"/>
        <v/>
      </c>
      <c r="H129" t="str">
        <f t="shared" si="40"/>
        <v/>
      </c>
      <c r="I129" t="str">
        <f t="shared" si="41"/>
        <v/>
      </c>
      <c r="J129" t="str">
        <f t="shared" si="42"/>
        <v/>
      </c>
      <c r="K129" t="str">
        <f>IF($V129&lt;&gt;"OK","",RANK(E129,$E129:$J129,0)+COUNTIF($E129:E129,E129)-1)</f>
        <v/>
      </c>
      <c r="L129" t="str">
        <f>IF($V129&lt;&gt;"OK","",RANK(F129,$E129:$J129,0)+COUNTIF($E129:F129,F129)-1)</f>
        <v/>
      </c>
      <c r="M129" t="str">
        <f>IF($V129&lt;&gt;"OK","",RANK(G129,$E129:$J129,0)+COUNTIF($E129:G129,G129)-1)</f>
        <v/>
      </c>
      <c r="N129" t="str">
        <f>IF($V129&lt;&gt;"OK","",RANK(H129,$E129:$J129,0)+COUNTIF($E129:H129,H129)-1)</f>
        <v/>
      </c>
      <c r="O129" t="str">
        <f>IF($V129&lt;&gt;"OK","",RANK(I129,$E129:$J129,0)+COUNTIF($E129:I129,I129)-1)</f>
        <v/>
      </c>
      <c r="P129" t="str">
        <f>IF($V129&lt;&gt;"OK","",RANK(J129,$E129:$J129,0)+COUNTIF($E129:J129,J129)-1)</f>
        <v/>
      </c>
      <c r="Q129" t="str">
        <f t="shared" si="43"/>
        <v/>
      </c>
      <c r="R129" t="str">
        <f t="shared" si="44"/>
        <v/>
      </c>
      <c r="S129" t="str">
        <f t="shared" si="45"/>
        <v/>
      </c>
      <c r="T129" t="str">
        <f t="shared" si="46"/>
        <v/>
      </c>
      <c r="U129" s="1" t="str">
        <f>IF($T129="","",IFERROR(VLOOKUP($T129,'Kunci dari RIASEC'!$A$4:$B$123,2,FALSE),"Rekomendasi belum tersedia"))</f>
        <v/>
      </c>
      <c r="V129" t="str">
        <f>IF('entri hasil dari isian siswa'!B129="","",'entri hasil dari isian siswa'!HY129)</f>
        <v/>
      </c>
      <c r="W129" t="str">
        <f>IF($B129="","",SUM('entri hasil dari isian siswa'!E129:O129))</f>
        <v/>
      </c>
      <c r="X129" t="str">
        <f>IF($B129="","",SUM('entri hasil dari isian siswa'!P129:Z129))</f>
        <v/>
      </c>
      <c r="Y129" t="str">
        <f>IF($B129="","",SUM('entri hasil dari isian siswa'!AA129:AK129))</f>
        <v/>
      </c>
      <c r="Z129" t="str">
        <f>IF($B129="","",SUM('entri hasil dari isian siswa'!AL129:AV129))</f>
        <v/>
      </c>
      <c r="AA129" t="str">
        <f>IF($B129="","",SUM('entri hasil dari isian siswa'!AW129:BG129))</f>
        <v/>
      </c>
      <c r="AB129" t="str">
        <f>IF($B129="","",SUM('entri hasil dari isian siswa'!BH129:BR129))</f>
        <v/>
      </c>
      <c r="AC129" t="str">
        <f>IF($B129="","",SUM('entri hasil dari isian siswa'!BS129:CC129))</f>
        <v/>
      </c>
      <c r="AD129" t="str">
        <f>IF($B129="","",SUM('entri hasil dari isian siswa'!CD129:CN129))</f>
        <v/>
      </c>
      <c r="AE129" t="str">
        <f>IF($B129="","",SUM('entri hasil dari isian siswa'!CO129:CY129))</f>
        <v/>
      </c>
      <c r="AF129" t="str">
        <f>IF($B129="","",SUM('entri hasil dari isian siswa'!CZ129:DJ129))</f>
        <v/>
      </c>
      <c r="AG129" t="str">
        <f>IF($B129="","",SUM('entri hasil dari isian siswa'!DK129:DU129))</f>
        <v/>
      </c>
      <c r="AH129" t="str">
        <f>IF($B129="","",SUM('entri hasil dari isian siswa'!DV129:EF129))</f>
        <v/>
      </c>
      <c r="AI129" t="str">
        <f>IF($B129="","",SUM('entri hasil dari isian siswa'!EG129:ET129))</f>
        <v/>
      </c>
      <c r="AJ129" t="str">
        <f>IF($B129="","",SUM('entri hasil dari isian siswa'!EU129:FH129))</f>
        <v/>
      </c>
      <c r="AK129" t="str">
        <f>IF($B129="","",SUM('entri hasil dari isian siswa'!FI129:FV129))</f>
        <v/>
      </c>
      <c r="AL129" t="str">
        <f>IF($B129="","",SUM('entri hasil dari isian siswa'!FW129:GJ129))</f>
        <v/>
      </c>
      <c r="AM129" t="str">
        <f>IF($B129="","",SUM('entri hasil dari isian siswa'!GK129:GX129))</f>
        <v/>
      </c>
      <c r="AN129" t="str">
        <f>IF($B129="","",SUM('entri hasil dari isian siswa'!GY129:HL129))</f>
        <v/>
      </c>
      <c r="AO129" t="str">
        <f>IF($B129="","",'entri hasil dari isian siswa'!HM129+'entri hasil dari isian siswa'!HS129)</f>
        <v/>
      </c>
      <c r="AP129" t="str">
        <f>IF($B129="","",'entri hasil dari isian siswa'!HN129+'entri hasil dari isian siswa'!HT129)</f>
        <v/>
      </c>
      <c r="AQ129" t="str">
        <f>IF($B129="","",'entri hasil dari isian siswa'!HO129+'entri hasil dari isian siswa'!HU129)</f>
        <v/>
      </c>
      <c r="AR129" t="str">
        <f>IF($B129="","",'entri hasil dari isian siswa'!HP129+'entri hasil dari isian siswa'!HV129)</f>
        <v/>
      </c>
      <c r="AS129" t="str">
        <f>IF($B129="","",'entri hasil dari isian siswa'!HQ129+'entri hasil dari isian siswa'!HW129)</f>
        <v/>
      </c>
      <c r="AT129" t="str">
        <f>IF($B129="","",'entri hasil dari isian siswa'!HR129+'entri hasil dari isian siswa'!HX129)</f>
        <v/>
      </c>
      <c r="AU129" s="69" t="str">
        <f t="shared" si="47"/>
        <v/>
      </c>
      <c r="AV129" s="69" t="str">
        <f>IF($AU129="","",IFERROR(VLOOKUP($AU129,'Kunci dari RIASEC'!$J$4:$K$33,2,FALSE),""))</f>
        <v/>
      </c>
    </row>
    <row r="130" spans="1:48">
      <c r="A130">
        <f t="shared" si="36"/>
        <v>126</v>
      </c>
      <c r="B130" t="str">
        <f>IF('entri hasil dari isian siswa'!B130="","",'entri hasil dari isian siswa'!B130)</f>
        <v/>
      </c>
      <c r="C130" t="str">
        <f>IF('entri hasil dari isian siswa'!C130="","",'entri hasil dari isian siswa'!C130)</f>
        <v/>
      </c>
      <c r="D130" t="str">
        <f>IF('entri hasil dari isian siswa'!D130="","",'entri hasil dari isian siswa'!D130)</f>
        <v/>
      </c>
      <c r="E130" t="str">
        <f t="shared" si="37"/>
        <v/>
      </c>
      <c r="F130" t="str">
        <f t="shared" si="38"/>
        <v/>
      </c>
      <c r="G130" t="str">
        <f t="shared" si="39"/>
        <v/>
      </c>
      <c r="H130" t="str">
        <f t="shared" si="40"/>
        <v/>
      </c>
      <c r="I130" t="str">
        <f t="shared" si="41"/>
        <v/>
      </c>
      <c r="J130" t="str">
        <f t="shared" si="42"/>
        <v/>
      </c>
      <c r="K130" t="str">
        <f>IF($V130&lt;&gt;"OK","",RANK(E130,$E130:$J130,0)+COUNTIF($E130:E130,E130)-1)</f>
        <v/>
      </c>
      <c r="L130" t="str">
        <f>IF($V130&lt;&gt;"OK","",RANK(F130,$E130:$J130,0)+COUNTIF($E130:F130,F130)-1)</f>
        <v/>
      </c>
      <c r="M130" t="str">
        <f>IF($V130&lt;&gt;"OK","",RANK(G130,$E130:$J130,0)+COUNTIF($E130:G130,G130)-1)</f>
        <v/>
      </c>
      <c r="N130" t="str">
        <f>IF($V130&lt;&gt;"OK","",RANK(H130,$E130:$J130,0)+COUNTIF($E130:H130,H130)-1)</f>
        <v/>
      </c>
      <c r="O130" t="str">
        <f>IF($V130&lt;&gt;"OK","",RANK(I130,$E130:$J130,0)+COUNTIF($E130:I130,I130)-1)</f>
        <v/>
      </c>
      <c r="P130" t="str">
        <f>IF($V130&lt;&gt;"OK","",RANK(J130,$E130:$J130,0)+COUNTIF($E130:J130,J130)-1)</f>
        <v/>
      </c>
      <c r="Q130" t="str">
        <f t="shared" si="43"/>
        <v/>
      </c>
      <c r="R130" t="str">
        <f t="shared" si="44"/>
        <v/>
      </c>
      <c r="S130" t="str">
        <f t="shared" si="45"/>
        <v/>
      </c>
      <c r="T130" t="str">
        <f t="shared" si="46"/>
        <v/>
      </c>
      <c r="U130" s="1" t="str">
        <f>IF($T130="","",IFERROR(VLOOKUP($T130,'Kunci dari RIASEC'!$A$4:$B$123,2,FALSE),"Rekomendasi belum tersedia"))</f>
        <v/>
      </c>
      <c r="V130" t="str">
        <f>IF('entri hasil dari isian siswa'!B130="","",'entri hasil dari isian siswa'!HY130)</f>
        <v/>
      </c>
      <c r="W130" t="str">
        <f>IF($B130="","",SUM('entri hasil dari isian siswa'!E130:O130))</f>
        <v/>
      </c>
      <c r="X130" t="str">
        <f>IF($B130="","",SUM('entri hasil dari isian siswa'!P130:Z130))</f>
        <v/>
      </c>
      <c r="Y130" t="str">
        <f>IF($B130="","",SUM('entri hasil dari isian siswa'!AA130:AK130))</f>
        <v/>
      </c>
      <c r="Z130" t="str">
        <f>IF($B130="","",SUM('entri hasil dari isian siswa'!AL130:AV130))</f>
        <v/>
      </c>
      <c r="AA130" t="str">
        <f>IF($B130="","",SUM('entri hasil dari isian siswa'!AW130:BG130))</f>
        <v/>
      </c>
      <c r="AB130" t="str">
        <f>IF($B130="","",SUM('entri hasil dari isian siswa'!BH130:BR130))</f>
        <v/>
      </c>
      <c r="AC130" t="str">
        <f>IF($B130="","",SUM('entri hasil dari isian siswa'!BS130:CC130))</f>
        <v/>
      </c>
      <c r="AD130" t="str">
        <f>IF($B130="","",SUM('entri hasil dari isian siswa'!CD130:CN130))</f>
        <v/>
      </c>
      <c r="AE130" t="str">
        <f>IF($B130="","",SUM('entri hasil dari isian siswa'!CO130:CY130))</f>
        <v/>
      </c>
      <c r="AF130" t="str">
        <f>IF($B130="","",SUM('entri hasil dari isian siswa'!CZ130:DJ130))</f>
        <v/>
      </c>
      <c r="AG130" t="str">
        <f>IF($B130="","",SUM('entri hasil dari isian siswa'!DK130:DU130))</f>
        <v/>
      </c>
      <c r="AH130" t="str">
        <f>IF($B130="","",SUM('entri hasil dari isian siswa'!DV130:EF130))</f>
        <v/>
      </c>
      <c r="AI130" t="str">
        <f>IF($B130="","",SUM('entri hasil dari isian siswa'!EG130:ET130))</f>
        <v/>
      </c>
      <c r="AJ130" t="str">
        <f>IF($B130="","",SUM('entri hasil dari isian siswa'!EU130:FH130))</f>
        <v/>
      </c>
      <c r="AK130" t="str">
        <f>IF($B130="","",SUM('entri hasil dari isian siswa'!FI130:FV130))</f>
        <v/>
      </c>
      <c r="AL130" t="str">
        <f>IF($B130="","",SUM('entri hasil dari isian siswa'!FW130:GJ130))</f>
        <v/>
      </c>
      <c r="AM130" t="str">
        <f>IF($B130="","",SUM('entri hasil dari isian siswa'!GK130:GX130))</f>
        <v/>
      </c>
      <c r="AN130" t="str">
        <f>IF($B130="","",SUM('entri hasil dari isian siswa'!GY130:HL130))</f>
        <v/>
      </c>
      <c r="AO130" t="str">
        <f>IF($B130="","",'entri hasil dari isian siswa'!HM130+'entri hasil dari isian siswa'!HS130)</f>
        <v/>
      </c>
      <c r="AP130" t="str">
        <f>IF($B130="","",'entri hasil dari isian siswa'!HN130+'entri hasil dari isian siswa'!HT130)</f>
        <v/>
      </c>
      <c r="AQ130" t="str">
        <f>IF($B130="","",'entri hasil dari isian siswa'!HO130+'entri hasil dari isian siswa'!HU130)</f>
        <v/>
      </c>
      <c r="AR130" t="str">
        <f>IF($B130="","",'entri hasil dari isian siswa'!HP130+'entri hasil dari isian siswa'!HV130)</f>
        <v/>
      </c>
      <c r="AS130" t="str">
        <f>IF($B130="","",'entri hasil dari isian siswa'!HQ130+'entri hasil dari isian siswa'!HW130)</f>
        <v/>
      </c>
      <c r="AT130" t="str">
        <f>IF($B130="","",'entri hasil dari isian siswa'!HR130+'entri hasil dari isian siswa'!HX130)</f>
        <v/>
      </c>
      <c r="AU130" s="69" t="str">
        <f t="shared" si="47"/>
        <v/>
      </c>
      <c r="AV130" s="69" t="str">
        <f>IF($AU130="","",IFERROR(VLOOKUP($AU130,'Kunci dari RIASEC'!$J$4:$K$33,2,FALSE),""))</f>
        <v/>
      </c>
    </row>
    <row r="131" spans="1:48">
      <c r="A131">
        <f t="shared" si="36"/>
        <v>127</v>
      </c>
      <c r="B131" t="str">
        <f>IF('entri hasil dari isian siswa'!B131="","",'entri hasil dari isian siswa'!B131)</f>
        <v/>
      </c>
      <c r="C131" t="str">
        <f>IF('entri hasil dari isian siswa'!C131="","",'entri hasil dari isian siswa'!C131)</f>
        <v/>
      </c>
      <c r="D131" t="str">
        <f>IF('entri hasil dari isian siswa'!D131="","",'entri hasil dari isian siswa'!D131)</f>
        <v/>
      </c>
      <c r="E131" t="str">
        <f t="shared" si="37"/>
        <v/>
      </c>
      <c r="F131" t="str">
        <f t="shared" si="38"/>
        <v/>
      </c>
      <c r="G131" t="str">
        <f t="shared" si="39"/>
        <v/>
      </c>
      <c r="H131" t="str">
        <f t="shared" si="40"/>
        <v/>
      </c>
      <c r="I131" t="str">
        <f t="shared" si="41"/>
        <v/>
      </c>
      <c r="J131" t="str">
        <f t="shared" si="42"/>
        <v/>
      </c>
      <c r="K131" t="str">
        <f>IF($V131&lt;&gt;"OK","",RANK(E131,$E131:$J131,0)+COUNTIF($E131:E131,E131)-1)</f>
        <v/>
      </c>
      <c r="L131" t="str">
        <f>IF($V131&lt;&gt;"OK","",RANK(F131,$E131:$J131,0)+COUNTIF($E131:F131,F131)-1)</f>
        <v/>
      </c>
      <c r="M131" t="str">
        <f>IF($V131&lt;&gt;"OK","",RANK(G131,$E131:$J131,0)+COUNTIF($E131:G131,G131)-1)</f>
        <v/>
      </c>
      <c r="N131" t="str">
        <f>IF($V131&lt;&gt;"OK","",RANK(H131,$E131:$J131,0)+COUNTIF($E131:H131,H131)-1)</f>
        <v/>
      </c>
      <c r="O131" t="str">
        <f>IF($V131&lt;&gt;"OK","",RANK(I131,$E131:$J131,0)+COUNTIF($E131:I131,I131)-1)</f>
        <v/>
      </c>
      <c r="P131" t="str">
        <f>IF($V131&lt;&gt;"OK","",RANK(J131,$E131:$J131,0)+COUNTIF($E131:J131,J131)-1)</f>
        <v/>
      </c>
      <c r="Q131" t="str">
        <f t="shared" si="43"/>
        <v/>
      </c>
      <c r="R131" t="str">
        <f t="shared" si="44"/>
        <v/>
      </c>
      <c r="S131" t="str">
        <f t="shared" si="45"/>
        <v/>
      </c>
      <c r="T131" t="str">
        <f t="shared" si="46"/>
        <v/>
      </c>
      <c r="U131" s="1" t="str">
        <f>IF($T131="","",IFERROR(VLOOKUP($T131,'Kunci dari RIASEC'!$A$4:$B$123,2,FALSE),"Rekomendasi belum tersedia"))</f>
        <v/>
      </c>
      <c r="V131" t="str">
        <f>IF('entri hasil dari isian siswa'!B131="","",'entri hasil dari isian siswa'!HY131)</f>
        <v/>
      </c>
      <c r="W131" t="str">
        <f>IF($B131="","",SUM('entri hasil dari isian siswa'!E131:O131))</f>
        <v/>
      </c>
      <c r="X131" t="str">
        <f>IF($B131="","",SUM('entri hasil dari isian siswa'!P131:Z131))</f>
        <v/>
      </c>
      <c r="Y131" t="str">
        <f>IF($B131="","",SUM('entri hasil dari isian siswa'!AA131:AK131))</f>
        <v/>
      </c>
      <c r="Z131" t="str">
        <f>IF($B131="","",SUM('entri hasil dari isian siswa'!AL131:AV131))</f>
        <v/>
      </c>
      <c r="AA131" t="str">
        <f>IF($B131="","",SUM('entri hasil dari isian siswa'!AW131:BG131))</f>
        <v/>
      </c>
      <c r="AB131" t="str">
        <f>IF($B131="","",SUM('entri hasil dari isian siswa'!BH131:BR131))</f>
        <v/>
      </c>
      <c r="AC131" t="str">
        <f>IF($B131="","",SUM('entri hasil dari isian siswa'!BS131:CC131))</f>
        <v/>
      </c>
      <c r="AD131" t="str">
        <f>IF($B131="","",SUM('entri hasil dari isian siswa'!CD131:CN131))</f>
        <v/>
      </c>
      <c r="AE131" t="str">
        <f>IF($B131="","",SUM('entri hasil dari isian siswa'!CO131:CY131))</f>
        <v/>
      </c>
      <c r="AF131" t="str">
        <f>IF($B131="","",SUM('entri hasil dari isian siswa'!CZ131:DJ131))</f>
        <v/>
      </c>
      <c r="AG131" t="str">
        <f>IF($B131="","",SUM('entri hasil dari isian siswa'!DK131:DU131))</f>
        <v/>
      </c>
      <c r="AH131" t="str">
        <f>IF($B131="","",SUM('entri hasil dari isian siswa'!DV131:EF131))</f>
        <v/>
      </c>
      <c r="AI131" t="str">
        <f>IF($B131="","",SUM('entri hasil dari isian siswa'!EG131:ET131))</f>
        <v/>
      </c>
      <c r="AJ131" t="str">
        <f>IF($B131="","",SUM('entri hasil dari isian siswa'!EU131:FH131))</f>
        <v/>
      </c>
      <c r="AK131" t="str">
        <f>IF($B131="","",SUM('entri hasil dari isian siswa'!FI131:FV131))</f>
        <v/>
      </c>
      <c r="AL131" t="str">
        <f>IF($B131="","",SUM('entri hasil dari isian siswa'!FW131:GJ131))</f>
        <v/>
      </c>
      <c r="AM131" t="str">
        <f>IF($B131="","",SUM('entri hasil dari isian siswa'!GK131:GX131))</f>
        <v/>
      </c>
      <c r="AN131" t="str">
        <f>IF($B131="","",SUM('entri hasil dari isian siswa'!GY131:HL131))</f>
        <v/>
      </c>
      <c r="AO131" t="str">
        <f>IF($B131="","",'entri hasil dari isian siswa'!HM131+'entri hasil dari isian siswa'!HS131)</f>
        <v/>
      </c>
      <c r="AP131" t="str">
        <f>IF($B131="","",'entri hasil dari isian siswa'!HN131+'entri hasil dari isian siswa'!HT131)</f>
        <v/>
      </c>
      <c r="AQ131" t="str">
        <f>IF($B131="","",'entri hasil dari isian siswa'!HO131+'entri hasil dari isian siswa'!HU131)</f>
        <v/>
      </c>
      <c r="AR131" t="str">
        <f>IF($B131="","",'entri hasil dari isian siswa'!HP131+'entri hasil dari isian siswa'!HV131)</f>
        <v/>
      </c>
      <c r="AS131" t="str">
        <f>IF($B131="","",'entri hasil dari isian siswa'!HQ131+'entri hasil dari isian siswa'!HW131)</f>
        <v/>
      </c>
      <c r="AT131" t="str">
        <f>IF($B131="","",'entri hasil dari isian siswa'!HR131+'entri hasil dari isian siswa'!HX131)</f>
        <v/>
      </c>
      <c r="AU131" s="69" t="str">
        <f t="shared" si="47"/>
        <v/>
      </c>
      <c r="AV131" s="69" t="str">
        <f>IF($AU131="","",IFERROR(VLOOKUP($AU131,'Kunci dari RIASEC'!$J$4:$K$33,2,FALSE),""))</f>
        <v/>
      </c>
    </row>
    <row r="132" spans="1:48">
      <c r="A132">
        <f t="shared" si="36"/>
        <v>128</v>
      </c>
      <c r="B132" t="str">
        <f>IF('entri hasil dari isian siswa'!B132="","",'entri hasil dari isian siswa'!B132)</f>
        <v/>
      </c>
      <c r="C132" t="str">
        <f>IF('entri hasil dari isian siswa'!C132="","",'entri hasil dari isian siswa'!C132)</f>
        <v/>
      </c>
      <c r="D132" t="str">
        <f>IF('entri hasil dari isian siswa'!D132="","",'entri hasil dari isian siswa'!D132)</f>
        <v/>
      </c>
      <c r="E132" t="str">
        <f t="shared" si="37"/>
        <v/>
      </c>
      <c r="F132" t="str">
        <f t="shared" si="38"/>
        <v/>
      </c>
      <c r="G132" t="str">
        <f t="shared" si="39"/>
        <v/>
      </c>
      <c r="H132" t="str">
        <f t="shared" si="40"/>
        <v/>
      </c>
      <c r="I132" t="str">
        <f t="shared" si="41"/>
        <v/>
      </c>
      <c r="J132" t="str">
        <f t="shared" si="42"/>
        <v/>
      </c>
      <c r="K132" t="str">
        <f>IF($V132&lt;&gt;"OK","",RANK(E132,$E132:$J132,0)+COUNTIF($E132:E132,E132)-1)</f>
        <v/>
      </c>
      <c r="L132" t="str">
        <f>IF($V132&lt;&gt;"OK","",RANK(F132,$E132:$J132,0)+COUNTIF($E132:F132,F132)-1)</f>
        <v/>
      </c>
      <c r="M132" t="str">
        <f>IF($V132&lt;&gt;"OK","",RANK(G132,$E132:$J132,0)+COUNTIF($E132:G132,G132)-1)</f>
        <v/>
      </c>
      <c r="N132" t="str">
        <f>IF($V132&lt;&gt;"OK","",RANK(H132,$E132:$J132,0)+COUNTIF($E132:H132,H132)-1)</f>
        <v/>
      </c>
      <c r="O132" t="str">
        <f>IF($V132&lt;&gt;"OK","",RANK(I132,$E132:$J132,0)+COUNTIF($E132:I132,I132)-1)</f>
        <v/>
      </c>
      <c r="P132" t="str">
        <f>IF($V132&lt;&gt;"OK","",RANK(J132,$E132:$J132,0)+COUNTIF($E132:J132,J132)-1)</f>
        <v/>
      </c>
      <c r="Q132" t="str">
        <f t="shared" si="43"/>
        <v/>
      </c>
      <c r="R132" t="str">
        <f t="shared" si="44"/>
        <v/>
      </c>
      <c r="S132" t="str">
        <f t="shared" si="45"/>
        <v/>
      </c>
      <c r="T132" t="str">
        <f t="shared" si="46"/>
        <v/>
      </c>
      <c r="U132" s="1" t="str">
        <f>IF($T132="","",IFERROR(VLOOKUP($T132,'Kunci dari RIASEC'!$A$4:$B$123,2,FALSE),"Rekomendasi belum tersedia"))</f>
        <v/>
      </c>
      <c r="V132" t="str">
        <f>IF('entri hasil dari isian siswa'!B132="","",'entri hasil dari isian siswa'!HY132)</f>
        <v/>
      </c>
      <c r="W132" t="str">
        <f>IF($B132="","",SUM('entri hasil dari isian siswa'!E132:O132))</f>
        <v/>
      </c>
      <c r="X132" t="str">
        <f>IF($B132="","",SUM('entri hasil dari isian siswa'!P132:Z132))</f>
        <v/>
      </c>
      <c r="Y132" t="str">
        <f>IF($B132="","",SUM('entri hasil dari isian siswa'!AA132:AK132))</f>
        <v/>
      </c>
      <c r="Z132" t="str">
        <f>IF($B132="","",SUM('entri hasil dari isian siswa'!AL132:AV132))</f>
        <v/>
      </c>
      <c r="AA132" t="str">
        <f>IF($B132="","",SUM('entri hasil dari isian siswa'!AW132:BG132))</f>
        <v/>
      </c>
      <c r="AB132" t="str">
        <f>IF($B132="","",SUM('entri hasil dari isian siswa'!BH132:BR132))</f>
        <v/>
      </c>
      <c r="AC132" t="str">
        <f>IF($B132="","",SUM('entri hasil dari isian siswa'!BS132:CC132))</f>
        <v/>
      </c>
      <c r="AD132" t="str">
        <f>IF($B132="","",SUM('entri hasil dari isian siswa'!CD132:CN132))</f>
        <v/>
      </c>
      <c r="AE132" t="str">
        <f>IF($B132="","",SUM('entri hasil dari isian siswa'!CO132:CY132))</f>
        <v/>
      </c>
      <c r="AF132" t="str">
        <f>IF($B132="","",SUM('entri hasil dari isian siswa'!CZ132:DJ132))</f>
        <v/>
      </c>
      <c r="AG132" t="str">
        <f>IF($B132="","",SUM('entri hasil dari isian siswa'!DK132:DU132))</f>
        <v/>
      </c>
      <c r="AH132" t="str">
        <f>IF($B132="","",SUM('entri hasil dari isian siswa'!DV132:EF132))</f>
        <v/>
      </c>
      <c r="AI132" t="str">
        <f>IF($B132="","",SUM('entri hasil dari isian siswa'!EG132:ET132))</f>
        <v/>
      </c>
      <c r="AJ132" t="str">
        <f>IF($B132="","",SUM('entri hasil dari isian siswa'!EU132:FH132))</f>
        <v/>
      </c>
      <c r="AK132" t="str">
        <f>IF($B132="","",SUM('entri hasil dari isian siswa'!FI132:FV132))</f>
        <v/>
      </c>
      <c r="AL132" t="str">
        <f>IF($B132="","",SUM('entri hasil dari isian siswa'!FW132:GJ132))</f>
        <v/>
      </c>
      <c r="AM132" t="str">
        <f>IF($B132="","",SUM('entri hasil dari isian siswa'!GK132:GX132))</f>
        <v/>
      </c>
      <c r="AN132" t="str">
        <f>IF($B132="","",SUM('entri hasil dari isian siswa'!GY132:HL132))</f>
        <v/>
      </c>
      <c r="AO132" t="str">
        <f>IF($B132="","",'entri hasil dari isian siswa'!HM132+'entri hasil dari isian siswa'!HS132)</f>
        <v/>
      </c>
      <c r="AP132" t="str">
        <f>IF($B132="","",'entri hasil dari isian siswa'!HN132+'entri hasil dari isian siswa'!HT132)</f>
        <v/>
      </c>
      <c r="AQ132" t="str">
        <f>IF($B132="","",'entri hasil dari isian siswa'!HO132+'entri hasil dari isian siswa'!HU132)</f>
        <v/>
      </c>
      <c r="AR132" t="str">
        <f>IF($B132="","",'entri hasil dari isian siswa'!HP132+'entri hasil dari isian siswa'!HV132)</f>
        <v/>
      </c>
      <c r="AS132" t="str">
        <f>IF($B132="","",'entri hasil dari isian siswa'!HQ132+'entri hasil dari isian siswa'!HW132)</f>
        <v/>
      </c>
      <c r="AT132" t="str">
        <f>IF($B132="","",'entri hasil dari isian siswa'!HR132+'entri hasil dari isian siswa'!HX132)</f>
        <v/>
      </c>
      <c r="AU132" s="69" t="str">
        <f t="shared" si="47"/>
        <v/>
      </c>
      <c r="AV132" s="69" t="str">
        <f>IF($AU132="","",IFERROR(VLOOKUP($AU132,'Kunci dari RIASEC'!$J$4:$K$33,2,FALSE),""))</f>
        <v/>
      </c>
    </row>
    <row r="133" spans="1:48">
      <c r="A133">
        <f t="shared" ref="A133:A164" si="48">ROW()-4</f>
        <v>129</v>
      </c>
      <c r="B133" t="str">
        <f>IF('entri hasil dari isian siswa'!B133="","",'entri hasil dari isian siswa'!B133)</f>
        <v/>
      </c>
      <c r="C133" t="str">
        <f>IF('entri hasil dari isian siswa'!C133="","",'entri hasil dari isian siswa'!C133)</f>
        <v/>
      </c>
      <c r="D133" t="str">
        <f>IF('entri hasil dari isian siswa'!D133="","",'entri hasil dari isian siswa'!D133)</f>
        <v/>
      </c>
      <c r="E133" t="str">
        <f t="shared" ref="E133:E164" si="49">IF($B133="","",W133+AC133+AI133+AO133)</f>
        <v/>
      </c>
      <c r="F133" t="str">
        <f t="shared" ref="F133:F164" si="50">IF($B133="","",X133+AD133+AJ133+AP133)</f>
        <v/>
      </c>
      <c r="G133" t="str">
        <f t="shared" ref="G133:G164" si="51">IF($B133="","",Y133+AE133+AK133+AQ133)</f>
        <v/>
      </c>
      <c r="H133" t="str">
        <f t="shared" ref="H133:H164" si="52">IF($B133="","",Z133+AF133+AL133+AR133)</f>
        <v/>
      </c>
      <c r="I133" t="str">
        <f t="shared" ref="I133:I164" si="53">IF($B133="","",AA133+AG133+AM133+AS133)</f>
        <v/>
      </c>
      <c r="J133" t="str">
        <f t="shared" ref="J133:J164" si="54">IF($B133="","",AB133+AH133+AN133+AT133)</f>
        <v/>
      </c>
      <c r="K133" t="str">
        <f>IF($V133&lt;&gt;"OK","",RANK(E133,$E133:$J133,0)+COUNTIF($E133:E133,E133)-1)</f>
        <v/>
      </c>
      <c r="L133" t="str">
        <f>IF($V133&lt;&gt;"OK","",RANK(F133,$E133:$J133,0)+COUNTIF($E133:F133,F133)-1)</f>
        <v/>
      </c>
      <c r="M133" t="str">
        <f>IF($V133&lt;&gt;"OK","",RANK(G133,$E133:$J133,0)+COUNTIF($E133:G133,G133)-1)</f>
        <v/>
      </c>
      <c r="N133" t="str">
        <f>IF($V133&lt;&gt;"OK","",RANK(H133,$E133:$J133,0)+COUNTIF($E133:H133,H133)-1)</f>
        <v/>
      </c>
      <c r="O133" t="str">
        <f>IF($V133&lt;&gt;"OK","",RANK(I133,$E133:$J133,0)+COUNTIF($E133:I133,I133)-1)</f>
        <v/>
      </c>
      <c r="P133" t="str">
        <f>IF($V133&lt;&gt;"OK","",RANK(J133,$E133:$J133,0)+COUNTIF($E133:J133,J133)-1)</f>
        <v/>
      </c>
      <c r="Q133" t="str">
        <f t="shared" ref="Q133:Q164" si="55">IF($V133&lt;&gt;"OK","",INDEX($E$4:$J$4,1,MATCH(1,$K133:$P133,0)))</f>
        <v/>
      </c>
      <c r="R133" t="str">
        <f t="shared" ref="R133:R164" si="56">IF($V133&lt;&gt;"OK","",INDEX($E$4:$J$4,1,MATCH(2,$K133:$P133,0)))</f>
        <v/>
      </c>
      <c r="S133" t="str">
        <f t="shared" ref="S133:S164" si="57">IF($V133&lt;&gt;"OK","",INDEX($E$4:$J$4,1,MATCH(3,$K133:$P133,0)))</f>
        <v/>
      </c>
      <c r="T133" t="str">
        <f t="shared" ref="T133:T164" si="58">IF($V133&lt;&gt;"OK","",Q133&amp;R133&amp;S133)</f>
        <v/>
      </c>
      <c r="U133" s="1" t="str">
        <f>IF($T133="","",IFERROR(VLOOKUP($T133,'Kunci dari RIASEC'!$A$4:$B$123,2,FALSE),"Rekomendasi belum tersedia"))</f>
        <v/>
      </c>
      <c r="V133" t="str">
        <f>IF('entri hasil dari isian siswa'!B133="","",'entri hasil dari isian siswa'!HY133)</f>
        <v/>
      </c>
      <c r="W133" t="str">
        <f>IF($B133="","",SUM('entri hasil dari isian siswa'!E133:O133))</f>
        <v/>
      </c>
      <c r="X133" t="str">
        <f>IF($B133="","",SUM('entri hasil dari isian siswa'!P133:Z133))</f>
        <v/>
      </c>
      <c r="Y133" t="str">
        <f>IF($B133="","",SUM('entri hasil dari isian siswa'!AA133:AK133))</f>
        <v/>
      </c>
      <c r="Z133" t="str">
        <f>IF($B133="","",SUM('entri hasil dari isian siswa'!AL133:AV133))</f>
        <v/>
      </c>
      <c r="AA133" t="str">
        <f>IF($B133="","",SUM('entri hasil dari isian siswa'!AW133:BG133))</f>
        <v/>
      </c>
      <c r="AB133" t="str">
        <f>IF($B133="","",SUM('entri hasil dari isian siswa'!BH133:BR133))</f>
        <v/>
      </c>
      <c r="AC133" t="str">
        <f>IF($B133="","",SUM('entri hasil dari isian siswa'!BS133:CC133))</f>
        <v/>
      </c>
      <c r="AD133" t="str">
        <f>IF($B133="","",SUM('entri hasil dari isian siswa'!CD133:CN133))</f>
        <v/>
      </c>
      <c r="AE133" t="str">
        <f>IF($B133="","",SUM('entri hasil dari isian siswa'!CO133:CY133))</f>
        <v/>
      </c>
      <c r="AF133" t="str">
        <f>IF($B133="","",SUM('entri hasil dari isian siswa'!CZ133:DJ133))</f>
        <v/>
      </c>
      <c r="AG133" t="str">
        <f>IF($B133="","",SUM('entri hasil dari isian siswa'!DK133:DU133))</f>
        <v/>
      </c>
      <c r="AH133" t="str">
        <f>IF($B133="","",SUM('entri hasil dari isian siswa'!DV133:EF133))</f>
        <v/>
      </c>
      <c r="AI133" t="str">
        <f>IF($B133="","",SUM('entri hasil dari isian siswa'!EG133:ET133))</f>
        <v/>
      </c>
      <c r="AJ133" t="str">
        <f>IF($B133="","",SUM('entri hasil dari isian siswa'!EU133:FH133))</f>
        <v/>
      </c>
      <c r="AK133" t="str">
        <f>IF($B133="","",SUM('entri hasil dari isian siswa'!FI133:FV133))</f>
        <v/>
      </c>
      <c r="AL133" t="str">
        <f>IF($B133="","",SUM('entri hasil dari isian siswa'!FW133:GJ133))</f>
        <v/>
      </c>
      <c r="AM133" t="str">
        <f>IF($B133="","",SUM('entri hasil dari isian siswa'!GK133:GX133))</f>
        <v/>
      </c>
      <c r="AN133" t="str">
        <f>IF($B133="","",SUM('entri hasil dari isian siswa'!GY133:HL133))</f>
        <v/>
      </c>
      <c r="AO133" t="str">
        <f>IF($B133="","",'entri hasil dari isian siswa'!HM133+'entri hasil dari isian siswa'!HS133)</f>
        <v/>
      </c>
      <c r="AP133" t="str">
        <f>IF($B133="","",'entri hasil dari isian siswa'!HN133+'entri hasil dari isian siswa'!HT133)</f>
        <v/>
      </c>
      <c r="AQ133" t="str">
        <f>IF($B133="","",'entri hasil dari isian siswa'!HO133+'entri hasil dari isian siswa'!HU133)</f>
        <v/>
      </c>
      <c r="AR133" t="str">
        <f>IF($B133="","",'entri hasil dari isian siswa'!HP133+'entri hasil dari isian siswa'!HV133)</f>
        <v/>
      </c>
      <c r="AS133" t="str">
        <f>IF($B133="","",'entri hasil dari isian siswa'!HQ133+'entri hasil dari isian siswa'!HW133)</f>
        <v/>
      </c>
      <c r="AT133" t="str">
        <f>IF($B133="","",'entri hasil dari isian siswa'!HR133+'entri hasil dari isian siswa'!HX133)</f>
        <v/>
      </c>
      <c r="AU133" s="69" t="str">
        <f t="shared" ref="AU133:AU164" si="59">IF($T133="","",LEFT($T133,2))</f>
        <v/>
      </c>
      <c r="AV133" s="69" t="str">
        <f>IF($AU133="","",IFERROR(VLOOKUP($AU133,'Kunci dari RIASEC'!$J$4:$K$33,2,FALSE),""))</f>
        <v/>
      </c>
    </row>
    <row r="134" spans="1:48">
      <c r="A134">
        <f t="shared" si="48"/>
        <v>130</v>
      </c>
      <c r="B134" t="str">
        <f>IF('entri hasil dari isian siswa'!B134="","",'entri hasil dari isian siswa'!B134)</f>
        <v/>
      </c>
      <c r="C134" t="str">
        <f>IF('entri hasil dari isian siswa'!C134="","",'entri hasil dari isian siswa'!C134)</f>
        <v/>
      </c>
      <c r="D134" t="str">
        <f>IF('entri hasil dari isian siswa'!D134="","",'entri hasil dari isian siswa'!D134)</f>
        <v/>
      </c>
      <c r="E134" t="str">
        <f t="shared" si="49"/>
        <v/>
      </c>
      <c r="F134" t="str">
        <f t="shared" si="50"/>
        <v/>
      </c>
      <c r="G134" t="str">
        <f t="shared" si="51"/>
        <v/>
      </c>
      <c r="H134" t="str">
        <f t="shared" si="52"/>
        <v/>
      </c>
      <c r="I134" t="str">
        <f t="shared" si="53"/>
        <v/>
      </c>
      <c r="J134" t="str">
        <f t="shared" si="54"/>
        <v/>
      </c>
      <c r="K134" t="str">
        <f>IF($V134&lt;&gt;"OK","",RANK(E134,$E134:$J134,0)+COUNTIF($E134:E134,E134)-1)</f>
        <v/>
      </c>
      <c r="L134" t="str">
        <f>IF($V134&lt;&gt;"OK","",RANK(F134,$E134:$J134,0)+COUNTIF($E134:F134,F134)-1)</f>
        <v/>
      </c>
      <c r="M134" t="str">
        <f>IF($V134&lt;&gt;"OK","",RANK(G134,$E134:$J134,0)+COUNTIF($E134:G134,G134)-1)</f>
        <v/>
      </c>
      <c r="N134" t="str">
        <f>IF($V134&lt;&gt;"OK","",RANK(H134,$E134:$J134,0)+COUNTIF($E134:H134,H134)-1)</f>
        <v/>
      </c>
      <c r="O134" t="str">
        <f>IF($V134&lt;&gt;"OK","",RANK(I134,$E134:$J134,0)+COUNTIF($E134:I134,I134)-1)</f>
        <v/>
      </c>
      <c r="P134" t="str">
        <f>IF($V134&lt;&gt;"OK","",RANK(J134,$E134:$J134,0)+COUNTIF($E134:J134,J134)-1)</f>
        <v/>
      </c>
      <c r="Q134" t="str">
        <f t="shared" si="55"/>
        <v/>
      </c>
      <c r="R134" t="str">
        <f t="shared" si="56"/>
        <v/>
      </c>
      <c r="S134" t="str">
        <f t="shared" si="57"/>
        <v/>
      </c>
      <c r="T134" t="str">
        <f t="shared" si="58"/>
        <v/>
      </c>
      <c r="U134" s="1" t="str">
        <f>IF($T134="","",IFERROR(VLOOKUP($T134,'Kunci dari RIASEC'!$A$4:$B$123,2,FALSE),"Rekomendasi belum tersedia"))</f>
        <v/>
      </c>
      <c r="V134" t="str">
        <f>IF('entri hasil dari isian siswa'!B134="","",'entri hasil dari isian siswa'!HY134)</f>
        <v/>
      </c>
      <c r="W134" t="str">
        <f>IF($B134="","",SUM('entri hasil dari isian siswa'!E134:O134))</f>
        <v/>
      </c>
      <c r="X134" t="str">
        <f>IF($B134="","",SUM('entri hasil dari isian siswa'!P134:Z134))</f>
        <v/>
      </c>
      <c r="Y134" t="str">
        <f>IF($B134="","",SUM('entri hasil dari isian siswa'!AA134:AK134))</f>
        <v/>
      </c>
      <c r="Z134" t="str">
        <f>IF($B134="","",SUM('entri hasil dari isian siswa'!AL134:AV134))</f>
        <v/>
      </c>
      <c r="AA134" t="str">
        <f>IF($B134="","",SUM('entri hasil dari isian siswa'!AW134:BG134))</f>
        <v/>
      </c>
      <c r="AB134" t="str">
        <f>IF($B134="","",SUM('entri hasil dari isian siswa'!BH134:BR134))</f>
        <v/>
      </c>
      <c r="AC134" t="str">
        <f>IF($B134="","",SUM('entri hasil dari isian siswa'!BS134:CC134))</f>
        <v/>
      </c>
      <c r="AD134" t="str">
        <f>IF($B134="","",SUM('entri hasil dari isian siswa'!CD134:CN134))</f>
        <v/>
      </c>
      <c r="AE134" t="str">
        <f>IF($B134="","",SUM('entri hasil dari isian siswa'!CO134:CY134))</f>
        <v/>
      </c>
      <c r="AF134" t="str">
        <f>IF($B134="","",SUM('entri hasil dari isian siswa'!CZ134:DJ134))</f>
        <v/>
      </c>
      <c r="AG134" t="str">
        <f>IF($B134="","",SUM('entri hasil dari isian siswa'!DK134:DU134))</f>
        <v/>
      </c>
      <c r="AH134" t="str">
        <f>IF($B134="","",SUM('entri hasil dari isian siswa'!DV134:EF134))</f>
        <v/>
      </c>
      <c r="AI134" t="str">
        <f>IF($B134="","",SUM('entri hasil dari isian siswa'!EG134:ET134))</f>
        <v/>
      </c>
      <c r="AJ134" t="str">
        <f>IF($B134="","",SUM('entri hasil dari isian siswa'!EU134:FH134))</f>
        <v/>
      </c>
      <c r="AK134" t="str">
        <f>IF($B134="","",SUM('entri hasil dari isian siswa'!FI134:FV134))</f>
        <v/>
      </c>
      <c r="AL134" t="str">
        <f>IF($B134="","",SUM('entri hasil dari isian siswa'!FW134:GJ134))</f>
        <v/>
      </c>
      <c r="AM134" t="str">
        <f>IF($B134="","",SUM('entri hasil dari isian siswa'!GK134:GX134))</f>
        <v/>
      </c>
      <c r="AN134" t="str">
        <f>IF($B134="","",SUM('entri hasil dari isian siswa'!GY134:HL134))</f>
        <v/>
      </c>
      <c r="AO134" t="str">
        <f>IF($B134="","",'entri hasil dari isian siswa'!HM134+'entri hasil dari isian siswa'!HS134)</f>
        <v/>
      </c>
      <c r="AP134" t="str">
        <f>IF($B134="","",'entri hasil dari isian siswa'!HN134+'entri hasil dari isian siswa'!HT134)</f>
        <v/>
      </c>
      <c r="AQ134" t="str">
        <f>IF($B134="","",'entri hasil dari isian siswa'!HO134+'entri hasil dari isian siswa'!HU134)</f>
        <v/>
      </c>
      <c r="AR134" t="str">
        <f>IF($B134="","",'entri hasil dari isian siswa'!HP134+'entri hasil dari isian siswa'!HV134)</f>
        <v/>
      </c>
      <c r="AS134" t="str">
        <f>IF($B134="","",'entri hasil dari isian siswa'!HQ134+'entri hasil dari isian siswa'!HW134)</f>
        <v/>
      </c>
      <c r="AT134" t="str">
        <f>IF($B134="","",'entri hasil dari isian siswa'!HR134+'entri hasil dari isian siswa'!HX134)</f>
        <v/>
      </c>
      <c r="AU134" s="69" t="str">
        <f t="shared" si="59"/>
        <v/>
      </c>
      <c r="AV134" s="69" t="str">
        <f>IF($AU134="","",IFERROR(VLOOKUP($AU134,'Kunci dari RIASEC'!$J$4:$K$33,2,FALSE),""))</f>
        <v/>
      </c>
    </row>
    <row r="135" spans="1:48">
      <c r="A135">
        <f t="shared" si="48"/>
        <v>131</v>
      </c>
      <c r="B135" t="str">
        <f>IF('entri hasil dari isian siswa'!B135="","",'entri hasil dari isian siswa'!B135)</f>
        <v/>
      </c>
      <c r="C135" t="str">
        <f>IF('entri hasil dari isian siswa'!C135="","",'entri hasil dari isian siswa'!C135)</f>
        <v/>
      </c>
      <c r="D135" t="str">
        <f>IF('entri hasil dari isian siswa'!D135="","",'entri hasil dari isian siswa'!D135)</f>
        <v/>
      </c>
      <c r="E135" t="str">
        <f t="shared" si="49"/>
        <v/>
      </c>
      <c r="F135" t="str">
        <f t="shared" si="50"/>
        <v/>
      </c>
      <c r="G135" t="str">
        <f t="shared" si="51"/>
        <v/>
      </c>
      <c r="H135" t="str">
        <f t="shared" si="52"/>
        <v/>
      </c>
      <c r="I135" t="str">
        <f t="shared" si="53"/>
        <v/>
      </c>
      <c r="J135" t="str">
        <f t="shared" si="54"/>
        <v/>
      </c>
      <c r="K135" t="str">
        <f>IF($V135&lt;&gt;"OK","",RANK(E135,$E135:$J135,0)+COUNTIF($E135:E135,E135)-1)</f>
        <v/>
      </c>
      <c r="L135" t="str">
        <f>IF($V135&lt;&gt;"OK","",RANK(F135,$E135:$J135,0)+COUNTIF($E135:F135,F135)-1)</f>
        <v/>
      </c>
      <c r="M135" t="str">
        <f>IF($V135&lt;&gt;"OK","",RANK(G135,$E135:$J135,0)+COUNTIF($E135:G135,G135)-1)</f>
        <v/>
      </c>
      <c r="N135" t="str">
        <f>IF($V135&lt;&gt;"OK","",RANK(H135,$E135:$J135,0)+COUNTIF($E135:H135,H135)-1)</f>
        <v/>
      </c>
      <c r="O135" t="str">
        <f>IF($V135&lt;&gt;"OK","",RANK(I135,$E135:$J135,0)+COUNTIF($E135:I135,I135)-1)</f>
        <v/>
      </c>
      <c r="P135" t="str">
        <f>IF($V135&lt;&gt;"OK","",RANK(J135,$E135:$J135,0)+COUNTIF($E135:J135,J135)-1)</f>
        <v/>
      </c>
      <c r="Q135" t="str">
        <f t="shared" si="55"/>
        <v/>
      </c>
      <c r="R135" t="str">
        <f t="shared" si="56"/>
        <v/>
      </c>
      <c r="S135" t="str">
        <f t="shared" si="57"/>
        <v/>
      </c>
      <c r="T135" t="str">
        <f t="shared" si="58"/>
        <v/>
      </c>
      <c r="U135" s="1" t="str">
        <f>IF($T135="","",IFERROR(VLOOKUP($T135,'Kunci dari RIASEC'!$A$4:$B$123,2,FALSE),"Rekomendasi belum tersedia"))</f>
        <v/>
      </c>
      <c r="V135" t="str">
        <f>IF('entri hasil dari isian siswa'!B135="","",'entri hasil dari isian siswa'!HY135)</f>
        <v/>
      </c>
      <c r="W135" t="str">
        <f>IF($B135="","",SUM('entri hasil dari isian siswa'!E135:O135))</f>
        <v/>
      </c>
      <c r="X135" t="str">
        <f>IF($B135="","",SUM('entri hasil dari isian siswa'!P135:Z135))</f>
        <v/>
      </c>
      <c r="Y135" t="str">
        <f>IF($B135="","",SUM('entri hasil dari isian siswa'!AA135:AK135))</f>
        <v/>
      </c>
      <c r="Z135" t="str">
        <f>IF($B135="","",SUM('entri hasil dari isian siswa'!AL135:AV135))</f>
        <v/>
      </c>
      <c r="AA135" t="str">
        <f>IF($B135="","",SUM('entri hasil dari isian siswa'!AW135:BG135))</f>
        <v/>
      </c>
      <c r="AB135" t="str">
        <f>IF($B135="","",SUM('entri hasil dari isian siswa'!BH135:BR135))</f>
        <v/>
      </c>
      <c r="AC135" t="str">
        <f>IF($B135="","",SUM('entri hasil dari isian siswa'!BS135:CC135))</f>
        <v/>
      </c>
      <c r="AD135" t="str">
        <f>IF($B135="","",SUM('entri hasil dari isian siswa'!CD135:CN135))</f>
        <v/>
      </c>
      <c r="AE135" t="str">
        <f>IF($B135="","",SUM('entri hasil dari isian siswa'!CO135:CY135))</f>
        <v/>
      </c>
      <c r="AF135" t="str">
        <f>IF($B135="","",SUM('entri hasil dari isian siswa'!CZ135:DJ135))</f>
        <v/>
      </c>
      <c r="AG135" t="str">
        <f>IF($B135="","",SUM('entri hasil dari isian siswa'!DK135:DU135))</f>
        <v/>
      </c>
      <c r="AH135" t="str">
        <f>IF($B135="","",SUM('entri hasil dari isian siswa'!DV135:EF135))</f>
        <v/>
      </c>
      <c r="AI135" t="str">
        <f>IF($B135="","",SUM('entri hasil dari isian siswa'!EG135:ET135))</f>
        <v/>
      </c>
      <c r="AJ135" t="str">
        <f>IF($B135="","",SUM('entri hasil dari isian siswa'!EU135:FH135))</f>
        <v/>
      </c>
      <c r="AK135" t="str">
        <f>IF($B135="","",SUM('entri hasil dari isian siswa'!FI135:FV135))</f>
        <v/>
      </c>
      <c r="AL135" t="str">
        <f>IF($B135="","",SUM('entri hasil dari isian siswa'!FW135:GJ135))</f>
        <v/>
      </c>
      <c r="AM135" t="str">
        <f>IF($B135="","",SUM('entri hasil dari isian siswa'!GK135:GX135))</f>
        <v/>
      </c>
      <c r="AN135" t="str">
        <f>IF($B135="","",SUM('entri hasil dari isian siswa'!GY135:HL135))</f>
        <v/>
      </c>
      <c r="AO135" t="str">
        <f>IF($B135="","",'entri hasil dari isian siswa'!HM135+'entri hasil dari isian siswa'!HS135)</f>
        <v/>
      </c>
      <c r="AP135" t="str">
        <f>IF($B135="","",'entri hasil dari isian siswa'!HN135+'entri hasil dari isian siswa'!HT135)</f>
        <v/>
      </c>
      <c r="AQ135" t="str">
        <f>IF($B135="","",'entri hasil dari isian siswa'!HO135+'entri hasil dari isian siswa'!HU135)</f>
        <v/>
      </c>
      <c r="AR135" t="str">
        <f>IF($B135="","",'entri hasil dari isian siswa'!HP135+'entri hasil dari isian siswa'!HV135)</f>
        <v/>
      </c>
      <c r="AS135" t="str">
        <f>IF($B135="","",'entri hasil dari isian siswa'!HQ135+'entri hasil dari isian siswa'!HW135)</f>
        <v/>
      </c>
      <c r="AT135" t="str">
        <f>IF($B135="","",'entri hasil dari isian siswa'!HR135+'entri hasil dari isian siswa'!HX135)</f>
        <v/>
      </c>
      <c r="AU135" s="69" t="str">
        <f t="shared" si="59"/>
        <v/>
      </c>
      <c r="AV135" s="69" t="str">
        <f>IF($AU135="","",IFERROR(VLOOKUP($AU135,'Kunci dari RIASEC'!$J$4:$K$33,2,FALSE),""))</f>
        <v/>
      </c>
    </row>
    <row r="136" spans="1:48">
      <c r="A136">
        <f t="shared" si="48"/>
        <v>132</v>
      </c>
      <c r="B136" t="str">
        <f>IF('entri hasil dari isian siswa'!B136="","",'entri hasil dari isian siswa'!B136)</f>
        <v/>
      </c>
      <c r="C136" t="str">
        <f>IF('entri hasil dari isian siswa'!C136="","",'entri hasil dari isian siswa'!C136)</f>
        <v/>
      </c>
      <c r="D136" t="str">
        <f>IF('entri hasil dari isian siswa'!D136="","",'entri hasil dari isian siswa'!D136)</f>
        <v/>
      </c>
      <c r="E136" t="str">
        <f t="shared" si="49"/>
        <v/>
      </c>
      <c r="F136" t="str">
        <f t="shared" si="50"/>
        <v/>
      </c>
      <c r="G136" t="str">
        <f t="shared" si="51"/>
        <v/>
      </c>
      <c r="H136" t="str">
        <f t="shared" si="52"/>
        <v/>
      </c>
      <c r="I136" t="str">
        <f t="shared" si="53"/>
        <v/>
      </c>
      <c r="J136" t="str">
        <f t="shared" si="54"/>
        <v/>
      </c>
      <c r="K136" t="str">
        <f>IF($V136&lt;&gt;"OK","",RANK(E136,$E136:$J136,0)+COUNTIF($E136:E136,E136)-1)</f>
        <v/>
      </c>
      <c r="L136" t="str">
        <f>IF($V136&lt;&gt;"OK","",RANK(F136,$E136:$J136,0)+COUNTIF($E136:F136,F136)-1)</f>
        <v/>
      </c>
      <c r="M136" t="str">
        <f>IF($V136&lt;&gt;"OK","",RANK(G136,$E136:$J136,0)+COUNTIF($E136:G136,G136)-1)</f>
        <v/>
      </c>
      <c r="N136" t="str">
        <f>IF($V136&lt;&gt;"OK","",RANK(H136,$E136:$J136,0)+COUNTIF($E136:H136,H136)-1)</f>
        <v/>
      </c>
      <c r="O136" t="str">
        <f>IF($V136&lt;&gt;"OK","",RANK(I136,$E136:$J136,0)+COUNTIF($E136:I136,I136)-1)</f>
        <v/>
      </c>
      <c r="P136" t="str">
        <f>IF($V136&lt;&gt;"OK","",RANK(J136,$E136:$J136,0)+COUNTIF($E136:J136,J136)-1)</f>
        <v/>
      </c>
      <c r="Q136" t="str">
        <f t="shared" si="55"/>
        <v/>
      </c>
      <c r="R136" t="str">
        <f t="shared" si="56"/>
        <v/>
      </c>
      <c r="S136" t="str">
        <f t="shared" si="57"/>
        <v/>
      </c>
      <c r="T136" t="str">
        <f t="shared" si="58"/>
        <v/>
      </c>
      <c r="U136" s="1" t="str">
        <f>IF($T136="","",IFERROR(VLOOKUP($T136,'Kunci dari RIASEC'!$A$4:$B$123,2,FALSE),"Rekomendasi belum tersedia"))</f>
        <v/>
      </c>
      <c r="V136" t="str">
        <f>IF('entri hasil dari isian siswa'!B136="","",'entri hasil dari isian siswa'!HY136)</f>
        <v/>
      </c>
      <c r="W136" t="str">
        <f>IF($B136="","",SUM('entri hasil dari isian siswa'!E136:O136))</f>
        <v/>
      </c>
      <c r="X136" t="str">
        <f>IF($B136="","",SUM('entri hasil dari isian siswa'!P136:Z136))</f>
        <v/>
      </c>
      <c r="Y136" t="str">
        <f>IF($B136="","",SUM('entri hasil dari isian siswa'!AA136:AK136))</f>
        <v/>
      </c>
      <c r="Z136" t="str">
        <f>IF($B136="","",SUM('entri hasil dari isian siswa'!AL136:AV136))</f>
        <v/>
      </c>
      <c r="AA136" t="str">
        <f>IF($B136="","",SUM('entri hasil dari isian siswa'!AW136:BG136))</f>
        <v/>
      </c>
      <c r="AB136" t="str">
        <f>IF($B136="","",SUM('entri hasil dari isian siswa'!BH136:BR136))</f>
        <v/>
      </c>
      <c r="AC136" t="str">
        <f>IF($B136="","",SUM('entri hasil dari isian siswa'!BS136:CC136))</f>
        <v/>
      </c>
      <c r="AD136" t="str">
        <f>IF($B136="","",SUM('entri hasil dari isian siswa'!CD136:CN136))</f>
        <v/>
      </c>
      <c r="AE136" t="str">
        <f>IF($B136="","",SUM('entri hasil dari isian siswa'!CO136:CY136))</f>
        <v/>
      </c>
      <c r="AF136" t="str">
        <f>IF($B136="","",SUM('entri hasil dari isian siswa'!CZ136:DJ136))</f>
        <v/>
      </c>
      <c r="AG136" t="str">
        <f>IF($B136="","",SUM('entri hasil dari isian siswa'!DK136:DU136))</f>
        <v/>
      </c>
      <c r="AH136" t="str">
        <f>IF($B136="","",SUM('entri hasil dari isian siswa'!DV136:EF136))</f>
        <v/>
      </c>
      <c r="AI136" t="str">
        <f>IF($B136="","",SUM('entri hasil dari isian siswa'!EG136:ET136))</f>
        <v/>
      </c>
      <c r="AJ136" t="str">
        <f>IF($B136="","",SUM('entri hasil dari isian siswa'!EU136:FH136))</f>
        <v/>
      </c>
      <c r="AK136" t="str">
        <f>IF($B136="","",SUM('entri hasil dari isian siswa'!FI136:FV136))</f>
        <v/>
      </c>
      <c r="AL136" t="str">
        <f>IF($B136="","",SUM('entri hasil dari isian siswa'!FW136:GJ136))</f>
        <v/>
      </c>
      <c r="AM136" t="str">
        <f>IF($B136="","",SUM('entri hasil dari isian siswa'!GK136:GX136))</f>
        <v/>
      </c>
      <c r="AN136" t="str">
        <f>IF($B136="","",SUM('entri hasil dari isian siswa'!GY136:HL136))</f>
        <v/>
      </c>
      <c r="AO136" t="str">
        <f>IF($B136="","",'entri hasil dari isian siswa'!HM136+'entri hasil dari isian siswa'!HS136)</f>
        <v/>
      </c>
      <c r="AP136" t="str">
        <f>IF($B136="","",'entri hasil dari isian siswa'!HN136+'entri hasil dari isian siswa'!HT136)</f>
        <v/>
      </c>
      <c r="AQ136" t="str">
        <f>IF($B136="","",'entri hasil dari isian siswa'!HO136+'entri hasil dari isian siswa'!HU136)</f>
        <v/>
      </c>
      <c r="AR136" t="str">
        <f>IF($B136="","",'entri hasil dari isian siswa'!HP136+'entri hasil dari isian siswa'!HV136)</f>
        <v/>
      </c>
      <c r="AS136" t="str">
        <f>IF($B136="","",'entri hasil dari isian siswa'!HQ136+'entri hasil dari isian siswa'!HW136)</f>
        <v/>
      </c>
      <c r="AT136" t="str">
        <f>IF($B136="","",'entri hasil dari isian siswa'!HR136+'entri hasil dari isian siswa'!HX136)</f>
        <v/>
      </c>
      <c r="AU136" s="69" t="str">
        <f t="shared" si="59"/>
        <v/>
      </c>
      <c r="AV136" s="69" t="str">
        <f>IF($AU136="","",IFERROR(VLOOKUP($AU136,'Kunci dari RIASEC'!$J$4:$K$33,2,FALSE),""))</f>
        <v/>
      </c>
    </row>
    <row r="137" spans="1:48">
      <c r="A137">
        <f t="shared" si="48"/>
        <v>133</v>
      </c>
      <c r="B137" t="str">
        <f>IF('entri hasil dari isian siswa'!B137="","",'entri hasil dari isian siswa'!B137)</f>
        <v/>
      </c>
      <c r="C137" t="str">
        <f>IF('entri hasil dari isian siswa'!C137="","",'entri hasil dari isian siswa'!C137)</f>
        <v/>
      </c>
      <c r="D137" t="str">
        <f>IF('entri hasil dari isian siswa'!D137="","",'entri hasil dari isian siswa'!D137)</f>
        <v/>
      </c>
      <c r="E137" t="str">
        <f t="shared" si="49"/>
        <v/>
      </c>
      <c r="F137" t="str">
        <f t="shared" si="50"/>
        <v/>
      </c>
      <c r="G137" t="str">
        <f t="shared" si="51"/>
        <v/>
      </c>
      <c r="H137" t="str">
        <f t="shared" si="52"/>
        <v/>
      </c>
      <c r="I137" t="str">
        <f t="shared" si="53"/>
        <v/>
      </c>
      <c r="J137" t="str">
        <f t="shared" si="54"/>
        <v/>
      </c>
      <c r="K137" t="str">
        <f>IF($V137&lt;&gt;"OK","",RANK(E137,$E137:$J137,0)+COUNTIF($E137:E137,E137)-1)</f>
        <v/>
      </c>
      <c r="L137" t="str">
        <f>IF($V137&lt;&gt;"OK","",RANK(F137,$E137:$J137,0)+COUNTIF($E137:F137,F137)-1)</f>
        <v/>
      </c>
      <c r="M137" t="str">
        <f>IF($V137&lt;&gt;"OK","",RANK(G137,$E137:$J137,0)+COUNTIF($E137:G137,G137)-1)</f>
        <v/>
      </c>
      <c r="N137" t="str">
        <f>IF($V137&lt;&gt;"OK","",RANK(H137,$E137:$J137,0)+COUNTIF($E137:H137,H137)-1)</f>
        <v/>
      </c>
      <c r="O137" t="str">
        <f>IF($V137&lt;&gt;"OK","",RANK(I137,$E137:$J137,0)+COUNTIF($E137:I137,I137)-1)</f>
        <v/>
      </c>
      <c r="P137" t="str">
        <f>IF($V137&lt;&gt;"OK","",RANK(J137,$E137:$J137,0)+COUNTIF($E137:J137,J137)-1)</f>
        <v/>
      </c>
      <c r="Q137" t="str">
        <f t="shared" si="55"/>
        <v/>
      </c>
      <c r="R137" t="str">
        <f t="shared" si="56"/>
        <v/>
      </c>
      <c r="S137" t="str">
        <f t="shared" si="57"/>
        <v/>
      </c>
      <c r="T137" t="str">
        <f t="shared" si="58"/>
        <v/>
      </c>
      <c r="U137" s="1" t="str">
        <f>IF($T137="","",IFERROR(VLOOKUP($T137,'Kunci dari RIASEC'!$A$4:$B$123,2,FALSE),"Rekomendasi belum tersedia"))</f>
        <v/>
      </c>
      <c r="V137" t="str">
        <f>IF('entri hasil dari isian siswa'!B137="","",'entri hasil dari isian siswa'!HY137)</f>
        <v/>
      </c>
      <c r="W137" t="str">
        <f>IF($B137="","",SUM('entri hasil dari isian siswa'!E137:O137))</f>
        <v/>
      </c>
      <c r="X137" t="str">
        <f>IF($B137="","",SUM('entri hasil dari isian siswa'!P137:Z137))</f>
        <v/>
      </c>
      <c r="Y137" t="str">
        <f>IF($B137="","",SUM('entri hasil dari isian siswa'!AA137:AK137))</f>
        <v/>
      </c>
      <c r="Z137" t="str">
        <f>IF($B137="","",SUM('entri hasil dari isian siswa'!AL137:AV137))</f>
        <v/>
      </c>
      <c r="AA137" t="str">
        <f>IF($B137="","",SUM('entri hasil dari isian siswa'!AW137:BG137))</f>
        <v/>
      </c>
      <c r="AB137" t="str">
        <f>IF($B137="","",SUM('entri hasil dari isian siswa'!BH137:BR137))</f>
        <v/>
      </c>
      <c r="AC137" t="str">
        <f>IF($B137="","",SUM('entri hasil dari isian siswa'!BS137:CC137))</f>
        <v/>
      </c>
      <c r="AD137" t="str">
        <f>IF($B137="","",SUM('entri hasil dari isian siswa'!CD137:CN137))</f>
        <v/>
      </c>
      <c r="AE137" t="str">
        <f>IF($B137="","",SUM('entri hasil dari isian siswa'!CO137:CY137))</f>
        <v/>
      </c>
      <c r="AF137" t="str">
        <f>IF($B137="","",SUM('entri hasil dari isian siswa'!CZ137:DJ137))</f>
        <v/>
      </c>
      <c r="AG137" t="str">
        <f>IF($B137="","",SUM('entri hasil dari isian siswa'!DK137:DU137))</f>
        <v/>
      </c>
      <c r="AH137" t="str">
        <f>IF($B137="","",SUM('entri hasil dari isian siswa'!DV137:EF137))</f>
        <v/>
      </c>
      <c r="AI137" t="str">
        <f>IF($B137="","",SUM('entri hasil dari isian siswa'!EG137:ET137))</f>
        <v/>
      </c>
      <c r="AJ137" t="str">
        <f>IF($B137="","",SUM('entri hasil dari isian siswa'!EU137:FH137))</f>
        <v/>
      </c>
      <c r="AK137" t="str">
        <f>IF($B137="","",SUM('entri hasil dari isian siswa'!FI137:FV137))</f>
        <v/>
      </c>
      <c r="AL137" t="str">
        <f>IF($B137="","",SUM('entri hasil dari isian siswa'!FW137:GJ137))</f>
        <v/>
      </c>
      <c r="AM137" t="str">
        <f>IF($B137="","",SUM('entri hasil dari isian siswa'!GK137:GX137))</f>
        <v/>
      </c>
      <c r="AN137" t="str">
        <f>IF($B137="","",SUM('entri hasil dari isian siswa'!GY137:HL137))</f>
        <v/>
      </c>
      <c r="AO137" t="str">
        <f>IF($B137="","",'entri hasil dari isian siswa'!HM137+'entri hasil dari isian siswa'!HS137)</f>
        <v/>
      </c>
      <c r="AP137" t="str">
        <f>IF($B137="","",'entri hasil dari isian siswa'!HN137+'entri hasil dari isian siswa'!HT137)</f>
        <v/>
      </c>
      <c r="AQ137" t="str">
        <f>IF($B137="","",'entri hasil dari isian siswa'!HO137+'entri hasil dari isian siswa'!HU137)</f>
        <v/>
      </c>
      <c r="AR137" t="str">
        <f>IF($B137="","",'entri hasil dari isian siswa'!HP137+'entri hasil dari isian siswa'!HV137)</f>
        <v/>
      </c>
      <c r="AS137" t="str">
        <f>IF($B137="","",'entri hasil dari isian siswa'!HQ137+'entri hasil dari isian siswa'!HW137)</f>
        <v/>
      </c>
      <c r="AT137" t="str">
        <f>IF($B137="","",'entri hasil dari isian siswa'!HR137+'entri hasil dari isian siswa'!HX137)</f>
        <v/>
      </c>
      <c r="AU137" s="69" t="str">
        <f t="shared" si="59"/>
        <v/>
      </c>
      <c r="AV137" s="69" t="str">
        <f>IF($AU137="","",IFERROR(VLOOKUP($AU137,'Kunci dari RIASEC'!$J$4:$K$33,2,FALSE),""))</f>
        <v/>
      </c>
    </row>
    <row r="138" spans="1:48">
      <c r="A138">
        <f t="shared" si="48"/>
        <v>134</v>
      </c>
      <c r="B138" t="str">
        <f>IF('entri hasil dari isian siswa'!B138="","",'entri hasil dari isian siswa'!B138)</f>
        <v/>
      </c>
      <c r="C138" t="str">
        <f>IF('entri hasil dari isian siswa'!C138="","",'entri hasil dari isian siswa'!C138)</f>
        <v/>
      </c>
      <c r="D138" t="str">
        <f>IF('entri hasil dari isian siswa'!D138="","",'entri hasil dari isian siswa'!D138)</f>
        <v/>
      </c>
      <c r="E138" t="str">
        <f t="shared" si="49"/>
        <v/>
      </c>
      <c r="F138" t="str">
        <f t="shared" si="50"/>
        <v/>
      </c>
      <c r="G138" t="str">
        <f t="shared" si="51"/>
        <v/>
      </c>
      <c r="H138" t="str">
        <f t="shared" si="52"/>
        <v/>
      </c>
      <c r="I138" t="str">
        <f t="shared" si="53"/>
        <v/>
      </c>
      <c r="J138" t="str">
        <f t="shared" si="54"/>
        <v/>
      </c>
      <c r="K138" t="str">
        <f>IF($V138&lt;&gt;"OK","",RANK(E138,$E138:$J138,0)+COUNTIF($E138:E138,E138)-1)</f>
        <v/>
      </c>
      <c r="L138" t="str">
        <f>IF($V138&lt;&gt;"OK","",RANK(F138,$E138:$J138,0)+COUNTIF($E138:F138,F138)-1)</f>
        <v/>
      </c>
      <c r="M138" t="str">
        <f>IF($V138&lt;&gt;"OK","",RANK(G138,$E138:$J138,0)+COUNTIF($E138:G138,G138)-1)</f>
        <v/>
      </c>
      <c r="N138" t="str">
        <f>IF($V138&lt;&gt;"OK","",RANK(H138,$E138:$J138,0)+COUNTIF($E138:H138,H138)-1)</f>
        <v/>
      </c>
      <c r="O138" t="str">
        <f>IF($V138&lt;&gt;"OK","",RANK(I138,$E138:$J138,0)+COUNTIF($E138:I138,I138)-1)</f>
        <v/>
      </c>
      <c r="P138" t="str">
        <f>IF($V138&lt;&gt;"OK","",RANK(J138,$E138:$J138,0)+COUNTIF($E138:J138,J138)-1)</f>
        <v/>
      </c>
      <c r="Q138" t="str">
        <f t="shared" si="55"/>
        <v/>
      </c>
      <c r="R138" t="str">
        <f t="shared" si="56"/>
        <v/>
      </c>
      <c r="S138" t="str">
        <f t="shared" si="57"/>
        <v/>
      </c>
      <c r="T138" t="str">
        <f t="shared" si="58"/>
        <v/>
      </c>
      <c r="U138" s="1" t="str">
        <f>IF($T138="","",IFERROR(VLOOKUP($T138,'Kunci dari RIASEC'!$A$4:$B$123,2,FALSE),"Rekomendasi belum tersedia"))</f>
        <v/>
      </c>
      <c r="V138" t="str">
        <f>IF('entri hasil dari isian siswa'!B138="","",'entri hasil dari isian siswa'!HY138)</f>
        <v/>
      </c>
      <c r="W138" t="str">
        <f>IF($B138="","",SUM('entri hasil dari isian siswa'!E138:O138))</f>
        <v/>
      </c>
      <c r="X138" t="str">
        <f>IF($B138="","",SUM('entri hasil dari isian siswa'!P138:Z138))</f>
        <v/>
      </c>
      <c r="Y138" t="str">
        <f>IF($B138="","",SUM('entri hasil dari isian siswa'!AA138:AK138))</f>
        <v/>
      </c>
      <c r="Z138" t="str">
        <f>IF($B138="","",SUM('entri hasil dari isian siswa'!AL138:AV138))</f>
        <v/>
      </c>
      <c r="AA138" t="str">
        <f>IF($B138="","",SUM('entri hasil dari isian siswa'!AW138:BG138))</f>
        <v/>
      </c>
      <c r="AB138" t="str">
        <f>IF($B138="","",SUM('entri hasil dari isian siswa'!BH138:BR138))</f>
        <v/>
      </c>
      <c r="AC138" t="str">
        <f>IF($B138="","",SUM('entri hasil dari isian siswa'!BS138:CC138))</f>
        <v/>
      </c>
      <c r="AD138" t="str">
        <f>IF($B138="","",SUM('entri hasil dari isian siswa'!CD138:CN138))</f>
        <v/>
      </c>
      <c r="AE138" t="str">
        <f>IF($B138="","",SUM('entri hasil dari isian siswa'!CO138:CY138))</f>
        <v/>
      </c>
      <c r="AF138" t="str">
        <f>IF($B138="","",SUM('entri hasil dari isian siswa'!CZ138:DJ138))</f>
        <v/>
      </c>
      <c r="AG138" t="str">
        <f>IF($B138="","",SUM('entri hasil dari isian siswa'!DK138:DU138))</f>
        <v/>
      </c>
      <c r="AH138" t="str">
        <f>IF($B138="","",SUM('entri hasil dari isian siswa'!DV138:EF138))</f>
        <v/>
      </c>
      <c r="AI138" t="str">
        <f>IF($B138="","",SUM('entri hasil dari isian siswa'!EG138:ET138))</f>
        <v/>
      </c>
      <c r="AJ138" t="str">
        <f>IF($B138="","",SUM('entri hasil dari isian siswa'!EU138:FH138))</f>
        <v/>
      </c>
      <c r="AK138" t="str">
        <f>IF($B138="","",SUM('entri hasil dari isian siswa'!FI138:FV138))</f>
        <v/>
      </c>
      <c r="AL138" t="str">
        <f>IF($B138="","",SUM('entri hasil dari isian siswa'!FW138:GJ138))</f>
        <v/>
      </c>
      <c r="AM138" t="str">
        <f>IF($B138="","",SUM('entri hasil dari isian siswa'!GK138:GX138))</f>
        <v/>
      </c>
      <c r="AN138" t="str">
        <f>IF($B138="","",SUM('entri hasil dari isian siswa'!GY138:HL138))</f>
        <v/>
      </c>
      <c r="AO138" t="str">
        <f>IF($B138="","",'entri hasil dari isian siswa'!HM138+'entri hasil dari isian siswa'!HS138)</f>
        <v/>
      </c>
      <c r="AP138" t="str">
        <f>IF($B138="","",'entri hasil dari isian siswa'!HN138+'entri hasil dari isian siswa'!HT138)</f>
        <v/>
      </c>
      <c r="AQ138" t="str">
        <f>IF($B138="","",'entri hasil dari isian siswa'!HO138+'entri hasil dari isian siswa'!HU138)</f>
        <v/>
      </c>
      <c r="AR138" t="str">
        <f>IF($B138="","",'entri hasil dari isian siswa'!HP138+'entri hasil dari isian siswa'!HV138)</f>
        <v/>
      </c>
      <c r="AS138" t="str">
        <f>IF($B138="","",'entri hasil dari isian siswa'!HQ138+'entri hasil dari isian siswa'!HW138)</f>
        <v/>
      </c>
      <c r="AT138" t="str">
        <f>IF($B138="","",'entri hasil dari isian siswa'!HR138+'entri hasil dari isian siswa'!HX138)</f>
        <v/>
      </c>
      <c r="AU138" s="69" t="str">
        <f t="shared" si="59"/>
        <v/>
      </c>
      <c r="AV138" s="69" t="str">
        <f>IF($AU138="","",IFERROR(VLOOKUP($AU138,'Kunci dari RIASEC'!$J$4:$K$33,2,FALSE),""))</f>
        <v/>
      </c>
    </row>
    <row r="139" spans="1:48">
      <c r="A139">
        <f t="shared" si="48"/>
        <v>135</v>
      </c>
      <c r="B139" t="str">
        <f>IF('entri hasil dari isian siswa'!B139="","",'entri hasil dari isian siswa'!B139)</f>
        <v/>
      </c>
      <c r="C139" t="str">
        <f>IF('entri hasil dari isian siswa'!C139="","",'entri hasil dari isian siswa'!C139)</f>
        <v/>
      </c>
      <c r="D139" t="str">
        <f>IF('entri hasil dari isian siswa'!D139="","",'entri hasil dari isian siswa'!D139)</f>
        <v/>
      </c>
      <c r="E139" t="str">
        <f t="shared" si="49"/>
        <v/>
      </c>
      <c r="F139" t="str">
        <f t="shared" si="50"/>
        <v/>
      </c>
      <c r="G139" t="str">
        <f t="shared" si="51"/>
        <v/>
      </c>
      <c r="H139" t="str">
        <f t="shared" si="52"/>
        <v/>
      </c>
      <c r="I139" t="str">
        <f t="shared" si="53"/>
        <v/>
      </c>
      <c r="J139" t="str">
        <f t="shared" si="54"/>
        <v/>
      </c>
      <c r="K139" t="str">
        <f>IF($V139&lt;&gt;"OK","",RANK(E139,$E139:$J139,0)+COUNTIF($E139:E139,E139)-1)</f>
        <v/>
      </c>
      <c r="L139" t="str">
        <f>IF($V139&lt;&gt;"OK","",RANK(F139,$E139:$J139,0)+COUNTIF($E139:F139,F139)-1)</f>
        <v/>
      </c>
      <c r="M139" t="str">
        <f>IF($V139&lt;&gt;"OK","",RANK(G139,$E139:$J139,0)+COUNTIF($E139:G139,G139)-1)</f>
        <v/>
      </c>
      <c r="N139" t="str">
        <f>IF($V139&lt;&gt;"OK","",RANK(H139,$E139:$J139,0)+COUNTIF($E139:H139,H139)-1)</f>
        <v/>
      </c>
      <c r="O139" t="str">
        <f>IF($V139&lt;&gt;"OK","",RANK(I139,$E139:$J139,0)+COUNTIF($E139:I139,I139)-1)</f>
        <v/>
      </c>
      <c r="P139" t="str">
        <f>IF($V139&lt;&gt;"OK","",RANK(J139,$E139:$J139,0)+COUNTIF($E139:J139,J139)-1)</f>
        <v/>
      </c>
      <c r="Q139" t="str">
        <f t="shared" si="55"/>
        <v/>
      </c>
      <c r="R139" t="str">
        <f t="shared" si="56"/>
        <v/>
      </c>
      <c r="S139" t="str">
        <f t="shared" si="57"/>
        <v/>
      </c>
      <c r="T139" t="str">
        <f t="shared" si="58"/>
        <v/>
      </c>
      <c r="U139" s="1" t="str">
        <f>IF($T139="","",IFERROR(VLOOKUP($T139,'Kunci dari RIASEC'!$A$4:$B$123,2,FALSE),"Rekomendasi belum tersedia"))</f>
        <v/>
      </c>
      <c r="V139" t="str">
        <f>IF('entri hasil dari isian siswa'!B139="","",'entri hasil dari isian siswa'!HY139)</f>
        <v/>
      </c>
      <c r="W139" t="str">
        <f>IF($B139="","",SUM('entri hasil dari isian siswa'!E139:O139))</f>
        <v/>
      </c>
      <c r="X139" t="str">
        <f>IF($B139="","",SUM('entri hasil dari isian siswa'!P139:Z139))</f>
        <v/>
      </c>
      <c r="Y139" t="str">
        <f>IF($B139="","",SUM('entri hasil dari isian siswa'!AA139:AK139))</f>
        <v/>
      </c>
      <c r="Z139" t="str">
        <f>IF($B139="","",SUM('entri hasil dari isian siswa'!AL139:AV139))</f>
        <v/>
      </c>
      <c r="AA139" t="str">
        <f>IF($B139="","",SUM('entri hasil dari isian siswa'!AW139:BG139))</f>
        <v/>
      </c>
      <c r="AB139" t="str">
        <f>IF($B139="","",SUM('entri hasil dari isian siswa'!BH139:BR139))</f>
        <v/>
      </c>
      <c r="AC139" t="str">
        <f>IF($B139="","",SUM('entri hasil dari isian siswa'!BS139:CC139))</f>
        <v/>
      </c>
      <c r="AD139" t="str">
        <f>IF($B139="","",SUM('entri hasil dari isian siswa'!CD139:CN139))</f>
        <v/>
      </c>
      <c r="AE139" t="str">
        <f>IF($B139="","",SUM('entri hasil dari isian siswa'!CO139:CY139))</f>
        <v/>
      </c>
      <c r="AF139" t="str">
        <f>IF($B139="","",SUM('entri hasil dari isian siswa'!CZ139:DJ139))</f>
        <v/>
      </c>
      <c r="AG139" t="str">
        <f>IF($B139="","",SUM('entri hasil dari isian siswa'!DK139:DU139))</f>
        <v/>
      </c>
      <c r="AH139" t="str">
        <f>IF($B139="","",SUM('entri hasil dari isian siswa'!DV139:EF139))</f>
        <v/>
      </c>
      <c r="AI139" t="str">
        <f>IF($B139="","",SUM('entri hasil dari isian siswa'!EG139:ET139))</f>
        <v/>
      </c>
      <c r="AJ139" t="str">
        <f>IF($B139="","",SUM('entri hasil dari isian siswa'!EU139:FH139))</f>
        <v/>
      </c>
      <c r="AK139" t="str">
        <f>IF($B139="","",SUM('entri hasil dari isian siswa'!FI139:FV139))</f>
        <v/>
      </c>
      <c r="AL139" t="str">
        <f>IF($B139="","",SUM('entri hasil dari isian siswa'!FW139:GJ139))</f>
        <v/>
      </c>
      <c r="AM139" t="str">
        <f>IF($B139="","",SUM('entri hasil dari isian siswa'!GK139:GX139))</f>
        <v/>
      </c>
      <c r="AN139" t="str">
        <f>IF($B139="","",SUM('entri hasil dari isian siswa'!GY139:HL139))</f>
        <v/>
      </c>
      <c r="AO139" t="str">
        <f>IF($B139="","",'entri hasil dari isian siswa'!HM139+'entri hasil dari isian siswa'!HS139)</f>
        <v/>
      </c>
      <c r="AP139" t="str">
        <f>IF($B139="","",'entri hasil dari isian siswa'!HN139+'entri hasil dari isian siswa'!HT139)</f>
        <v/>
      </c>
      <c r="AQ139" t="str">
        <f>IF($B139="","",'entri hasil dari isian siswa'!HO139+'entri hasil dari isian siswa'!HU139)</f>
        <v/>
      </c>
      <c r="AR139" t="str">
        <f>IF($B139="","",'entri hasil dari isian siswa'!HP139+'entri hasil dari isian siswa'!HV139)</f>
        <v/>
      </c>
      <c r="AS139" t="str">
        <f>IF($B139="","",'entri hasil dari isian siswa'!HQ139+'entri hasil dari isian siswa'!HW139)</f>
        <v/>
      </c>
      <c r="AT139" t="str">
        <f>IF($B139="","",'entri hasil dari isian siswa'!HR139+'entri hasil dari isian siswa'!HX139)</f>
        <v/>
      </c>
      <c r="AU139" s="69" t="str">
        <f t="shared" si="59"/>
        <v/>
      </c>
      <c r="AV139" s="69" t="str">
        <f>IF($AU139="","",IFERROR(VLOOKUP($AU139,'Kunci dari RIASEC'!$J$4:$K$33,2,FALSE),""))</f>
        <v/>
      </c>
    </row>
    <row r="140" spans="1:48">
      <c r="A140">
        <f t="shared" si="48"/>
        <v>136</v>
      </c>
      <c r="B140" t="str">
        <f>IF('entri hasil dari isian siswa'!B140="","",'entri hasil dari isian siswa'!B140)</f>
        <v/>
      </c>
      <c r="C140" t="str">
        <f>IF('entri hasil dari isian siswa'!C140="","",'entri hasil dari isian siswa'!C140)</f>
        <v/>
      </c>
      <c r="D140" t="str">
        <f>IF('entri hasil dari isian siswa'!D140="","",'entri hasil dari isian siswa'!D140)</f>
        <v/>
      </c>
      <c r="E140" t="str">
        <f t="shared" si="49"/>
        <v/>
      </c>
      <c r="F140" t="str">
        <f t="shared" si="50"/>
        <v/>
      </c>
      <c r="G140" t="str">
        <f t="shared" si="51"/>
        <v/>
      </c>
      <c r="H140" t="str">
        <f t="shared" si="52"/>
        <v/>
      </c>
      <c r="I140" t="str">
        <f t="shared" si="53"/>
        <v/>
      </c>
      <c r="J140" t="str">
        <f t="shared" si="54"/>
        <v/>
      </c>
      <c r="K140" t="str">
        <f>IF($V140&lt;&gt;"OK","",RANK(E140,$E140:$J140,0)+COUNTIF($E140:E140,E140)-1)</f>
        <v/>
      </c>
      <c r="L140" t="str">
        <f>IF($V140&lt;&gt;"OK","",RANK(F140,$E140:$J140,0)+COUNTIF($E140:F140,F140)-1)</f>
        <v/>
      </c>
      <c r="M140" t="str">
        <f>IF($V140&lt;&gt;"OK","",RANK(G140,$E140:$J140,0)+COUNTIF($E140:G140,G140)-1)</f>
        <v/>
      </c>
      <c r="N140" t="str">
        <f>IF($V140&lt;&gt;"OK","",RANK(H140,$E140:$J140,0)+COUNTIF($E140:H140,H140)-1)</f>
        <v/>
      </c>
      <c r="O140" t="str">
        <f>IF($V140&lt;&gt;"OK","",RANK(I140,$E140:$J140,0)+COUNTIF($E140:I140,I140)-1)</f>
        <v/>
      </c>
      <c r="P140" t="str">
        <f>IF($V140&lt;&gt;"OK","",RANK(J140,$E140:$J140,0)+COUNTIF($E140:J140,J140)-1)</f>
        <v/>
      </c>
      <c r="Q140" t="str">
        <f t="shared" si="55"/>
        <v/>
      </c>
      <c r="R140" t="str">
        <f t="shared" si="56"/>
        <v/>
      </c>
      <c r="S140" t="str">
        <f t="shared" si="57"/>
        <v/>
      </c>
      <c r="T140" t="str">
        <f t="shared" si="58"/>
        <v/>
      </c>
      <c r="U140" s="1" t="str">
        <f>IF($T140="","",IFERROR(VLOOKUP($T140,'Kunci dari RIASEC'!$A$4:$B$123,2,FALSE),"Rekomendasi belum tersedia"))</f>
        <v/>
      </c>
      <c r="V140" t="str">
        <f>IF('entri hasil dari isian siswa'!B140="","",'entri hasil dari isian siswa'!HY140)</f>
        <v/>
      </c>
      <c r="W140" t="str">
        <f>IF($B140="","",SUM('entri hasil dari isian siswa'!E140:O140))</f>
        <v/>
      </c>
      <c r="X140" t="str">
        <f>IF($B140="","",SUM('entri hasil dari isian siswa'!P140:Z140))</f>
        <v/>
      </c>
      <c r="Y140" t="str">
        <f>IF($B140="","",SUM('entri hasil dari isian siswa'!AA140:AK140))</f>
        <v/>
      </c>
      <c r="Z140" t="str">
        <f>IF($B140="","",SUM('entri hasil dari isian siswa'!AL140:AV140))</f>
        <v/>
      </c>
      <c r="AA140" t="str">
        <f>IF($B140="","",SUM('entri hasil dari isian siswa'!AW140:BG140))</f>
        <v/>
      </c>
      <c r="AB140" t="str">
        <f>IF($B140="","",SUM('entri hasil dari isian siswa'!BH140:BR140))</f>
        <v/>
      </c>
      <c r="AC140" t="str">
        <f>IF($B140="","",SUM('entri hasil dari isian siswa'!BS140:CC140))</f>
        <v/>
      </c>
      <c r="AD140" t="str">
        <f>IF($B140="","",SUM('entri hasil dari isian siswa'!CD140:CN140))</f>
        <v/>
      </c>
      <c r="AE140" t="str">
        <f>IF($B140="","",SUM('entri hasil dari isian siswa'!CO140:CY140))</f>
        <v/>
      </c>
      <c r="AF140" t="str">
        <f>IF($B140="","",SUM('entri hasil dari isian siswa'!CZ140:DJ140))</f>
        <v/>
      </c>
      <c r="AG140" t="str">
        <f>IF($B140="","",SUM('entri hasil dari isian siswa'!DK140:DU140))</f>
        <v/>
      </c>
      <c r="AH140" t="str">
        <f>IF($B140="","",SUM('entri hasil dari isian siswa'!DV140:EF140))</f>
        <v/>
      </c>
      <c r="AI140" t="str">
        <f>IF($B140="","",SUM('entri hasil dari isian siswa'!EG140:ET140))</f>
        <v/>
      </c>
      <c r="AJ140" t="str">
        <f>IF($B140="","",SUM('entri hasil dari isian siswa'!EU140:FH140))</f>
        <v/>
      </c>
      <c r="AK140" t="str">
        <f>IF($B140="","",SUM('entri hasil dari isian siswa'!FI140:FV140))</f>
        <v/>
      </c>
      <c r="AL140" t="str">
        <f>IF($B140="","",SUM('entri hasil dari isian siswa'!FW140:GJ140))</f>
        <v/>
      </c>
      <c r="AM140" t="str">
        <f>IF($B140="","",SUM('entri hasil dari isian siswa'!GK140:GX140))</f>
        <v/>
      </c>
      <c r="AN140" t="str">
        <f>IF($B140="","",SUM('entri hasil dari isian siswa'!GY140:HL140))</f>
        <v/>
      </c>
      <c r="AO140" t="str">
        <f>IF($B140="","",'entri hasil dari isian siswa'!HM140+'entri hasil dari isian siswa'!HS140)</f>
        <v/>
      </c>
      <c r="AP140" t="str">
        <f>IF($B140="","",'entri hasil dari isian siswa'!HN140+'entri hasil dari isian siswa'!HT140)</f>
        <v/>
      </c>
      <c r="AQ140" t="str">
        <f>IF($B140="","",'entri hasil dari isian siswa'!HO140+'entri hasil dari isian siswa'!HU140)</f>
        <v/>
      </c>
      <c r="AR140" t="str">
        <f>IF($B140="","",'entri hasil dari isian siswa'!HP140+'entri hasil dari isian siswa'!HV140)</f>
        <v/>
      </c>
      <c r="AS140" t="str">
        <f>IF($B140="","",'entri hasil dari isian siswa'!HQ140+'entri hasil dari isian siswa'!HW140)</f>
        <v/>
      </c>
      <c r="AT140" t="str">
        <f>IF($B140="","",'entri hasil dari isian siswa'!HR140+'entri hasil dari isian siswa'!HX140)</f>
        <v/>
      </c>
      <c r="AU140" s="69" t="str">
        <f t="shared" si="59"/>
        <v/>
      </c>
      <c r="AV140" s="69" t="str">
        <f>IF($AU140="","",IFERROR(VLOOKUP($AU140,'Kunci dari RIASEC'!$J$4:$K$33,2,FALSE),""))</f>
        <v/>
      </c>
    </row>
    <row r="141" spans="1:48">
      <c r="A141">
        <f t="shared" si="48"/>
        <v>137</v>
      </c>
      <c r="B141" t="str">
        <f>IF('entri hasil dari isian siswa'!B141="","",'entri hasil dari isian siswa'!B141)</f>
        <v/>
      </c>
      <c r="C141" t="str">
        <f>IF('entri hasil dari isian siswa'!C141="","",'entri hasil dari isian siswa'!C141)</f>
        <v/>
      </c>
      <c r="D141" t="str">
        <f>IF('entri hasil dari isian siswa'!D141="","",'entri hasil dari isian siswa'!D141)</f>
        <v/>
      </c>
      <c r="E141" t="str">
        <f t="shared" si="49"/>
        <v/>
      </c>
      <c r="F141" t="str">
        <f t="shared" si="50"/>
        <v/>
      </c>
      <c r="G141" t="str">
        <f t="shared" si="51"/>
        <v/>
      </c>
      <c r="H141" t="str">
        <f t="shared" si="52"/>
        <v/>
      </c>
      <c r="I141" t="str">
        <f t="shared" si="53"/>
        <v/>
      </c>
      <c r="J141" t="str">
        <f t="shared" si="54"/>
        <v/>
      </c>
      <c r="K141" t="str">
        <f>IF($V141&lt;&gt;"OK","",RANK(E141,$E141:$J141,0)+COUNTIF($E141:E141,E141)-1)</f>
        <v/>
      </c>
      <c r="L141" t="str">
        <f>IF($V141&lt;&gt;"OK","",RANK(F141,$E141:$J141,0)+COUNTIF($E141:F141,F141)-1)</f>
        <v/>
      </c>
      <c r="M141" t="str">
        <f>IF($V141&lt;&gt;"OK","",RANK(G141,$E141:$J141,0)+COUNTIF($E141:G141,G141)-1)</f>
        <v/>
      </c>
      <c r="N141" t="str">
        <f>IF($V141&lt;&gt;"OK","",RANK(H141,$E141:$J141,0)+COUNTIF($E141:H141,H141)-1)</f>
        <v/>
      </c>
      <c r="O141" t="str">
        <f>IF($V141&lt;&gt;"OK","",RANK(I141,$E141:$J141,0)+COUNTIF($E141:I141,I141)-1)</f>
        <v/>
      </c>
      <c r="P141" t="str">
        <f>IF($V141&lt;&gt;"OK","",RANK(J141,$E141:$J141,0)+COUNTIF($E141:J141,J141)-1)</f>
        <v/>
      </c>
      <c r="Q141" t="str">
        <f t="shared" si="55"/>
        <v/>
      </c>
      <c r="R141" t="str">
        <f t="shared" si="56"/>
        <v/>
      </c>
      <c r="S141" t="str">
        <f t="shared" si="57"/>
        <v/>
      </c>
      <c r="T141" t="str">
        <f t="shared" si="58"/>
        <v/>
      </c>
      <c r="U141" s="1" t="str">
        <f>IF($T141="","",IFERROR(VLOOKUP($T141,'Kunci dari RIASEC'!$A$4:$B$123,2,FALSE),"Rekomendasi belum tersedia"))</f>
        <v/>
      </c>
      <c r="V141" t="str">
        <f>IF('entri hasil dari isian siswa'!B141="","",'entri hasil dari isian siswa'!HY141)</f>
        <v/>
      </c>
      <c r="W141" t="str">
        <f>IF($B141="","",SUM('entri hasil dari isian siswa'!E141:O141))</f>
        <v/>
      </c>
      <c r="X141" t="str">
        <f>IF($B141="","",SUM('entri hasil dari isian siswa'!P141:Z141))</f>
        <v/>
      </c>
      <c r="Y141" t="str">
        <f>IF($B141="","",SUM('entri hasil dari isian siswa'!AA141:AK141))</f>
        <v/>
      </c>
      <c r="Z141" t="str">
        <f>IF($B141="","",SUM('entri hasil dari isian siswa'!AL141:AV141))</f>
        <v/>
      </c>
      <c r="AA141" t="str">
        <f>IF($B141="","",SUM('entri hasil dari isian siswa'!AW141:BG141))</f>
        <v/>
      </c>
      <c r="AB141" t="str">
        <f>IF($B141="","",SUM('entri hasil dari isian siswa'!BH141:BR141))</f>
        <v/>
      </c>
      <c r="AC141" t="str">
        <f>IF($B141="","",SUM('entri hasil dari isian siswa'!BS141:CC141))</f>
        <v/>
      </c>
      <c r="AD141" t="str">
        <f>IF($B141="","",SUM('entri hasil dari isian siswa'!CD141:CN141))</f>
        <v/>
      </c>
      <c r="AE141" t="str">
        <f>IF($B141="","",SUM('entri hasil dari isian siswa'!CO141:CY141))</f>
        <v/>
      </c>
      <c r="AF141" t="str">
        <f>IF($B141="","",SUM('entri hasil dari isian siswa'!CZ141:DJ141))</f>
        <v/>
      </c>
      <c r="AG141" t="str">
        <f>IF($B141="","",SUM('entri hasil dari isian siswa'!DK141:DU141))</f>
        <v/>
      </c>
      <c r="AH141" t="str">
        <f>IF($B141="","",SUM('entri hasil dari isian siswa'!DV141:EF141))</f>
        <v/>
      </c>
      <c r="AI141" t="str">
        <f>IF($B141="","",SUM('entri hasil dari isian siswa'!EG141:ET141))</f>
        <v/>
      </c>
      <c r="AJ141" t="str">
        <f>IF($B141="","",SUM('entri hasil dari isian siswa'!EU141:FH141))</f>
        <v/>
      </c>
      <c r="AK141" t="str">
        <f>IF($B141="","",SUM('entri hasil dari isian siswa'!FI141:FV141))</f>
        <v/>
      </c>
      <c r="AL141" t="str">
        <f>IF($B141="","",SUM('entri hasil dari isian siswa'!FW141:GJ141))</f>
        <v/>
      </c>
      <c r="AM141" t="str">
        <f>IF($B141="","",SUM('entri hasil dari isian siswa'!GK141:GX141))</f>
        <v/>
      </c>
      <c r="AN141" t="str">
        <f>IF($B141="","",SUM('entri hasil dari isian siswa'!GY141:HL141))</f>
        <v/>
      </c>
      <c r="AO141" t="str">
        <f>IF($B141="","",'entri hasil dari isian siswa'!HM141+'entri hasil dari isian siswa'!HS141)</f>
        <v/>
      </c>
      <c r="AP141" t="str">
        <f>IF($B141="","",'entri hasil dari isian siswa'!HN141+'entri hasil dari isian siswa'!HT141)</f>
        <v/>
      </c>
      <c r="AQ141" t="str">
        <f>IF($B141="","",'entri hasil dari isian siswa'!HO141+'entri hasil dari isian siswa'!HU141)</f>
        <v/>
      </c>
      <c r="AR141" t="str">
        <f>IF($B141="","",'entri hasil dari isian siswa'!HP141+'entri hasil dari isian siswa'!HV141)</f>
        <v/>
      </c>
      <c r="AS141" t="str">
        <f>IF($B141="","",'entri hasil dari isian siswa'!HQ141+'entri hasil dari isian siswa'!HW141)</f>
        <v/>
      </c>
      <c r="AT141" t="str">
        <f>IF($B141="","",'entri hasil dari isian siswa'!HR141+'entri hasil dari isian siswa'!HX141)</f>
        <v/>
      </c>
      <c r="AU141" s="69" t="str">
        <f t="shared" si="59"/>
        <v/>
      </c>
      <c r="AV141" s="69" t="str">
        <f>IF($AU141="","",IFERROR(VLOOKUP($AU141,'Kunci dari RIASEC'!$J$4:$K$33,2,FALSE),""))</f>
        <v/>
      </c>
    </row>
    <row r="142" spans="1:48">
      <c r="A142">
        <f t="shared" si="48"/>
        <v>138</v>
      </c>
      <c r="B142" t="str">
        <f>IF('entri hasil dari isian siswa'!B142="","",'entri hasil dari isian siswa'!B142)</f>
        <v/>
      </c>
      <c r="C142" t="str">
        <f>IF('entri hasil dari isian siswa'!C142="","",'entri hasil dari isian siswa'!C142)</f>
        <v/>
      </c>
      <c r="D142" t="str">
        <f>IF('entri hasil dari isian siswa'!D142="","",'entri hasil dari isian siswa'!D142)</f>
        <v/>
      </c>
      <c r="E142" t="str">
        <f t="shared" si="49"/>
        <v/>
      </c>
      <c r="F142" t="str">
        <f t="shared" si="50"/>
        <v/>
      </c>
      <c r="G142" t="str">
        <f t="shared" si="51"/>
        <v/>
      </c>
      <c r="H142" t="str">
        <f t="shared" si="52"/>
        <v/>
      </c>
      <c r="I142" t="str">
        <f t="shared" si="53"/>
        <v/>
      </c>
      <c r="J142" t="str">
        <f t="shared" si="54"/>
        <v/>
      </c>
      <c r="K142" t="str">
        <f>IF($V142&lt;&gt;"OK","",RANK(E142,$E142:$J142,0)+COUNTIF($E142:E142,E142)-1)</f>
        <v/>
      </c>
      <c r="L142" t="str">
        <f>IF($V142&lt;&gt;"OK","",RANK(F142,$E142:$J142,0)+COUNTIF($E142:F142,F142)-1)</f>
        <v/>
      </c>
      <c r="M142" t="str">
        <f>IF($V142&lt;&gt;"OK","",RANK(G142,$E142:$J142,0)+COUNTIF($E142:G142,G142)-1)</f>
        <v/>
      </c>
      <c r="N142" t="str">
        <f>IF($V142&lt;&gt;"OK","",RANK(H142,$E142:$J142,0)+COUNTIF($E142:H142,H142)-1)</f>
        <v/>
      </c>
      <c r="O142" t="str">
        <f>IF($V142&lt;&gt;"OK","",RANK(I142,$E142:$J142,0)+COUNTIF($E142:I142,I142)-1)</f>
        <v/>
      </c>
      <c r="P142" t="str">
        <f>IF($V142&lt;&gt;"OK","",RANK(J142,$E142:$J142,0)+COUNTIF($E142:J142,J142)-1)</f>
        <v/>
      </c>
      <c r="Q142" t="str">
        <f t="shared" si="55"/>
        <v/>
      </c>
      <c r="R142" t="str">
        <f t="shared" si="56"/>
        <v/>
      </c>
      <c r="S142" t="str">
        <f t="shared" si="57"/>
        <v/>
      </c>
      <c r="T142" t="str">
        <f t="shared" si="58"/>
        <v/>
      </c>
      <c r="U142" s="1" t="str">
        <f>IF($T142="","",IFERROR(VLOOKUP($T142,'Kunci dari RIASEC'!$A$4:$B$123,2,FALSE),"Rekomendasi belum tersedia"))</f>
        <v/>
      </c>
      <c r="V142" t="str">
        <f>IF('entri hasil dari isian siswa'!B142="","",'entri hasil dari isian siswa'!HY142)</f>
        <v/>
      </c>
      <c r="W142" t="str">
        <f>IF($B142="","",SUM('entri hasil dari isian siswa'!E142:O142))</f>
        <v/>
      </c>
      <c r="X142" t="str">
        <f>IF($B142="","",SUM('entri hasil dari isian siswa'!P142:Z142))</f>
        <v/>
      </c>
      <c r="Y142" t="str">
        <f>IF($B142="","",SUM('entri hasil dari isian siswa'!AA142:AK142))</f>
        <v/>
      </c>
      <c r="Z142" t="str">
        <f>IF($B142="","",SUM('entri hasil dari isian siswa'!AL142:AV142))</f>
        <v/>
      </c>
      <c r="AA142" t="str">
        <f>IF($B142="","",SUM('entri hasil dari isian siswa'!AW142:BG142))</f>
        <v/>
      </c>
      <c r="AB142" t="str">
        <f>IF($B142="","",SUM('entri hasil dari isian siswa'!BH142:BR142))</f>
        <v/>
      </c>
      <c r="AC142" t="str">
        <f>IF($B142="","",SUM('entri hasil dari isian siswa'!BS142:CC142))</f>
        <v/>
      </c>
      <c r="AD142" t="str">
        <f>IF($B142="","",SUM('entri hasil dari isian siswa'!CD142:CN142))</f>
        <v/>
      </c>
      <c r="AE142" t="str">
        <f>IF($B142="","",SUM('entri hasil dari isian siswa'!CO142:CY142))</f>
        <v/>
      </c>
      <c r="AF142" t="str">
        <f>IF($B142="","",SUM('entri hasil dari isian siswa'!CZ142:DJ142))</f>
        <v/>
      </c>
      <c r="AG142" t="str">
        <f>IF($B142="","",SUM('entri hasil dari isian siswa'!DK142:DU142))</f>
        <v/>
      </c>
      <c r="AH142" t="str">
        <f>IF($B142="","",SUM('entri hasil dari isian siswa'!DV142:EF142))</f>
        <v/>
      </c>
      <c r="AI142" t="str">
        <f>IF($B142="","",SUM('entri hasil dari isian siswa'!EG142:ET142))</f>
        <v/>
      </c>
      <c r="AJ142" t="str">
        <f>IF($B142="","",SUM('entri hasil dari isian siswa'!EU142:FH142))</f>
        <v/>
      </c>
      <c r="AK142" t="str">
        <f>IF($B142="","",SUM('entri hasil dari isian siswa'!FI142:FV142))</f>
        <v/>
      </c>
      <c r="AL142" t="str">
        <f>IF($B142="","",SUM('entri hasil dari isian siswa'!FW142:GJ142))</f>
        <v/>
      </c>
      <c r="AM142" t="str">
        <f>IF($B142="","",SUM('entri hasil dari isian siswa'!GK142:GX142))</f>
        <v/>
      </c>
      <c r="AN142" t="str">
        <f>IF($B142="","",SUM('entri hasil dari isian siswa'!GY142:HL142))</f>
        <v/>
      </c>
      <c r="AO142" t="str">
        <f>IF($B142="","",'entri hasil dari isian siswa'!HM142+'entri hasil dari isian siswa'!HS142)</f>
        <v/>
      </c>
      <c r="AP142" t="str">
        <f>IF($B142="","",'entri hasil dari isian siswa'!HN142+'entri hasil dari isian siswa'!HT142)</f>
        <v/>
      </c>
      <c r="AQ142" t="str">
        <f>IF($B142="","",'entri hasil dari isian siswa'!HO142+'entri hasil dari isian siswa'!HU142)</f>
        <v/>
      </c>
      <c r="AR142" t="str">
        <f>IF($B142="","",'entri hasil dari isian siswa'!HP142+'entri hasil dari isian siswa'!HV142)</f>
        <v/>
      </c>
      <c r="AS142" t="str">
        <f>IF($B142="","",'entri hasil dari isian siswa'!HQ142+'entri hasil dari isian siswa'!HW142)</f>
        <v/>
      </c>
      <c r="AT142" t="str">
        <f>IF($B142="","",'entri hasil dari isian siswa'!HR142+'entri hasil dari isian siswa'!HX142)</f>
        <v/>
      </c>
      <c r="AU142" s="69" t="str">
        <f t="shared" si="59"/>
        <v/>
      </c>
      <c r="AV142" s="69" t="str">
        <f>IF($AU142="","",IFERROR(VLOOKUP($AU142,'Kunci dari RIASEC'!$J$4:$K$33,2,FALSE),""))</f>
        <v/>
      </c>
    </row>
    <row r="143" spans="1:48">
      <c r="A143">
        <f t="shared" si="48"/>
        <v>139</v>
      </c>
      <c r="B143" t="str">
        <f>IF('entri hasil dari isian siswa'!B143="","",'entri hasil dari isian siswa'!B143)</f>
        <v/>
      </c>
      <c r="C143" t="str">
        <f>IF('entri hasil dari isian siswa'!C143="","",'entri hasil dari isian siswa'!C143)</f>
        <v/>
      </c>
      <c r="D143" t="str">
        <f>IF('entri hasil dari isian siswa'!D143="","",'entri hasil dari isian siswa'!D143)</f>
        <v/>
      </c>
      <c r="E143" t="str">
        <f t="shared" si="49"/>
        <v/>
      </c>
      <c r="F143" t="str">
        <f t="shared" si="50"/>
        <v/>
      </c>
      <c r="G143" t="str">
        <f t="shared" si="51"/>
        <v/>
      </c>
      <c r="H143" t="str">
        <f t="shared" si="52"/>
        <v/>
      </c>
      <c r="I143" t="str">
        <f t="shared" si="53"/>
        <v/>
      </c>
      <c r="J143" t="str">
        <f t="shared" si="54"/>
        <v/>
      </c>
      <c r="K143" t="str">
        <f>IF($V143&lt;&gt;"OK","",RANK(E143,$E143:$J143,0)+COUNTIF($E143:E143,E143)-1)</f>
        <v/>
      </c>
      <c r="L143" t="str">
        <f>IF($V143&lt;&gt;"OK","",RANK(F143,$E143:$J143,0)+COUNTIF($E143:F143,F143)-1)</f>
        <v/>
      </c>
      <c r="M143" t="str">
        <f>IF($V143&lt;&gt;"OK","",RANK(G143,$E143:$J143,0)+COUNTIF($E143:G143,G143)-1)</f>
        <v/>
      </c>
      <c r="N143" t="str">
        <f>IF($V143&lt;&gt;"OK","",RANK(H143,$E143:$J143,0)+COUNTIF($E143:H143,H143)-1)</f>
        <v/>
      </c>
      <c r="O143" t="str">
        <f>IF($V143&lt;&gt;"OK","",RANK(I143,$E143:$J143,0)+COUNTIF($E143:I143,I143)-1)</f>
        <v/>
      </c>
      <c r="P143" t="str">
        <f>IF($V143&lt;&gt;"OK","",RANK(J143,$E143:$J143,0)+COUNTIF($E143:J143,J143)-1)</f>
        <v/>
      </c>
      <c r="Q143" t="str">
        <f t="shared" si="55"/>
        <v/>
      </c>
      <c r="R143" t="str">
        <f t="shared" si="56"/>
        <v/>
      </c>
      <c r="S143" t="str">
        <f t="shared" si="57"/>
        <v/>
      </c>
      <c r="T143" t="str">
        <f t="shared" si="58"/>
        <v/>
      </c>
      <c r="U143" s="1" t="str">
        <f>IF($T143="","",IFERROR(VLOOKUP($T143,'Kunci dari RIASEC'!$A$4:$B$123,2,FALSE),"Rekomendasi belum tersedia"))</f>
        <v/>
      </c>
      <c r="V143" t="str">
        <f>IF('entri hasil dari isian siswa'!B143="","",'entri hasil dari isian siswa'!HY143)</f>
        <v/>
      </c>
      <c r="W143" t="str">
        <f>IF($B143="","",SUM('entri hasil dari isian siswa'!E143:O143))</f>
        <v/>
      </c>
      <c r="X143" t="str">
        <f>IF($B143="","",SUM('entri hasil dari isian siswa'!P143:Z143))</f>
        <v/>
      </c>
      <c r="Y143" t="str">
        <f>IF($B143="","",SUM('entri hasil dari isian siswa'!AA143:AK143))</f>
        <v/>
      </c>
      <c r="Z143" t="str">
        <f>IF($B143="","",SUM('entri hasil dari isian siswa'!AL143:AV143))</f>
        <v/>
      </c>
      <c r="AA143" t="str">
        <f>IF($B143="","",SUM('entri hasil dari isian siswa'!AW143:BG143))</f>
        <v/>
      </c>
      <c r="AB143" t="str">
        <f>IF($B143="","",SUM('entri hasil dari isian siswa'!BH143:BR143))</f>
        <v/>
      </c>
      <c r="AC143" t="str">
        <f>IF($B143="","",SUM('entri hasil dari isian siswa'!BS143:CC143))</f>
        <v/>
      </c>
      <c r="AD143" t="str">
        <f>IF($B143="","",SUM('entri hasil dari isian siswa'!CD143:CN143))</f>
        <v/>
      </c>
      <c r="AE143" t="str">
        <f>IF($B143="","",SUM('entri hasil dari isian siswa'!CO143:CY143))</f>
        <v/>
      </c>
      <c r="AF143" t="str">
        <f>IF($B143="","",SUM('entri hasil dari isian siswa'!CZ143:DJ143))</f>
        <v/>
      </c>
      <c r="AG143" t="str">
        <f>IF($B143="","",SUM('entri hasil dari isian siswa'!DK143:DU143))</f>
        <v/>
      </c>
      <c r="AH143" t="str">
        <f>IF($B143="","",SUM('entri hasil dari isian siswa'!DV143:EF143))</f>
        <v/>
      </c>
      <c r="AI143" t="str">
        <f>IF($B143="","",SUM('entri hasil dari isian siswa'!EG143:ET143))</f>
        <v/>
      </c>
      <c r="AJ143" t="str">
        <f>IF($B143="","",SUM('entri hasil dari isian siswa'!EU143:FH143))</f>
        <v/>
      </c>
      <c r="AK143" t="str">
        <f>IF($B143="","",SUM('entri hasil dari isian siswa'!FI143:FV143))</f>
        <v/>
      </c>
      <c r="AL143" t="str">
        <f>IF($B143="","",SUM('entri hasil dari isian siswa'!FW143:GJ143))</f>
        <v/>
      </c>
      <c r="AM143" t="str">
        <f>IF($B143="","",SUM('entri hasil dari isian siswa'!GK143:GX143))</f>
        <v/>
      </c>
      <c r="AN143" t="str">
        <f>IF($B143="","",SUM('entri hasil dari isian siswa'!GY143:HL143))</f>
        <v/>
      </c>
      <c r="AO143" t="str">
        <f>IF($B143="","",'entri hasil dari isian siswa'!HM143+'entri hasil dari isian siswa'!HS143)</f>
        <v/>
      </c>
      <c r="AP143" t="str">
        <f>IF($B143="","",'entri hasil dari isian siswa'!HN143+'entri hasil dari isian siswa'!HT143)</f>
        <v/>
      </c>
      <c r="AQ143" t="str">
        <f>IF($B143="","",'entri hasil dari isian siswa'!HO143+'entri hasil dari isian siswa'!HU143)</f>
        <v/>
      </c>
      <c r="AR143" t="str">
        <f>IF($B143="","",'entri hasil dari isian siswa'!HP143+'entri hasil dari isian siswa'!HV143)</f>
        <v/>
      </c>
      <c r="AS143" t="str">
        <f>IF($B143="","",'entri hasil dari isian siswa'!HQ143+'entri hasil dari isian siswa'!HW143)</f>
        <v/>
      </c>
      <c r="AT143" t="str">
        <f>IF($B143="","",'entri hasil dari isian siswa'!HR143+'entri hasil dari isian siswa'!HX143)</f>
        <v/>
      </c>
      <c r="AU143" s="69" t="str">
        <f t="shared" si="59"/>
        <v/>
      </c>
      <c r="AV143" s="69" t="str">
        <f>IF($AU143="","",IFERROR(VLOOKUP($AU143,'Kunci dari RIASEC'!$J$4:$K$33,2,FALSE),""))</f>
        <v/>
      </c>
    </row>
    <row r="144" spans="1:48">
      <c r="A144">
        <f t="shared" si="48"/>
        <v>140</v>
      </c>
      <c r="B144" t="str">
        <f>IF('entri hasil dari isian siswa'!B144="","",'entri hasil dari isian siswa'!B144)</f>
        <v/>
      </c>
      <c r="C144" t="str">
        <f>IF('entri hasil dari isian siswa'!C144="","",'entri hasil dari isian siswa'!C144)</f>
        <v/>
      </c>
      <c r="D144" t="str">
        <f>IF('entri hasil dari isian siswa'!D144="","",'entri hasil dari isian siswa'!D144)</f>
        <v/>
      </c>
      <c r="E144" t="str">
        <f t="shared" si="49"/>
        <v/>
      </c>
      <c r="F144" t="str">
        <f t="shared" si="50"/>
        <v/>
      </c>
      <c r="G144" t="str">
        <f t="shared" si="51"/>
        <v/>
      </c>
      <c r="H144" t="str">
        <f t="shared" si="52"/>
        <v/>
      </c>
      <c r="I144" t="str">
        <f t="shared" si="53"/>
        <v/>
      </c>
      <c r="J144" t="str">
        <f t="shared" si="54"/>
        <v/>
      </c>
      <c r="K144" t="str">
        <f>IF($V144&lt;&gt;"OK","",RANK(E144,$E144:$J144,0)+COUNTIF($E144:E144,E144)-1)</f>
        <v/>
      </c>
      <c r="L144" t="str">
        <f>IF($V144&lt;&gt;"OK","",RANK(F144,$E144:$J144,0)+COUNTIF($E144:F144,F144)-1)</f>
        <v/>
      </c>
      <c r="M144" t="str">
        <f>IF($V144&lt;&gt;"OK","",RANK(G144,$E144:$J144,0)+COUNTIF($E144:G144,G144)-1)</f>
        <v/>
      </c>
      <c r="N144" t="str">
        <f>IF($V144&lt;&gt;"OK","",RANK(H144,$E144:$J144,0)+COUNTIF($E144:H144,H144)-1)</f>
        <v/>
      </c>
      <c r="O144" t="str">
        <f>IF($V144&lt;&gt;"OK","",RANK(I144,$E144:$J144,0)+COUNTIF($E144:I144,I144)-1)</f>
        <v/>
      </c>
      <c r="P144" t="str">
        <f>IF($V144&lt;&gt;"OK","",RANK(J144,$E144:$J144,0)+COUNTIF($E144:J144,J144)-1)</f>
        <v/>
      </c>
      <c r="Q144" t="str">
        <f t="shared" si="55"/>
        <v/>
      </c>
      <c r="R144" t="str">
        <f t="shared" si="56"/>
        <v/>
      </c>
      <c r="S144" t="str">
        <f t="shared" si="57"/>
        <v/>
      </c>
      <c r="T144" t="str">
        <f t="shared" si="58"/>
        <v/>
      </c>
      <c r="U144" s="1" t="str">
        <f>IF($T144="","",IFERROR(VLOOKUP($T144,'Kunci dari RIASEC'!$A$4:$B$123,2,FALSE),"Rekomendasi belum tersedia"))</f>
        <v/>
      </c>
      <c r="V144" t="str">
        <f>IF('entri hasil dari isian siswa'!B144="","",'entri hasil dari isian siswa'!HY144)</f>
        <v/>
      </c>
      <c r="W144" t="str">
        <f>IF($B144="","",SUM('entri hasil dari isian siswa'!E144:O144))</f>
        <v/>
      </c>
      <c r="X144" t="str">
        <f>IF($B144="","",SUM('entri hasil dari isian siswa'!P144:Z144))</f>
        <v/>
      </c>
      <c r="Y144" t="str">
        <f>IF($B144="","",SUM('entri hasil dari isian siswa'!AA144:AK144))</f>
        <v/>
      </c>
      <c r="Z144" t="str">
        <f>IF($B144="","",SUM('entri hasil dari isian siswa'!AL144:AV144))</f>
        <v/>
      </c>
      <c r="AA144" t="str">
        <f>IF($B144="","",SUM('entri hasil dari isian siswa'!AW144:BG144))</f>
        <v/>
      </c>
      <c r="AB144" t="str">
        <f>IF($B144="","",SUM('entri hasil dari isian siswa'!BH144:BR144))</f>
        <v/>
      </c>
      <c r="AC144" t="str">
        <f>IF($B144="","",SUM('entri hasil dari isian siswa'!BS144:CC144))</f>
        <v/>
      </c>
      <c r="AD144" t="str">
        <f>IF($B144="","",SUM('entri hasil dari isian siswa'!CD144:CN144))</f>
        <v/>
      </c>
      <c r="AE144" t="str">
        <f>IF($B144="","",SUM('entri hasil dari isian siswa'!CO144:CY144))</f>
        <v/>
      </c>
      <c r="AF144" t="str">
        <f>IF($B144="","",SUM('entri hasil dari isian siswa'!CZ144:DJ144))</f>
        <v/>
      </c>
      <c r="AG144" t="str">
        <f>IF($B144="","",SUM('entri hasil dari isian siswa'!DK144:DU144))</f>
        <v/>
      </c>
      <c r="AH144" t="str">
        <f>IF($B144="","",SUM('entri hasil dari isian siswa'!DV144:EF144))</f>
        <v/>
      </c>
      <c r="AI144" t="str">
        <f>IF($B144="","",SUM('entri hasil dari isian siswa'!EG144:ET144))</f>
        <v/>
      </c>
      <c r="AJ144" t="str">
        <f>IF($B144="","",SUM('entri hasil dari isian siswa'!EU144:FH144))</f>
        <v/>
      </c>
      <c r="AK144" t="str">
        <f>IF($B144="","",SUM('entri hasil dari isian siswa'!FI144:FV144))</f>
        <v/>
      </c>
      <c r="AL144" t="str">
        <f>IF($B144="","",SUM('entri hasil dari isian siswa'!FW144:GJ144))</f>
        <v/>
      </c>
      <c r="AM144" t="str">
        <f>IF($B144="","",SUM('entri hasil dari isian siswa'!GK144:GX144))</f>
        <v/>
      </c>
      <c r="AN144" t="str">
        <f>IF($B144="","",SUM('entri hasil dari isian siswa'!GY144:HL144))</f>
        <v/>
      </c>
      <c r="AO144" t="str">
        <f>IF($B144="","",'entri hasil dari isian siswa'!HM144+'entri hasil dari isian siswa'!HS144)</f>
        <v/>
      </c>
      <c r="AP144" t="str">
        <f>IF($B144="","",'entri hasil dari isian siswa'!HN144+'entri hasil dari isian siswa'!HT144)</f>
        <v/>
      </c>
      <c r="AQ144" t="str">
        <f>IF($B144="","",'entri hasil dari isian siswa'!HO144+'entri hasil dari isian siswa'!HU144)</f>
        <v/>
      </c>
      <c r="AR144" t="str">
        <f>IF($B144="","",'entri hasil dari isian siswa'!HP144+'entri hasil dari isian siswa'!HV144)</f>
        <v/>
      </c>
      <c r="AS144" t="str">
        <f>IF($B144="","",'entri hasil dari isian siswa'!HQ144+'entri hasil dari isian siswa'!HW144)</f>
        <v/>
      </c>
      <c r="AT144" t="str">
        <f>IF($B144="","",'entri hasil dari isian siswa'!HR144+'entri hasil dari isian siswa'!HX144)</f>
        <v/>
      </c>
      <c r="AU144" s="69" t="str">
        <f t="shared" si="59"/>
        <v/>
      </c>
      <c r="AV144" s="69" t="str">
        <f>IF($AU144="","",IFERROR(VLOOKUP($AU144,'Kunci dari RIASEC'!$J$4:$K$33,2,FALSE),""))</f>
        <v/>
      </c>
    </row>
    <row r="145" spans="1:48">
      <c r="A145">
        <f t="shared" si="48"/>
        <v>141</v>
      </c>
      <c r="B145" t="str">
        <f>IF('entri hasil dari isian siswa'!B145="","",'entri hasil dari isian siswa'!B145)</f>
        <v/>
      </c>
      <c r="C145" t="str">
        <f>IF('entri hasil dari isian siswa'!C145="","",'entri hasil dari isian siswa'!C145)</f>
        <v/>
      </c>
      <c r="D145" t="str">
        <f>IF('entri hasil dari isian siswa'!D145="","",'entri hasil dari isian siswa'!D145)</f>
        <v/>
      </c>
      <c r="E145" t="str">
        <f t="shared" si="49"/>
        <v/>
      </c>
      <c r="F145" t="str">
        <f t="shared" si="50"/>
        <v/>
      </c>
      <c r="G145" t="str">
        <f t="shared" si="51"/>
        <v/>
      </c>
      <c r="H145" t="str">
        <f t="shared" si="52"/>
        <v/>
      </c>
      <c r="I145" t="str">
        <f t="shared" si="53"/>
        <v/>
      </c>
      <c r="J145" t="str">
        <f t="shared" si="54"/>
        <v/>
      </c>
      <c r="K145" t="str">
        <f>IF($V145&lt;&gt;"OK","",RANK(E145,$E145:$J145,0)+COUNTIF($E145:E145,E145)-1)</f>
        <v/>
      </c>
      <c r="L145" t="str">
        <f>IF($V145&lt;&gt;"OK","",RANK(F145,$E145:$J145,0)+COUNTIF($E145:F145,F145)-1)</f>
        <v/>
      </c>
      <c r="M145" t="str">
        <f>IF($V145&lt;&gt;"OK","",RANK(G145,$E145:$J145,0)+COUNTIF($E145:G145,G145)-1)</f>
        <v/>
      </c>
      <c r="N145" t="str">
        <f>IF($V145&lt;&gt;"OK","",RANK(H145,$E145:$J145,0)+COUNTIF($E145:H145,H145)-1)</f>
        <v/>
      </c>
      <c r="O145" t="str">
        <f>IF($V145&lt;&gt;"OK","",RANK(I145,$E145:$J145,0)+COUNTIF($E145:I145,I145)-1)</f>
        <v/>
      </c>
      <c r="P145" t="str">
        <f>IF($V145&lt;&gt;"OK","",RANK(J145,$E145:$J145,0)+COUNTIF($E145:J145,J145)-1)</f>
        <v/>
      </c>
      <c r="Q145" t="str">
        <f t="shared" si="55"/>
        <v/>
      </c>
      <c r="R145" t="str">
        <f t="shared" si="56"/>
        <v/>
      </c>
      <c r="S145" t="str">
        <f t="shared" si="57"/>
        <v/>
      </c>
      <c r="T145" t="str">
        <f t="shared" si="58"/>
        <v/>
      </c>
      <c r="U145" s="1" t="str">
        <f>IF($T145="","",IFERROR(VLOOKUP($T145,'Kunci dari RIASEC'!$A$4:$B$123,2,FALSE),"Rekomendasi belum tersedia"))</f>
        <v/>
      </c>
      <c r="V145" t="str">
        <f>IF('entri hasil dari isian siswa'!B145="","",'entri hasil dari isian siswa'!HY145)</f>
        <v/>
      </c>
      <c r="W145" t="str">
        <f>IF($B145="","",SUM('entri hasil dari isian siswa'!E145:O145))</f>
        <v/>
      </c>
      <c r="X145" t="str">
        <f>IF($B145="","",SUM('entri hasil dari isian siswa'!P145:Z145))</f>
        <v/>
      </c>
      <c r="Y145" t="str">
        <f>IF($B145="","",SUM('entri hasil dari isian siswa'!AA145:AK145))</f>
        <v/>
      </c>
      <c r="Z145" t="str">
        <f>IF($B145="","",SUM('entri hasil dari isian siswa'!AL145:AV145))</f>
        <v/>
      </c>
      <c r="AA145" t="str">
        <f>IF($B145="","",SUM('entri hasil dari isian siswa'!AW145:BG145))</f>
        <v/>
      </c>
      <c r="AB145" t="str">
        <f>IF($B145="","",SUM('entri hasil dari isian siswa'!BH145:BR145))</f>
        <v/>
      </c>
      <c r="AC145" t="str">
        <f>IF($B145="","",SUM('entri hasil dari isian siswa'!BS145:CC145))</f>
        <v/>
      </c>
      <c r="AD145" t="str">
        <f>IF($B145="","",SUM('entri hasil dari isian siswa'!CD145:CN145))</f>
        <v/>
      </c>
      <c r="AE145" t="str">
        <f>IF($B145="","",SUM('entri hasil dari isian siswa'!CO145:CY145))</f>
        <v/>
      </c>
      <c r="AF145" t="str">
        <f>IF($B145="","",SUM('entri hasil dari isian siswa'!CZ145:DJ145))</f>
        <v/>
      </c>
      <c r="AG145" t="str">
        <f>IF($B145="","",SUM('entri hasil dari isian siswa'!DK145:DU145))</f>
        <v/>
      </c>
      <c r="AH145" t="str">
        <f>IF($B145="","",SUM('entri hasil dari isian siswa'!DV145:EF145))</f>
        <v/>
      </c>
      <c r="AI145" t="str">
        <f>IF($B145="","",SUM('entri hasil dari isian siswa'!EG145:ET145))</f>
        <v/>
      </c>
      <c r="AJ145" t="str">
        <f>IF($B145="","",SUM('entri hasil dari isian siswa'!EU145:FH145))</f>
        <v/>
      </c>
      <c r="AK145" t="str">
        <f>IF($B145="","",SUM('entri hasil dari isian siswa'!FI145:FV145))</f>
        <v/>
      </c>
      <c r="AL145" t="str">
        <f>IF($B145="","",SUM('entri hasil dari isian siswa'!FW145:GJ145))</f>
        <v/>
      </c>
      <c r="AM145" t="str">
        <f>IF($B145="","",SUM('entri hasil dari isian siswa'!GK145:GX145))</f>
        <v/>
      </c>
      <c r="AN145" t="str">
        <f>IF($B145="","",SUM('entri hasil dari isian siswa'!GY145:HL145))</f>
        <v/>
      </c>
      <c r="AO145" t="str">
        <f>IF($B145="","",'entri hasil dari isian siswa'!HM145+'entri hasil dari isian siswa'!HS145)</f>
        <v/>
      </c>
      <c r="AP145" t="str">
        <f>IF($B145="","",'entri hasil dari isian siswa'!HN145+'entri hasil dari isian siswa'!HT145)</f>
        <v/>
      </c>
      <c r="AQ145" t="str">
        <f>IF($B145="","",'entri hasil dari isian siswa'!HO145+'entri hasil dari isian siswa'!HU145)</f>
        <v/>
      </c>
      <c r="AR145" t="str">
        <f>IF($B145="","",'entri hasil dari isian siswa'!HP145+'entri hasil dari isian siswa'!HV145)</f>
        <v/>
      </c>
      <c r="AS145" t="str">
        <f>IF($B145="","",'entri hasil dari isian siswa'!HQ145+'entri hasil dari isian siswa'!HW145)</f>
        <v/>
      </c>
      <c r="AT145" t="str">
        <f>IF($B145="","",'entri hasil dari isian siswa'!HR145+'entri hasil dari isian siswa'!HX145)</f>
        <v/>
      </c>
      <c r="AU145" s="69" t="str">
        <f t="shared" si="59"/>
        <v/>
      </c>
      <c r="AV145" s="69" t="str">
        <f>IF($AU145="","",IFERROR(VLOOKUP($AU145,'Kunci dari RIASEC'!$J$4:$K$33,2,FALSE),""))</f>
        <v/>
      </c>
    </row>
    <row r="146" spans="1:48">
      <c r="A146">
        <f t="shared" si="48"/>
        <v>142</v>
      </c>
      <c r="B146" t="str">
        <f>IF('entri hasil dari isian siswa'!B146="","",'entri hasil dari isian siswa'!B146)</f>
        <v/>
      </c>
      <c r="C146" t="str">
        <f>IF('entri hasil dari isian siswa'!C146="","",'entri hasil dari isian siswa'!C146)</f>
        <v/>
      </c>
      <c r="D146" t="str">
        <f>IF('entri hasil dari isian siswa'!D146="","",'entri hasil dari isian siswa'!D146)</f>
        <v/>
      </c>
      <c r="E146" t="str">
        <f t="shared" si="49"/>
        <v/>
      </c>
      <c r="F146" t="str">
        <f t="shared" si="50"/>
        <v/>
      </c>
      <c r="G146" t="str">
        <f t="shared" si="51"/>
        <v/>
      </c>
      <c r="H146" t="str">
        <f t="shared" si="52"/>
        <v/>
      </c>
      <c r="I146" t="str">
        <f t="shared" si="53"/>
        <v/>
      </c>
      <c r="J146" t="str">
        <f t="shared" si="54"/>
        <v/>
      </c>
      <c r="K146" t="str">
        <f>IF($V146&lt;&gt;"OK","",RANK(E146,$E146:$J146,0)+COUNTIF($E146:E146,E146)-1)</f>
        <v/>
      </c>
      <c r="L146" t="str">
        <f>IF($V146&lt;&gt;"OK","",RANK(F146,$E146:$J146,0)+COUNTIF($E146:F146,F146)-1)</f>
        <v/>
      </c>
      <c r="M146" t="str">
        <f>IF($V146&lt;&gt;"OK","",RANK(G146,$E146:$J146,0)+COUNTIF($E146:G146,G146)-1)</f>
        <v/>
      </c>
      <c r="N146" t="str">
        <f>IF($V146&lt;&gt;"OK","",RANK(H146,$E146:$J146,0)+COUNTIF($E146:H146,H146)-1)</f>
        <v/>
      </c>
      <c r="O146" t="str">
        <f>IF($V146&lt;&gt;"OK","",RANK(I146,$E146:$J146,0)+COUNTIF($E146:I146,I146)-1)</f>
        <v/>
      </c>
      <c r="P146" t="str">
        <f>IF($V146&lt;&gt;"OK","",RANK(J146,$E146:$J146,0)+COUNTIF($E146:J146,J146)-1)</f>
        <v/>
      </c>
      <c r="Q146" t="str">
        <f t="shared" si="55"/>
        <v/>
      </c>
      <c r="R146" t="str">
        <f t="shared" si="56"/>
        <v/>
      </c>
      <c r="S146" t="str">
        <f t="shared" si="57"/>
        <v/>
      </c>
      <c r="T146" t="str">
        <f t="shared" si="58"/>
        <v/>
      </c>
      <c r="U146" s="1" t="str">
        <f>IF($T146="","",IFERROR(VLOOKUP($T146,'Kunci dari RIASEC'!$A$4:$B$123,2,FALSE),"Rekomendasi belum tersedia"))</f>
        <v/>
      </c>
      <c r="V146" t="str">
        <f>IF('entri hasil dari isian siswa'!B146="","",'entri hasil dari isian siswa'!HY146)</f>
        <v/>
      </c>
      <c r="W146" t="str">
        <f>IF($B146="","",SUM('entri hasil dari isian siswa'!E146:O146))</f>
        <v/>
      </c>
      <c r="X146" t="str">
        <f>IF($B146="","",SUM('entri hasil dari isian siswa'!P146:Z146))</f>
        <v/>
      </c>
      <c r="Y146" t="str">
        <f>IF($B146="","",SUM('entri hasil dari isian siswa'!AA146:AK146))</f>
        <v/>
      </c>
      <c r="Z146" t="str">
        <f>IF($B146="","",SUM('entri hasil dari isian siswa'!AL146:AV146))</f>
        <v/>
      </c>
      <c r="AA146" t="str">
        <f>IF($B146="","",SUM('entri hasil dari isian siswa'!AW146:BG146))</f>
        <v/>
      </c>
      <c r="AB146" t="str">
        <f>IF($B146="","",SUM('entri hasil dari isian siswa'!BH146:BR146))</f>
        <v/>
      </c>
      <c r="AC146" t="str">
        <f>IF($B146="","",SUM('entri hasil dari isian siswa'!BS146:CC146))</f>
        <v/>
      </c>
      <c r="AD146" t="str">
        <f>IF($B146="","",SUM('entri hasil dari isian siswa'!CD146:CN146))</f>
        <v/>
      </c>
      <c r="AE146" t="str">
        <f>IF($B146="","",SUM('entri hasil dari isian siswa'!CO146:CY146))</f>
        <v/>
      </c>
      <c r="AF146" t="str">
        <f>IF($B146="","",SUM('entri hasil dari isian siswa'!CZ146:DJ146))</f>
        <v/>
      </c>
      <c r="AG146" t="str">
        <f>IF($B146="","",SUM('entri hasil dari isian siswa'!DK146:DU146))</f>
        <v/>
      </c>
      <c r="AH146" t="str">
        <f>IF($B146="","",SUM('entri hasil dari isian siswa'!DV146:EF146))</f>
        <v/>
      </c>
      <c r="AI146" t="str">
        <f>IF($B146="","",SUM('entri hasil dari isian siswa'!EG146:ET146))</f>
        <v/>
      </c>
      <c r="AJ146" t="str">
        <f>IF($B146="","",SUM('entri hasil dari isian siswa'!EU146:FH146))</f>
        <v/>
      </c>
      <c r="AK146" t="str">
        <f>IF($B146="","",SUM('entri hasil dari isian siswa'!FI146:FV146))</f>
        <v/>
      </c>
      <c r="AL146" t="str">
        <f>IF($B146="","",SUM('entri hasil dari isian siswa'!FW146:GJ146))</f>
        <v/>
      </c>
      <c r="AM146" t="str">
        <f>IF($B146="","",SUM('entri hasil dari isian siswa'!GK146:GX146))</f>
        <v/>
      </c>
      <c r="AN146" t="str">
        <f>IF($B146="","",SUM('entri hasil dari isian siswa'!GY146:HL146))</f>
        <v/>
      </c>
      <c r="AO146" t="str">
        <f>IF($B146="","",'entri hasil dari isian siswa'!HM146+'entri hasil dari isian siswa'!HS146)</f>
        <v/>
      </c>
      <c r="AP146" t="str">
        <f>IF($B146="","",'entri hasil dari isian siswa'!HN146+'entri hasil dari isian siswa'!HT146)</f>
        <v/>
      </c>
      <c r="AQ146" t="str">
        <f>IF($B146="","",'entri hasil dari isian siswa'!HO146+'entri hasil dari isian siswa'!HU146)</f>
        <v/>
      </c>
      <c r="AR146" t="str">
        <f>IF($B146="","",'entri hasil dari isian siswa'!HP146+'entri hasil dari isian siswa'!HV146)</f>
        <v/>
      </c>
      <c r="AS146" t="str">
        <f>IF($B146="","",'entri hasil dari isian siswa'!HQ146+'entri hasil dari isian siswa'!HW146)</f>
        <v/>
      </c>
      <c r="AT146" t="str">
        <f>IF($B146="","",'entri hasil dari isian siswa'!HR146+'entri hasil dari isian siswa'!HX146)</f>
        <v/>
      </c>
      <c r="AU146" s="69" t="str">
        <f t="shared" si="59"/>
        <v/>
      </c>
      <c r="AV146" s="69" t="str">
        <f>IF($AU146="","",IFERROR(VLOOKUP($AU146,'Kunci dari RIASEC'!$J$4:$K$33,2,FALSE),""))</f>
        <v/>
      </c>
    </row>
    <row r="147" spans="1:48">
      <c r="A147">
        <f t="shared" si="48"/>
        <v>143</v>
      </c>
      <c r="B147" t="str">
        <f>IF('entri hasil dari isian siswa'!B147="","",'entri hasil dari isian siswa'!B147)</f>
        <v/>
      </c>
      <c r="C147" t="str">
        <f>IF('entri hasil dari isian siswa'!C147="","",'entri hasil dari isian siswa'!C147)</f>
        <v/>
      </c>
      <c r="D147" t="str">
        <f>IF('entri hasil dari isian siswa'!D147="","",'entri hasil dari isian siswa'!D147)</f>
        <v/>
      </c>
      <c r="E147" t="str">
        <f t="shared" si="49"/>
        <v/>
      </c>
      <c r="F147" t="str">
        <f t="shared" si="50"/>
        <v/>
      </c>
      <c r="G147" t="str">
        <f t="shared" si="51"/>
        <v/>
      </c>
      <c r="H147" t="str">
        <f t="shared" si="52"/>
        <v/>
      </c>
      <c r="I147" t="str">
        <f t="shared" si="53"/>
        <v/>
      </c>
      <c r="J147" t="str">
        <f t="shared" si="54"/>
        <v/>
      </c>
      <c r="K147" t="str">
        <f>IF($V147&lt;&gt;"OK","",RANK(E147,$E147:$J147,0)+COUNTIF($E147:E147,E147)-1)</f>
        <v/>
      </c>
      <c r="L147" t="str">
        <f>IF($V147&lt;&gt;"OK","",RANK(F147,$E147:$J147,0)+COUNTIF($E147:F147,F147)-1)</f>
        <v/>
      </c>
      <c r="M147" t="str">
        <f>IF($V147&lt;&gt;"OK","",RANK(G147,$E147:$J147,0)+COUNTIF($E147:G147,G147)-1)</f>
        <v/>
      </c>
      <c r="N147" t="str">
        <f>IF($V147&lt;&gt;"OK","",RANK(H147,$E147:$J147,0)+COUNTIF($E147:H147,H147)-1)</f>
        <v/>
      </c>
      <c r="O147" t="str">
        <f>IF($V147&lt;&gt;"OK","",RANK(I147,$E147:$J147,0)+COUNTIF($E147:I147,I147)-1)</f>
        <v/>
      </c>
      <c r="P147" t="str">
        <f>IF($V147&lt;&gt;"OK","",RANK(J147,$E147:$J147,0)+COUNTIF($E147:J147,J147)-1)</f>
        <v/>
      </c>
      <c r="Q147" t="str">
        <f t="shared" si="55"/>
        <v/>
      </c>
      <c r="R147" t="str">
        <f t="shared" si="56"/>
        <v/>
      </c>
      <c r="S147" t="str">
        <f t="shared" si="57"/>
        <v/>
      </c>
      <c r="T147" t="str">
        <f t="shared" si="58"/>
        <v/>
      </c>
      <c r="U147" s="1" t="str">
        <f>IF($T147="","",IFERROR(VLOOKUP($T147,'Kunci dari RIASEC'!$A$4:$B$123,2,FALSE),"Rekomendasi belum tersedia"))</f>
        <v/>
      </c>
      <c r="V147" t="str">
        <f>IF('entri hasil dari isian siswa'!B147="","",'entri hasil dari isian siswa'!HY147)</f>
        <v/>
      </c>
      <c r="W147" t="str">
        <f>IF($B147="","",SUM('entri hasil dari isian siswa'!E147:O147))</f>
        <v/>
      </c>
      <c r="X147" t="str">
        <f>IF($B147="","",SUM('entri hasil dari isian siswa'!P147:Z147))</f>
        <v/>
      </c>
      <c r="Y147" t="str">
        <f>IF($B147="","",SUM('entri hasil dari isian siswa'!AA147:AK147))</f>
        <v/>
      </c>
      <c r="Z147" t="str">
        <f>IF($B147="","",SUM('entri hasil dari isian siswa'!AL147:AV147))</f>
        <v/>
      </c>
      <c r="AA147" t="str">
        <f>IF($B147="","",SUM('entri hasil dari isian siswa'!AW147:BG147))</f>
        <v/>
      </c>
      <c r="AB147" t="str">
        <f>IF($B147="","",SUM('entri hasil dari isian siswa'!BH147:BR147))</f>
        <v/>
      </c>
      <c r="AC147" t="str">
        <f>IF($B147="","",SUM('entri hasil dari isian siswa'!BS147:CC147))</f>
        <v/>
      </c>
      <c r="AD147" t="str">
        <f>IF($B147="","",SUM('entri hasil dari isian siswa'!CD147:CN147))</f>
        <v/>
      </c>
      <c r="AE147" t="str">
        <f>IF($B147="","",SUM('entri hasil dari isian siswa'!CO147:CY147))</f>
        <v/>
      </c>
      <c r="AF147" t="str">
        <f>IF($B147="","",SUM('entri hasil dari isian siswa'!CZ147:DJ147))</f>
        <v/>
      </c>
      <c r="AG147" t="str">
        <f>IF($B147="","",SUM('entri hasil dari isian siswa'!DK147:DU147))</f>
        <v/>
      </c>
      <c r="AH147" t="str">
        <f>IF($B147="","",SUM('entri hasil dari isian siswa'!DV147:EF147))</f>
        <v/>
      </c>
      <c r="AI147" t="str">
        <f>IF($B147="","",SUM('entri hasil dari isian siswa'!EG147:ET147))</f>
        <v/>
      </c>
      <c r="AJ147" t="str">
        <f>IF($B147="","",SUM('entri hasil dari isian siswa'!EU147:FH147))</f>
        <v/>
      </c>
      <c r="AK147" t="str">
        <f>IF($B147="","",SUM('entri hasil dari isian siswa'!FI147:FV147))</f>
        <v/>
      </c>
      <c r="AL147" t="str">
        <f>IF($B147="","",SUM('entri hasil dari isian siswa'!FW147:GJ147))</f>
        <v/>
      </c>
      <c r="AM147" t="str">
        <f>IF($B147="","",SUM('entri hasil dari isian siswa'!GK147:GX147))</f>
        <v/>
      </c>
      <c r="AN147" t="str">
        <f>IF($B147="","",SUM('entri hasil dari isian siswa'!GY147:HL147))</f>
        <v/>
      </c>
      <c r="AO147" t="str">
        <f>IF($B147="","",'entri hasil dari isian siswa'!HM147+'entri hasil dari isian siswa'!HS147)</f>
        <v/>
      </c>
      <c r="AP147" t="str">
        <f>IF($B147="","",'entri hasil dari isian siswa'!HN147+'entri hasil dari isian siswa'!HT147)</f>
        <v/>
      </c>
      <c r="AQ147" t="str">
        <f>IF($B147="","",'entri hasil dari isian siswa'!HO147+'entri hasil dari isian siswa'!HU147)</f>
        <v/>
      </c>
      <c r="AR147" t="str">
        <f>IF($B147="","",'entri hasil dari isian siswa'!HP147+'entri hasil dari isian siswa'!HV147)</f>
        <v/>
      </c>
      <c r="AS147" t="str">
        <f>IF($B147="","",'entri hasil dari isian siswa'!HQ147+'entri hasil dari isian siswa'!HW147)</f>
        <v/>
      </c>
      <c r="AT147" t="str">
        <f>IF($B147="","",'entri hasil dari isian siswa'!HR147+'entri hasil dari isian siswa'!HX147)</f>
        <v/>
      </c>
      <c r="AU147" s="69" t="str">
        <f t="shared" si="59"/>
        <v/>
      </c>
      <c r="AV147" s="69" t="str">
        <f>IF($AU147="","",IFERROR(VLOOKUP($AU147,'Kunci dari RIASEC'!$J$4:$K$33,2,FALSE),""))</f>
        <v/>
      </c>
    </row>
    <row r="148" spans="1:48">
      <c r="A148">
        <f t="shared" si="48"/>
        <v>144</v>
      </c>
      <c r="B148" t="str">
        <f>IF('entri hasil dari isian siswa'!B148="","",'entri hasil dari isian siswa'!B148)</f>
        <v/>
      </c>
      <c r="C148" t="str">
        <f>IF('entri hasil dari isian siswa'!C148="","",'entri hasil dari isian siswa'!C148)</f>
        <v/>
      </c>
      <c r="D148" t="str">
        <f>IF('entri hasil dari isian siswa'!D148="","",'entri hasil dari isian siswa'!D148)</f>
        <v/>
      </c>
      <c r="E148" t="str">
        <f t="shared" si="49"/>
        <v/>
      </c>
      <c r="F148" t="str">
        <f t="shared" si="50"/>
        <v/>
      </c>
      <c r="G148" t="str">
        <f t="shared" si="51"/>
        <v/>
      </c>
      <c r="H148" t="str">
        <f t="shared" si="52"/>
        <v/>
      </c>
      <c r="I148" t="str">
        <f t="shared" si="53"/>
        <v/>
      </c>
      <c r="J148" t="str">
        <f t="shared" si="54"/>
        <v/>
      </c>
      <c r="K148" t="str">
        <f>IF($V148&lt;&gt;"OK","",RANK(E148,$E148:$J148,0)+COUNTIF($E148:E148,E148)-1)</f>
        <v/>
      </c>
      <c r="L148" t="str">
        <f>IF($V148&lt;&gt;"OK","",RANK(F148,$E148:$J148,0)+COUNTIF($E148:F148,F148)-1)</f>
        <v/>
      </c>
      <c r="M148" t="str">
        <f>IF($V148&lt;&gt;"OK","",RANK(G148,$E148:$J148,0)+COUNTIF($E148:G148,G148)-1)</f>
        <v/>
      </c>
      <c r="N148" t="str">
        <f>IF($V148&lt;&gt;"OK","",RANK(H148,$E148:$J148,0)+COUNTIF($E148:H148,H148)-1)</f>
        <v/>
      </c>
      <c r="O148" t="str">
        <f>IF($V148&lt;&gt;"OK","",RANK(I148,$E148:$J148,0)+COUNTIF($E148:I148,I148)-1)</f>
        <v/>
      </c>
      <c r="P148" t="str">
        <f>IF($V148&lt;&gt;"OK","",RANK(J148,$E148:$J148,0)+COUNTIF($E148:J148,J148)-1)</f>
        <v/>
      </c>
      <c r="Q148" t="str">
        <f t="shared" si="55"/>
        <v/>
      </c>
      <c r="R148" t="str">
        <f t="shared" si="56"/>
        <v/>
      </c>
      <c r="S148" t="str">
        <f t="shared" si="57"/>
        <v/>
      </c>
      <c r="T148" t="str">
        <f t="shared" si="58"/>
        <v/>
      </c>
      <c r="U148" s="1" t="str">
        <f>IF($T148="","",IFERROR(VLOOKUP($T148,'Kunci dari RIASEC'!$A$4:$B$123,2,FALSE),"Rekomendasi belum tersedia"))</f>
        <v/>
      </c>
      <c r="V148" t="str">
        <f>IF('entri hasil dari isian siswa'!B148="","",'entri hasil dari isian siswa'!HY148)</f>
        <v/>
      </c>
      <c r="W148" t="str">
        <f>IF($B148="","",SUM('entri hasil dari isian siswa'!E148:O148))</f>
        <v/>
      </c>
      <c r="X148" t="str">
        <f>IF($B148="","",SUM('entri hasil dari isian siswa'!P148:Z148))</f>
        <v/>
      </c>
      <c r="Y148" t="str">
        <f>IF($B148="","",SUM('entri hasil dari isian siswa'!AA148:AK148))</f>
        <v/>
      </c>
      <c r="Z148" t="str">
        <f>IF($B148="","",SUM('entri hasil dari isian siswa'!AL148:AV148))</f>
        <v/>
      </c>
      <c r="AA148" t="str">
        <f>IF($B148="","",SUM('entri hasil dari isian siswa'!AW148:BG148))</f>
        <v/>
      </c>
      <c r="AB148" t="str">
        <f>IF($B148="","",SUM('entri hasil dari isian siswa'!BH148:BR148))</f>
        <v/>
      </c>
      <c r="AC148" t="str">
        <f>IF($B148="","",SUM('entri hasil dari isian siswa'!BS148:CC148))</f>
        <v/>
      </c>
      <c r="AD148" t="str">
        <f>IF($B148="","",SUM('entri hasil dari isian siswa'!CD148:CN148))</f>
        <v/>
      </c>
      <c r="AE148" t="str">
        <f>IF($B148="","",SUM('entri hasil dari isian siswa'!CO148:CY148))</f>
        <v/>
      </c>
      <c r="AF148" t="str">
        <f>IF($B148="","",SUM('entri hasil dari isian siswa'!CZ148:DJ148))</f>
        <v/>
      </c>
      <c r="AG148" t="str">
        <f>IF($B148="","",SUM('entri hasil dari isian siswa'!DK148:DU148))</f>
        <v/>
      </c>
      <c r="AH148" t="str">
        <f>IF($B148="","",SUM('entri hasil dari isian siswa'!DV148:EF148))</f>
        <v/>
      </c>
      <c r="AI148" t="str">
        <f>IF($B148="","",SUM('entri hasil dari isian siswa'!EG148:ET148))</f>
        <v/>
      </c>
      <c r="AJ148" t="str">
        <f>IF($B148="","",SUM('entri hasil dari isian siswa'!EU148:FH148))</f>
        <v/>
      </c>
      <c r="AK148" t="str">
        <f>IF($B148="","",SUM('entri hasil dari isian siswa'!FI148:FV148))</f>
        <v/>
      </c>
      <c r="AL148" t="str">
        <f>IF($B148="","",SUM('entri hasil dari isian siswa'!FW148:GJ148))</f>
        <v/>
      </c>
      <c r="AM148" t="str">
        <f>IF($B148="","",SUM('entri hasil dari isian siswa'!GK148:GX148))</f>
        <v/>
      </c>
      <c r="AN148" t="str">
        <f>IF($B148="","",SUM('entri hasil dari isian siswa'!GY148:HL148))</f>
        <v/>
      </c>
      <c r="AO148" t="str">
        <f>IF($B148="","",'entri hasil dari isian siswa'!HM148+'entri hasil dari isian siswa'!HS148)</f>
        <v/>
      </c>
      <c r="AP148" t="str">
        <f>IF($B148="","",'entri hasil dari isian siswa'!HN148+'entri hasil dari isian siswa'!HT148)</f>
        <v/>
      </c>
      <c r="AQ148" t="str">
        <f>IF($B148="","",'entri hasil dari isian siswa'!HO148+'entri hasil dari isian siswa'!HU148)</f>
        <v/>
      </c>
      <c r="AR148" t="str">
        <f>IF($B148="","",'entri hasil dari isian siswa'!HP148+'entri hasil dari isian siswa'!HV148)</f>
        <v/>
      </c>
      <c r="AS148" t="str">
        <f>IF($B148="","",'entri hasil dari isian siswa'!HQ148+'entri hasil dari isian siswa'!HW148)</f>
        <v/>
      </c>
      <c r="AT148" t="str">
        <f>IF($B148="","",'entri hasil dari isian siswa'!HR148+'entri hasil dari isian siswa'!HX148)</f>
        <v/>
      </c>
      <c r="AU148" s="69" t="str">
        <f t="shared" si="59"/>
        <v/>
      </c>
      <c r="AV148" s="69" t="str">
        <f>IF($AU148="","",IFERROR(VLOOKUP($AU148,'Kunci dari RIASEC'!$J$4:$K$33,2,FALSE),""))</f>
        <v/>
      </c>
    </row>
    <row r="149" spans="1:48">
      <c r="A149">
        <f t="shared" si="48"/>
        <v>145</v>
      </c>
      <c r="B149" t="str">
        <f>IF('entri hasil dari isian siswa'!B149="","",'entri hasil dari isian siswa'!B149)</f>
        <v/>
      </c>
      <c r="C149" t="str">
        <f>IF('entri hasil dari isian siswa'!C149="","",'entri hasil dari isian siswa'!C149)</f>
        <v/>
      </c>
      <c r="D149" t="str">
        <f>IF('entri hasil dari isian siswa'!D149="","",'entri hasil dari isian siswa'!D149)</f>
        <v/>
      </c>
      <c r="E149" t="str">
        <f t="shared" si="49"/>
        <v/>
      </c>
      <c r="F149" t="str">
        <f t="shared" si="50"/>
        <v/>
      </c>
      <c r="G149" t="str">
        <f t="shared" si="51"/>
        <v/>
      </c>
      <c r="H149" t="str">
        <f t="shared" si="52"/>
        <v/>
      </c>
      <c r="I149" t="str">
        <f t="shared" si="53"/>
        <v/>
      </c>
      <c r="J149" t="str">
        <f t="shared" si="54"/>
        <v/>
      </c>
      <c r="K149" t="str">
        <f>IF($V149&lt;&gt;"OK","",RANK(E149,$E149:$J149,0)+COUNTIF($E149:E149,E149)-1)</f>
        <v/>
      </c>
      <c r="L149" t="str">
        <f>IF($V149&lt;&gt;"OK","",RANK(F149,$E149:$J149,0)+COUNTIF($E149:F149,F149)-1)</f>
        <v/>
      </c>
      <c r="M149" t="str">
        <f>IF($V149&lt;&gt;"OK","",RANK(G149,$E149:$J149,0)+COUNTIF($E149:G149,G149)-1)</f>
        <v/>
      </c>
      <c r="N149" t="str">
        <f>IF($V149&lt;&gt;"OK","",RANK(H149,$E149:$J149,0)+COUNTIF($E149:H149,H149)-1)</f>
        <v/>
      </c>
      <c r="O149" t="str">
        <f>IF($V149&lt;&gt;"OK","",RANK(I149,$E149:$J149,0)+COUNTIF($E149:I149,I149)-1)</f>
        <v/>
      </c>
      <c r="P149" t="str">
        <f>IF($V149&lt;&gt;"OK","",RANK(J149,$E149:$J149,0)+COUNTIF($E149:J149,J149)-1)</f>
        <v/>
      </c>
      <c r="Q149" t="str">
        <f t="shared" si="55"/>
        <v/>
      </c>
      <c r="R149" t="str">
        <f t="shared" si="56"/>
        <v/>
      </c>
      <c r="S149" t="str">
        <f t="shared" si="57"/>
        <v/>
      </c>
      <c r="T149" t="str">
        <f t="shared" si="58"/>
        <v/>
      </c>
      <c r="U149" s="1" t="str">
        <f>IF($T149="","",IFERROR(VLOOKUP($T149,'Kunci dari RIASEC'!$A$4:$B$123,2,FALSE),"Rekomendasi belum tersedia"))</f>
        <v/>
      </c>
      <c r="V149" t="str">
        <f>IF('entri hasil dari isian siswa'!B149="","",'entri hasil dari isian siswa'!HY149)</f>
        <v/>
      </c>
      <c r="W149" t="str">
        <f>IF($B149="","",SUM('entri hasil dari isian siswa'!E149:O149))</f>
        <v/>
      </c>
      <c r="X149" t="str">
        <f>IF($B149="","",SUM('entri hasil dari isian siswa'!P149:Z149))</f>
        <v/>
      </c>
      <c r="Y149" t="str">
        <f>IF($B149="","",SUM('entri hasil dari isian siswa'!AA149:AK149))</f>
        <v/>
      </c>
      <c r="Z149" t="str">
        <f>IF($B149="","",SUM('entri hasil dari isian siswa'!AL149:AV149))</f>
        <v/>
      </c>
      <c r="AA149" t="str">
        <f>IF($B149="","",SUM('entri hasil dari isian siswa'!AW149:BG149))</f>
        <v/>
      </c>
      <c r="AB149" t="str">
        <f>IF($B149="","",SUM('entri hasil dari isian siswa'!BH149:BR149))</f>
        <v/>
      </c>
      <c r="AC149" t="str">
        <f>IF($B149="","",SUM('entri hasil dari isian siswa'!BS149:CC149))</f>
        <v/>
      </c>
      <c r="AD149" t="str">
        <f>IF($B149="","",SUM('entri hasil dari isian siswa'!CD149:CN149))</f>
        <v/>
      </c>
      <c r="AE149" t="str">
        <f>IF($B149="","",SUM('entri hasil dari isian siswa'!CO149:CY149))</f>
        <v/>
      </c>
      <c r="AF149" t="str">
        <f>IF($B149="","",SUM('entri hasil dari isian siswa'!CZ149:DJ149))</f>
        <v/>
      </c>
      <c r="AG149" t="str">
        <f>IF($B149="","",SUM('entri hasil dari isian siswa'!DK149:DU149))</f>
        <v/>
      </c>
      <c r="AH149" t="str">
        <f>IF($B149="","",SUM('entri hasil dari isian siswa'!DV149:EF149))</f>
        <v/>
      </c>
      <c r="AI149" t="str">
        <f>IF($B149="","",SUM('entri hasil dari isian siswa'!EG149:ET149))</f>
        <v/>
      </c>
      <c r="AJ149" t="str">
        <f>IF($B149="","",SUM('entri hasil dari isian siswa'!EU149:FH149))</f>
        <v/>
      </c>
      <c r="AK149" t="str">
        <f>IF($B149="","",SUM('entri hasil dari isian siswa'!FI149:FV149))</f>
        <v/>
      </c>
      <c r="AL149" t="str">
        <f>IF($B149="","",SUM('entri hasil dari isian siswa'!FW149:GJ149))</f>
        <v/>
      </c>
      <c r="AM149" t="str">
        <f>IF($B149="","",SUM('entri hasil dari isian siswa'!GK149:GX149))</f>
        <v/>
      </c>
      <c r="AN149" t="str">
        <f>IF($B149="","",SUM('entri hasil dari isian siswa'!GY149:HL149))</f>
        <v/>
      </c>
      <c r="AO149" t="str">
        <f>IF($B149="","",'entri hasil dari isian siswa'!HM149+'entri hasil dari isian siswa'!HS149)</f>
        <v/>
      </c>
      <c r="AP149" t="str">
        <f>IF($B149="","",'entri hasil dari isian siswa'!HN149+'entri hasil dari isian siswa'!HT149)</f>
        <v/>
      </c>
      <c r="AQ149" t="str">
        <f>IF($B149="","",'entri hasil dari isian siswa'!HO149+'entri hasil dari isian siswa'!HU149)</f>
        <v/>
      </c>
      <c r="AR149" t="str">
        <f>IF($B149="","",'entri hasil dari isian siswa'!HP149+'entri hasil dari isian siswa'!HV149)</f>
        <v/>
      </c>
      <c r="AS149" t="str">
        <f>IF($B149="","",'entri hasil dari isian siswa'!HQ149+'entri hasil dari isian siswa'!HW149)</f>
        <v/>
      </c>
      <c r="AT149" t="str">
        <f>IF($B149="","",'entri hasil dari isian siswa'!HR149+'entri hasil dari isian siswa'!HX149)</f>
        <v/>
      </c>
      <c r="AU149" s="69" t="str">
        <f t="shared" si="59"/>
        <v/>
      </c>
      <c r="AV149" s="69" t="str">
        <f>IF($AU149="","",IFERROR(VLOOKUP($AU149,'Kunci dari RIASEC'!$J$4:$K$33,2,FALSE),""))</f>
        <v/>
      </c>
    </row>
    <row r="150" spans="1:48">
      <c r="A150">
        <f t="shared" si="48"/>
        <v>146</v>
      </c>
      <c r="B150" t="str">
        <f>IF('entri hasil dari isian siswa'!B150="","",'entri hasil dari isian siswa'!B150)</f>
        <v/>
      </c>
      <c r="C150" t="str">
        <f>IF('entri hasil dari isian siswa'!C150="","",'entri hasil dari isian siswa'!C150)</f>
        <v/>
      </c>
      <c r="D150" t="str">
        <f>IF('entri hasil dari isian siswa'!D150="","",'entri hasil dari isian siswa'!D150)</f>
        <v/>
      </c>
      <c r="E150" t="str">
        <f t="shared" si="49"/>
        <v/>
      </c>
      <c r="F150" t="str">
        <f t="shared" si="50"/>
        <v/>
      </c>
      <c r="G150" t="str">
        <f t="shared" si="51"/>
        <v/>
      </c>
      <c r="H150" t="str">
        <f t="shared" si="52"/>
        <v/>
      </c>
      <c r="I150" t="str">
        <f t="shared" si="53"/>
        <v/>
      </c>
      <c r="J150" t="str">
        <f t="shared" si="54"/>
        <v/>
      </c>
      <c r="K150" t="str">
        <f>IF($V150&lt;&gt;"OK","",RANK(E150,$E150:$J150,0)+COUNTIF($E150:E150,E150)-1)</f>
        <v/>
      </c>
      <c r="L150" t="str">
        <f>IF($V150&lt;&gt;"OK","",RANK(F150,$E150:$J150,0)+COUNTIF($E150:F150,F150)-1)</f>
        <v/>
      </c>
      <c r="M150" t="str">
        <f>IF($V150&lt;&gt;"OK","",RANK(G150,$E150:$J150,0)+COUNTIF($E150:G150,G150)-1)</f>
        <v/>
      </c>
      <c r="N150" t="str">
        <f>IF($V150&lt;&gt;"OK","",RANK(H150,$E150:$J150,0)+COUNTIF($E150:H150,H150)-1)</f>
        <v/>
      </c>
      <c r="O150" t="str">
        <f>IF($V150&lt;&gt;"OK","",RANK(I150,$E150:$J150,0)+COUNTIF($E150:I150,I150)-1)</f>
        <v/>
      </c>
      <c r="P150" t="str">
        <f>IF($V150&lt;&gt;"OK","",RANK(J150,$E150:$J150,0)+COUNTIF($E150:J150,J150)-1)</f>
        <v/>
      </c>
      <c r="Q150" t="str">
        <f t="shared" si="55"/>
        <v/>
      </c>
      <c r="R150" t="str">
        <f t="shared" si="56"/>
        <v/>
      </c>
      <c r="S150" t="str">
        <f t="shared" si="57"/>
        <v/>
      </c>
      <c r="T150" t="str">
        <f t="shared" si="58"/>
        <v/>
      </c>
      <c r="U150" s="1" t="str">
        <f>IF($T150="","",IFERROR(VLOOKUP($T150,'Kunci dari RIASEC'!$A$4:$B$123,2,FALSE),"Rekomendasi belum tersedia"))</f>
        <v/>
      </c>
      <c r="V150" t="str">
        <f>IF('entri hasil dari isian siswa'!B150="","",'entri hasil dari isian siswa'!HY150)</f>
        <v/>
      </c>
      <c r="W150" t="str">
        <f>IF($B150="","",SUM('entri hasil dari isian siswa'!E150:O150))</f>
        <v/>
      </c>
      <c r="X150" t="str">
        <f>IF($B150="","",SUM('entri hasil dari isian siswa'!P150:Z150))</f>
        <v/>
      </c>
      <c r="Y150" t="str">
        <f>IF($B150="","",SUM('entri hasil dari isian siswa'!AA150:AK150))</f>
        <v/>
      </c>
      <c r="Z150" t="str">
        <f>IF($B150="","",SUM('entri hasil dari isian siswa'!AL150:AV150))</f>
        <v/>
      </c>
      <c r="AA150" t="str">
        <f>IF($B150="","",SUM('entri hasil dari isian siswa'!AW150:BG150))</f>
        <v/>
      </c>
      <c r="AB150" t="str">
        <f>IF($B150="","",SUM('entri hasil dari isian siswa'!BH150:BR150))</f>
        <v/>
      </c>
      <c r="AC150" t="str">
        <f>IF($B150="","",SUM('entri hasil dari isian siswa'!BS150:CC150))</f>
        <v/>
      </c>
      <c r="AD150" t="str">
        <f>IF($B150="","",SUM('entri hasil dari isian siswa'!CD150:CN150))</f>
        <v/>
      </c>
      <c r="AE150" t="str">
        <f>IF($B150="","",SUM('entri hasil dari isian siswa'!CO150:CY150))</f>
        <v/>
      </c>
      <c r="AF150" t="str">
        <f>IF($B150="","",SUM('entri hasil dari isian siswa'!CZ150:DJ150))</f>
        <v/>
      </c>
      <c r="AG150" t="str">
        <f>IF($B150="","",SUM('entri hasil dari isian siswa'!DK150:DU150))</f>
        <v/>
      </c>
      <c r="AH150" t="str">
        <f>IF($B150="","",SUM('entri hasil dari isian siswa'!DV150:EF150))</f>
        <v/>
      </c>
      <c r="AI150" t="str">
        <f>IF($B150="","",SUM('entri hasil dari isian siswa'!EG150:ET150))</f>
        <v/>
      </c>
      <c r="AJ150" t="str">
        <f>IF($B150="","",SUM('entri hasil dari isian siswa'!EU150:FH150))</f>
        <v/>
      </c>
      <c r="AK150" t="str">
        <f>IF($B150="","",SUM('entri hasil dari isian siswa'!FI150:FV150))</f>
        <v/>
      </c>
      <c r="AL150" t="str">
        <f>IF($B150="","",SUM('entri hasil dari isian siswa'!FW150:GJ150))</f>
        <v/>
      </c>
      <c r="AM150" t="str">
        <f>IF($B150="","",SUM('entri hasil dari isian siswa'!GK150:GX150))</f>
        <v/>
      </c>
      <c r="AN150" t="str">
        <f>IF($B150="","",SUM('entri hasil dari isian siswa'!GY150:HL150))</f>
        <v/>
      </c>
      <c r="AO150" t="str">
        <f>IF($B150="","",'entri hasil dari isian siswa'!HM150+'entri hasil dari isian siswa'!HS150)</f>
        <v/>
      </c>
      <c r="AP150" t="str">
        <f>IF($B150="","",'entri hasil dari isian siswa'!HN150+'entri hasil dari isian siswa'!HT150)</f>
        <v/>
      </c>
      <c r="AQ150" t="str">
        <f>IF($B150="","",'entri hasil dari isian siswa'!HO150+'entri hasil dari isian siswa'!HU150)</f>
        <v/>
      </c>
      <c r="AR150" t="str">
        <f>IF($B150="","",'entri hasil dari isian siswa'!HP150+'entri hasil dari isian siswa'!HV150)</f>
        <v/>
      </c>
      <c r="AS150" t="str">
        <f>IF($B150="","",'entri hasil dari isian siswa'!HQ150+'entri hasil dari isian siswa'!HW150)</f>
        <v/>
      </c>
      <c r="AT150" t="str">
        <f>IF($B150="","",'entri hasil dari isian siswa'!HR150+'entri hasil dari isian siswa'!HX150)</f>
        <v/>
      </c>
      <c r="AU150" s="69" t="str">
        <f t="shared" si="59"/>
        <v/>
      </c>
      <c r="AV150" s="69" t="str">
        <f>IF($AU150="","",IFERROR(VLOOKUP($AU150,'Kunci dari RIASEC'!$J$4:$K$33,2,FALSE),""))</f>
        <v/>
      </c>
    </row>
    <row r="151" spans="1:48">
      <c r="A151">
        <f t="shared" si="48"/>
        <v>147</v>
      </c>
      <c r="B151" t="str">
        <f>IF('entri hasil dari isian siswa'!B151="","",'entri hasil dari isian siswa'!B151)</f>
        <v/>
      </c>
      <c r="C151" t="str">
        <f>IF('entri hasil dari isian siswa'!C151="","",'entri hasil dari isian siswa'!C151)</f>
        <v/>
      </c>
      <c r="D151" t="str">
        <f>IF('entri hasil dari isian siswa'!D151="","",'entri hasil dari isian siswa'!D151)</f>
        <v/>
      </c>
      <c r="E151" t="str">
        <f t="shared" si="49"/>
        <v/>
      </c>
      <c r="F151" t="str">
        <f t="shared" si="50"/>
        <v/>
      </c>
      <c r="G151" t="str">
        <f t="shared" si="51"/>
        <v/>
      </c>
      <c r="H151" t="str">
        <f t="shared" si="52"/>
        <v/>
      </c>
      <c r="I151" t="str">
        <f t="shared" si="53"/>
        <v/>
      </c>
      <c r="J151" t="str">
        <f t="shared" si="54"/>
        <v/>
      </c>
      <c r="K151" t="str">
        <f>IF($V151&lt;&gt;"OK","",RANK(E151,$E151:$J151,0)+COUNTIF($E151:E151,E151)-1)</f>
        <v/>
      </c>
      <c r="L151" t="str">
        <f>IF($V151&lt;&gt;"OK","",RANK(F151,$E151:$J151,0)+COUNTIF($E151:F151,F151)-1)</f>
        <v/>
      </c>
      <c r="M151" t="str">
        <f>IF($V151&lt;&gt;"OK","",RANK(G151,$E151:$J151,0)+COUNTIF($E151:G151,G151)-1)</f>
        <v/>
      </c>
      <c r="N151" t="str">
        <f>IF($V151&lt;&gt;"OK","",RANK(H151,$E151:$J151,0)+COUNTIF($E151:H151,H151)-1)</f>
        <v/>
      </c>
      <c r="O151" t="str">
        <f>IF($V151&lt;&gt;"OK","",RANK(I151,$E151:$J151,0)+COUNTIF($E151:I151,I151)-1)</f>
        <v/>
      </c>
      <c r="P151" t="str">
        <f>IF($V151&lt;&gt;"OK","",RANK(J151,$E151:$J151,0)+COUNTIF($E151:J151,J151)-1)</f>
        <v/>
      </c>
      <c r="Q151" t="str">
        <f t="shared" si="55"/>
        <v/>
      </c>
      <c r="R151" t="str">
        <f t="shared" si="56"/>
        <v/>
      </c>
      <c r="S151" t="str">
        <f t="shared" si="57"/>
        <v/>
      </c>
      <c r="T151" t="str">
        <f t="shared" si="58"/>
        <v/>
      </c>
      <c r="U151" s="1" t="str">
        <f>IF($T151="","",IFERROR(VLOOKUP($T151,'Kunci dari RIASEC'!$A$4:$B$123,2,FALSE),"Rekomendasi belum tersedia"))</f>
        <v/>
      </c>
      <c r="V151" t="str">
        <f>IF('entri hasil dari isian siswa'!B151="","",'entri hasil dari isian siswa'!HY151)</f>
        <v/>
      </c>
      <c r="W151" t="str">
        <f>IF($B151="","",SUM('entri hasil dari isian siswa'!E151:O151))</f>
        <v/>
      </c>
      <c r="X151" t="str">
        <f>IF($B151="","",SUM('entri hasil dari isian siswa'!P151:Z151))</f>
        <v/>
      </c>
      <c r="Y151" t="str">
        <f>IF($B151="","",SUM('entri hasil dari isian siswa'!AA151:AK151))</f>
        <v/>
      </c>
      <c r="Z151" t="str">
        <f>IF($B151="","",SUM('entri hasil dari isian siswa'!AL151:AV151))</f>
        <v/>
      </c>
      <c r="AA151" t="str">
        <f>IF($B151="","",SUM('entri hasil dari isian siswa'!AW151:BG151))</f>
        <v/>
      </c>
      <c r="AB151" t="str">
        <f>IF($B151="","",SUM('entri hasil dari isian siswa'!BH151:BR151))</f>
        <v/>
      </c>
      <c r="AC151" t="str">
        <f>IF($B151="","",SUM('entri hasil dari isian siswa'!BS151:CC151))</f>
        <v/>
      </c>
      <c r="AD151" t="str">
        <f>IF($B151="","",SUM('entri hasil dari isian siswa'!CD151:CN151))</f>
        <v/>
      </c>
      <c r="AE151" t="str">
        <f>IF($B151="","",SUM('entri hasil dari isian siswa'!CO151:CY151))</f>
        <v/>
      </c>
      <c r="AF151" t="str">
        <f>IF($B151="","",SUM('entri hasil dari isian siswa'!CZ151:DJ151))</f>
        <v/>
      </c>
      <c r="AG151" t="str">
        <f>IF($B151="","",SUM('entri hasil dari isian siswa'!DK151:DU151))</f>
        <v/>
      </c>
      <c r="AH151" t="str">
        <f>IF($B151="","",SUM('entri hasil dari isian siswa'!DV151:EF151))</f>
        <v/>
      </c>
      <c r="AI151" t="str">
        <f>IF($B151="","",SUM('entri hasil dari isian siswa'!EG151:ET151))</f>
        <v/>
      </c>
      <c r="AJ151" t="str">
        <f>IF($B151="","",SUM('entri hasil dari isian siswa'!EU151:FH151))</f>
        <v/>
      </c>
      <c r="AK151" t="str">
        <f>IF($B151="","",SUM('entri hasil dari isian siswa'!FI151:FV151))</f>
        <v/>
      </c>
      <c r="AL151" t="str">
        <f>IF($B151="","",SUM('entri hasil dari isian siswa'!FW151:GJ151))</f>
        <v/>
      </c>
      <c r="AM151" t="str">
        <f>IF($B151="","",SUM('entri hasil dari isian siswa'!GK151:GX151))</f>
        <v/>
      </c>
      <c r="AN151" t="str">
        <f>IF($B151="","",SUM('entri hasil dari isian siswa'!GY151:HL151))</f>
        <v/>
      </c>
      <c r="AO151" t="str">
        <f>IF($B151="","",'entri hasil dari isian siswa'!HM151+'entri hasil dari isian siswa'!HS151)</f>
        <v/>
      </c>
      <c r="AP151" t="str">
        <f>IF($B151="","",'entri hasil dari isian siswa'!HN151+'entri hasil dari isian siswa'!HT151)</f>
        <v/>
      </c>
      <c r="AQ151" t="str">
        <f>IF($B151="","",'entri hasil dari isian siswa'!HO151+'entri hasil dari isian siswa'!HU151)</f>
        <v/>
      </c>
      <c r="AR151" t="str">
        <f>IF($B151="","",'entri hasil dari isian siswa'!HP151+'entri hasil dari isian siswa'!HV151)</f>
        <v/>
      </c>
      <c r="AS151" t="str">
        <f>IF($B151="","",'entri hasil dari isian siswa'!HQ151+'entri hasil dari isian siswa'!HW151)</f>
        <v/>
      </c>
      <c r="AT151" t="str">
        <f>IF($B151="","",'entri hasil dari isian siswa'!HR151+'entri hasil dari isian siswa'!HX151)</f>
        <v/>
      </c>
      <c r="AU151" s="69" t="str">
        <f t="shared" si="59"/>
        <v/>
      </c>
      <c r="AV151" s="69" t="str">
        <f>IF($AU151="","",IFERROR(VLOOKUP($AU151,'Kunci dari RIASEC'!$J$4:$K$33,2,FALSE),""))</f>
        <v/>
      </c>
    </row>
    <row r="152" spans="1:48">
      <c r="A152">
        <f t="shared" si="48"/>
        <v>148</v>
      </c>
      <c r="B152" t="str">
        <f>IF('entri hasil dari isian siswa'!B152="","",'entri hasil dari isian siswa'!B152)</f>
        <v/>
      </c>
      <c r="C152" t="str">
        <f>IF('entri hasil dari isian siswa'!C152="","",'entri hasil dari isian siswa'!C152)</f>
        <v/>
      </c>
      <c r="D152" t="str">
        <f>IF('entri hasil dari isian siswa'!D152="","",'entri hasil dari isian siswa'!D152)</f>
        <v/>
      </c>
      <c r="E152" t="str">
        <f t="shared" si="49"/>
        <v/>
      </c>
      <c r="F152" t="str">
        <f t="shared" si="50"/>
        <v/>
      </c>
      <c r="G152" t="str">
        <f t="shared" si="51"/>
        <v/>
      </c>
      <c r="H152" t="str">
        <f t="shared" si="52"/>
        <v/>
      </c>
      <c r="I152" t="str">
        <f t="shared" si="53"/>
        <v/>
      </c>
      <c r="J152" t="str">
        <f t="shared" si="54"/>
        <v/>
      </c>
      <c r="K152" t="str">
        <f>IF($V152&lt;&gt;"OK","",RANK(E152,$E152:$J152,0)+COUNTIF($E152:E152,E152)-1)</f>
        <v/>
      </c>
      <c r="L152" t="str">
        <f>IF($V152&lt;&gt;"OK","",RANK(F152,$E152:$J152,0)+COUNTIF($E152:F152,F152)-1)</f>
        <v/>
      </c>
      <c r="M152" t="str">
        <f>IF($V152&lt;&gt;"OK","",RANK(G152,$E152:$J152,0)+COUNTIF($E152:G152,G152)-1)</f>
        <v/>
      </c>
      <c r="N152" t="str">
        <f>IF($V152&lt;&gt;"OK","",RANK(H152,$E152:$J152,0)+COUNTIF($E152:H152,H152)-1)</f>
        <v/>
      </c>
      <c r="O152" t="str">
        <f>IF($V152&lt;&gt;"OK","",RANK(I152,$E152:$J152,0)+COUNTIF($E152:I152,I152)-1)</f>
        <v/>
      </c>
      <c r="P152" t="str">
        <f>IF($V152&lt;&gt;"OK","",RANK(J152,$E152:$J152,0)+COUNTIF($E152:J152,J152)-1)</f>
        <v/>
      </c>
      <c r="Q152" t="str">
        <f t="shared" si="55"/>
        <v/>
      </c>
      <c r="R152" t="str">
        <f t="shared" si="56"/>
        <v/>
      </c>
      <c r="S152" t="str">
        <f t="shared" si="57"/>
        <v/>
      </c>
      <c r="T152" t="str">
        <f t="shared" si="58"/>
        <v/>
      </c>
      <c r="U152" s="1" t="str">
        <f>IF($T152="","",IFERROR(VLOOKUP($T152,'Kunci dari RIASEC'!$A$4:$B$123,2,FALSE),"Rekomendasi belum tersedia"))</f>
        <v/>
      </c>
      <c r="V152" t="str">
        <f>IF('entri hasil dari isian siswa'!B152="","",'entri hasil dari isian siswa'!HY152)</f>
        <v/>
      </c>
      <c r="W152" t="str">
        <f>IF($B152="","",SUM('entri hasil dari isian siswa'!E152:O152))</f>
        <v/>
      </c>
      <c r="X152" t="str">
        <f>IF($B152="","",SUM('entri hasil dari isian siswa'!P152:Z152))</f>
        <v/>
      </c>
      <c r="Y152" t="str">
        <f>IF($B152="","",SUM('entri hasil dari isian siswa'!AA152:AK152))</f>
        <v/>
      </c>
      <c r="Z152" t="str">
        <f>IF($B152="","",SUM('entri hasil dari isian siswa'!AL152:AV152))</f>
        <v/>
      </c>
      <c r="AA152" t="str">
        <f>IF($B152="","",SUM('entri hasil dari isian siswa'!AW152:BG152))</f>
        <v/>
      </c>
      <c r="AB152" t="str">
        <f>IF($B152="","",SUM('entri hasil dari isian siswa'!BH152:BR152))</f>
        <v/>
      </c>
      <c r="AC152" t="str">
        <f>IF($B152="","",SUM('entri hasil dari isian siswa'!BS152:CC152))</f>
        <v/>
      </c>
      <c r="AD152" t="str">
        <f>IF($B152="","",SUM('entri hasil dari isian siswa'!CD152:CN152))</f>
        <v/>
      </c>
      <c r="AE152" t="str">
        <f>IF($B152="","",SUM('entri hasil dari isian siswa'!CO152:CY152))</f>
        <v/>
      </c>
      <c r="AF152" t="str">
        <f>IF($B152="","",SUM('entri hasil dari isian siswa'!CZ152:DJ152))</f>
        <v/>
      </c>
      <c r="AG152" t="str">
        <f>IF($B152="","",SUM('entri hasil dari isian siswa'!DK152:DU152))</f>
        <v/>
      </c>
      <c r="AH152" t="str">
        <f>IF($B152="","",SUM('entri hasil dari isian siswa'!DV152:EF152))</f>
        <v/>
      </c>
      <c r="AI152" t="str">
        <f>IF($B152="","",SUM('entri hasil dari isian siswa'!EG152:ET152))</f>
        <v/>
      </c>
      <c r="AJ152" t="str">
        <f>IF($B152="","",SUM('entri hasil dari isian siswa'!EU152:FH152))</f>
        <v/>
      </c>
      <c r="AK152" t="str">
        <f>IF($B152="","",SUM('entri hasil dari isian siswa'!FI152:FV152))</f>
        <v/>
      </c>
      <c r="AL152" t="str">
        <f>IF($B152="","",SUM('entri hasil dari isian siswa'!FW152:GJ152))</f>
        <v/>
      </c>
      <c r="AM152" t="str">
        <f>IF($B152="","",SUM('entri hasil dari isian siswa'!GK152:GX152))</f>
        <v/>
      </c>
      <c r="AN152" t="str">
        <f>IF($B152="","",SUM('entri hasil dari isian siswa'!GY152:HL152))</f>
        <v/>
      </c>
      <c r="AO152" t="str">
        <f>IF($B152="","",'entri hasil dari isian siswa'!HM152+'entri hasil dari isian siswa'!HS152)</f>
        <v/>
      </c>
      <c r="AP152" t="str">
        <f>IF($B152="","",'entri hasil dari isian siswa'!HN152+'entri hasil dari isian siswa'!HT152)</f>
        <v/>
      </c>
      <c r="AQ152" t="str">
        <f>IF($B152="","",'entri hasil dari isian siswa'!HO152+'entri hasil dari isian siswa'!HU152)</f>
        <v/>
      </c>
      <c r="AR152" t="str">
        <f>IF($B152="","",'entri hasil dari isian siswa'!HP152+'entri hasil dari isian siswa'!HV152)</f>
        <v/>
      </c>
      <c r="AS152" t="str">
        <f>IF($B152="","",'entri hasil dari isian siswa'!HQ152+'entri hasil dari isian siswa'!HW152)</f>
        <v/>
      </c>
      <c r="AT152" t="str">
        <f>IF($B152="","",'entri hasil dari isian siswa'!HR152+'entri hasil dari isian siswa'!HX152)</f>
        <v/>
      </c>
      <c r="AU152" s="69" t="str">
        <f t="shared" si="59"/>
        <v/>
      </c>
      <c r="AV152" s="69" t="str">
        <f>IF($AU152="","",IFERROR(VLOOKUP($AU152,'Kunci dari RIASEC'!$J$4:$K$33,2,FALSE),""))</f>
        <v/>
      </c>
    </row>
    <row r="153" spans="1:48">
      <c r="A153">
        <f t="shared" si="48"/>
        <v>149</v>
      </c>
      <c r="B153" t="str">
        <f>IF('entri hasil dari isian siswa'!B153="","",'entri hasil dari isian siswa'!B153)</f>
        <v/>
      </c>
      <c r="C153" t="str">
        <f>IF('entri hasil dari isian siswa'!C153="","",'entri hasil dari isian siswa'!C153)</f>
        <v/>
      </c>
      <c r="D153" t="str">
        <f>IF('entri hasil dari isian siswa'!D153="","",'entri hasil dari isian siswa'!D153)</f>
        <v/>
      </c>
      <c r="E153" t="str">
        <f t="shared" si="49"/>
        <v/>
      </c>
      <c r="F153" t="str">
        <f t="shared" si="50"/>
        <v/>
      </c>
      <c r="G153" t="str">
        <f t="shared" si="51"/>
        <v/>
      </c>
      <c r="H153" t="str">
        <f t="shared" si="52"/>
        <v/>
      </c>
      <c r="I153" t="str">
        <f t="shared" si="53"/>
        <v/>
      </c>
      <c r="J153" t="str">
        <f t="shared" si="54"/>
        <v/>
      </c>
      <c r="K153" t="str">
        <f>IF($V153&lt;&gt;"OK","",RANK(E153,$E153:$J153,0)+COUNTIF($E153:E153,E153)-1)</f>
        <v/>
      </c>
      <c r="L153" t="str">
        <f>IF($V153&lt;&gt;"OK","",RANK(F153,$E153:$J153,0)+COUNTIF($E153:F153,F153)-1)</f>
        <v/>
      </c>
      <c r="M153" t="str">
        <f>IF($V153&lt;&gt;"OK","",RANK(G153,$E153:$J153,0)+COUNTIF($E153:G153,G153)-1)</f>
        <v/>
      </c>
      <c r="N153" t="str">
        <f>IF($V153&lt;&gt;"OK","",RANK(H153,$E153:$J153,0)+COUNTIF($E153:H153,H153)-1)</f>
        <v/>
      </c>
      <c r="O153" t="str">
        <f>IF($V153&lt;&gt;"OK","",RANK(I153,$E153:$J153,0)+COUNTIF($E153:I153,I153)-1)</f>
        <v/>
      </c>
      <c r="P153" t="str">
        <f>IF($V153&lt;&gt;"OK","",RANK(J153,$E153:$J153,0)+COUNTIF($E153:J153,J153)-1)</f>
        <v/>
      </c>
      <c r="Q153" t="str">
        <f t="shared" si="55"/>
        <v/>
      </c>
      <c r="R153" t="str">
        <f t="shared" si="56"/>
        <v/>
      </c>
      <c r="S153" t="str">
        <f t="shared" si="57"/>
        <v/>
      </c>
      <c r="T153" t="str">
        <f t="shared" si="58"/>
        <v/>
      </c>
      <c r="U153" s="1" t="str">
        <f>IF($T153="","",IFERROR(VLOOKUP($T153,'Kunci dari RIASEC'!$A$4:$B$123,2,FALSE),"Rekomendasi belum tersedia"))</f>
        <v/>
      </c>
      <c r="V153" t="str">
        <f>IF('entri hasil dari isian siswa'!B153="","",'entri hasil dari isian siswa'!HY153)</f>
        <v/>
      </c>
      <c r="W153" t="str">
        <f>IF($B153="","",SUM('entri hasil dari isian siswa'!E153:O153))</f>
        <v/>
      </c>
      <c r="X153" t="str">
        <f>IF($B153="","",SUM('entri hasil dari isian siswa'!P153:Z153))</f>
        <v/>
      </c>
      <c r="Y153" t="str">
        <f>IF($B153="","",SUM('entri hasil dari isian siswa'!AA153:AK153))</f>
        <v/>
      </c>
      <c r="Z153" t="str">
        <f>IF($B153="","",SUM('entri hasil dari isian siswa'!AL153:AV153))</f>
        <v/>
      </c>
      <c r="AA153" t="str">
        <f>IF($B153="","",SUM('entri hasil dari isian siswa'!AW153:BG153))</f>
        <v/>
      </c>
      <c r="AB153" t="str">
        <f>IF($B153="","",SUM('entri hasil dari isian siswa'!BH153:BR153))</f>
        <v/>
      </c>
      <c r="AC153" t="str">
        <f>IF($B153="","",SUM('entri hasil dari isian siswa'!BS153:CC153))</f>
        <v/>
      </c>
      <c r="AD153" t="str">
        <f>IF($B153="","",SUM('entri hasil dari isian siswa'!CD153:CN153))</f>
        <v/>
      </c>
      <c r="AE153" t="str">
        <f>IF($B153="","",SUM('entri hasil dari isian siswa'!CO153:CY153))</f>
        <v/>
      </c>
      <c r="AF153" t="str">
        <f>IF($B153="","",SUM('entri hasil dari isian siswa'!CZ153:DJ153))</f>
        <v/>
      </c>
      <c r="AG153" t="str">
        <f>IF($B153="","",SUM('entri hasil dari isian siswa'!DK153:DU153))</f>
        <v/>
      </c>
      <c r="AH153" t="str">
        <f>IF($B153="","",SUM('entri hasil dari isian siswa'!DV153:EF153))</f>
        <v/>
      </c>
      <c r="AI153" t="str">
        <f>IF($B153="","",SUM('entri hasil dari isian siswa'!EG153:ET153))</f>
        <v/>
      </c>
      <c r="AJ153" t="str">
        <f>IF($B153="","",SUM('entri hasil dari isian siswa'!EU153:FH153))</f>
        <v/>
      </c>
      <c r="AK153" t="str">
        <f>IF($B153="","",SUM('entri hasil dari isian siswa'!FI153:FV153))</f>
        <v/>
      </c>
      <c r="AL153" t="str">
        <f>IF($B153="","",SUM('entri hasil dari isian siswa'!FW153:GJ153))</f>
        <v/>
      </c>
      <c r="AM153" t="str">
        <f>IF($B153="","",SUM('entri hasil dari isian siswa'!GK153:GX153))</f>
        <v/>
      </c>
      <c r="AN153" t="str">
        <f>IF($B153="","",SUM('entri hasil dari isian siswa'!GY153:HL153))</f>
        <v/>
      </c>
      <c r="AO153" t="str">
        <f>IF($B153="","",'entri hasil dari isian siswa'!HM153+'entri hasil dari isian siswa'!HS153)</f>
        <v/>
      </c>
      <c r="AP153" t="str">
        <f>IF($B153="","",'entri hasil dari isian siswa'!HN153+'entri hasil dari isian siswa'!HT153)</f>
        <v/>
      </c>
      <c r="AQ153" t="str">
        <f>IF($B153="","",'entri hasil dari isian siswa'!HO153+'entri hasil dari isian siswa'!HU153)</f>
        <v/>
      </c>
      <c r="AR153" t="str">
        <f>IF($B153="","",'entri hasil dari isian siswa'!HP153+'entri hasil dari isian siswa'!HV153)</f>
        <v/>
      </c>
      <c r="AS153" t="str">
        <f>IF($B153="","",'entri hasil dari isian siswa'!HQ153+'entri hasil dari isian siswa'!HW153)</f>
        <v/>
      </c>
      <c r="AT153" t="str">
        <f>IF($B153="","",'entri hasil dari isian siswa'!HR153+'entri hasil dari isian siswa'!HX153)</f>
        <v/>
      </c>
      <c r="AU153" s="69" t="str">
        <f t="shared" si="59"/>
        <v/>
      </c>
      <c r="AV153" s="69" t="str">
        <f>IF($AU153="","",IFERROR(VLOOKUP($AU153,'Kunci dari RIASEC'!$J$4:$K$33,2,FALSE),""))</f>
        <v/>
      </c>
    </row>
    <row r="154" spans="1:48">
      <c r="A154">
        <f t="shared" si="48"/>
        <v>150</v>
      </c>
      <c r="B154" t="str">
        <f>IF('entri hasil dari isian siswa'!B154="","",'entri hasil dari isian siswa'!B154)</f>
        <v/>
      </c>
      <c r="C154" t="str">
        <f>IF('entri hasil dari isian siswa'!C154="","",'entri hasil dari isian siswa'!C154)</f>
        <v/>
      </c>
      <c r="D154" t="str">
        <f>IF('entri hasil dari isian siswa'!D154="","",'entri hasil dari isian siswa'!D154)</f>
        <v/>
      </c>
      <c r="E154" t="str">
        <f t="shared" si="49"/>
        <v/>
      </c>
      <c r="F154" t="str">
        <f t="shared" si="50"/>
        <v/>
      </c>
      <c r="G154" t="str">
        <f t="shared" si="51"/>
        <v/>
      </c>
      <c r="H154" t="str">
        <f t="shared" si="52"/>
        <v/>
      </c>
      <c r="I154" t="str">
        <f t="shared" si="53"/>
        <v/>
      </c>
      <c r="J154" t="str">
        <f t="shared" si="54"/>
        <v/>
      </c>
      <c r="K154" t="str">
        <f>IF($V154&lt;&gt;"OK","",RANK(E154,$E154:$J154,0)+COUNTIF($E154:E154,E154)-1)</f>
        <v/>
      </c>
      <c r="L154" t="str">
        <f>IF($V154&lt;&gt;"OK","",RANK(F154,$E154:$J154,0)+COUNTIF($E154:F154,F154)-1)</f>
        <v/>
      </c>
      <c r="M154" t="str">
        <f>IF($V154&lt;&gt;"OK","",RANK(G154,$E154:$J154,0)+COUNTIF($E154:G154,G154)-1)</f>
        <v/>
      </c>
      <c r="N154" t="str">
        <f>IF($V154&lt;&gt;"OK","",RANK(H154,$E154:$J154,0)+COUNTIF($E154:H154,H154)-1)</f>
        <v/>
      </c>
      <c r="O154" t="str">
        <f>IF($V154&lt;&gt;"OK","",RANK(I154,$E154:$J154,0)+COUNTIF($E154:I154,I154)-1)</f>
        <v/>
      </c>
      <c r="P154" t="str">
        <f>IF($V154&lt;&gt;"OK","",RANK(J154,$E154:$J154,0)+COUNTIF($E154:J154,J154)-1)</f>
        <v/>
      </c>
      <c r="Q154" t="str">
        <f t="shared" si="55"/>
        <v/>
      </c>
      <c r="R154" t="str">
        <f t="shared" si="56"/>
        <v/>
      </c>
      <c r="S154" t="str">
        <f t="shared" si="57"/>
        <v/>
      </c>
      <c r="T154" t="str">
        <f t="shared" si="58"/>
        <v/>
      </c>
      <c r="U154" s="1" t="str">
        <f>IF($T154="","",IFERROR(VLOOKUP($T154,'Kunci dari RIASEC'!$A$4:$B$123,2,FALSE),"Rekomendasi belum tersedia"))</f>
        <v/>
      </c>
      <c r="V154" t="str">
        <f>IF('entri hasil dari isian siswa'!B154="","",'entri hasil dari isian siswa'!HY154)</f>
        <v/>
      </c>
      <c r="W154" t="str">
        <f>IF($B154="","",SUM('entri hasil dari isian siswa'!E154:O154))</f>
        <v/>
      </c>
      <c r="X154" t="str">
        <f>IF($B154="","",SUM('entri hasil dari isian siswa'!P154:Z154))</f>
        <v/>
      </c>
      <c r="Y154" t="str">
        <f>IF($B154="","",SUM('entri hasil dari isian siswa'!AA154:AK154))</f>
        <v/>
      </c>
      <c r="Z154" t="str">
        <f>IF($B154="","",SUM('entri hasil dari isian siswa'!AL154:AV154))</f>
        <v/>
      </c>
      <c r="AA154" t="str">
        <f>IF($B154="","",SUM('entri hasil dari isian siswa'!AW154:BG154))</f>
        <v/>
      </c>
      <c r="AB154" t="str">
        <f>IF($B154="","",SUM('entri hasil dari isian siswa'!BH154:BR154))</f>
        <v/>
      </c>
      <c r="AC154" t="str">
        <f>IF($B154="","",SUM('entri hasil dari isian siswa'!BS154:CC154))</f>
        <v/>
      </c>
      <c r="AD154" t="str">
        <f>IF($B154="","",SUM('entri hasil dari isian siswa'!CD154:CN154))</f>
        <v/>
      </c>
      <c r="AE154" t="str">
        <f>IF($B154="","",SUM('entri hasil dari isian siswa'!CO154:CY154))</f>
        <v/>
      </c>
      <c r="AF154" t="str">
        <f>IF($B154="","",SUM('entri hasil dari isian siswa'!CZ154:DJ154))</f>
        <v/>
      </c>
      <c r="AG154" t="str">
        <f>IF($B154="","",SUM('entri hasil dari isian siswa'!DK154:DU154))</f>
        <v/>
      </c>
      <c r="AH154" t="str">
        <f>IF($B154="","",SUM('entri hasil dari isian siswa'!DV154:EF154))</f>
        <v/>
      </c>
      <c r="AI154" t="str">
        <f>IF($B154="","",SUM('entri hasil dari isian siswa'!EG154:ET154))</f>
        <v/>
      </c>
      <c r="AJ154" t="str">
        <f>IF($B154="","",SUM('entri hasil dari isian siswa'!EU154:FH154))</f>
        <v/>
      </c>
      <c r="AK154" t="str">
        <f>IF($B154="","",SUM('entri hasil dari isian siswa'!FI154:FV154))</f>
        <v/>
      </c>
      <c r="AL154" t="str">
        <f>IF($B154="","",SUM('entri hasil dari isian siswa'!FW154:GJ154))</f>
        <v/>
      </c>
      <c r="AM154" t="str">
        <f>IF($B154="","",SUM('entri hasil dari isian siswa'!GK154:GX154))</f>
        <v/>
      </c>
      <c r="AN154" t="str">
        <f>IF($B154="","",SUM('entri hasil dari isian siswa'!GY154:HL154))</f>
        <v/>
      </c>
      <c r="AO154" t="str">
        <f>IF($B154="","",'entri hasil dari isian siswa'!HM154+'entri hasil dari isian siswa'!HS154)</f>
        <v/>
      </c>
      <c r="AP154" t="str">
        <f>IF($B154="","",'entri hasil dari isian siswa'!HN154+'entri hasil dari isian siswa'!HT154)</f>
        <v/>
      </c>
      <c r="AQ154" t="str">
        <f>IF($B154="","",'entri hasil dari isian siswa'!HO154+'entri hasil dari isian siswa'!HU154)</f>
        <v/>
      </c>
      <c r="AR154" t="str">
        <f>IF($B154="","",'entri hasil dari isian siswa'!HP154+'entri hasil dari isian siswa'!HV154)</f>
        <v/>
      </c>
      <c r="AS154" t="str">
        <f>IF($B154="","",'entri hasil dari isian siswa'!HQ154+'entri hasil dari isian siswa'!HW154)</f>
        <v/>
      </c>
      <c r="AT154" t="str">
        <f>IF($B154="","",'entri hasil dari isian siswa'!HR154+'entri hasil dari isian siswa'!HX154)</f>
        <v/>
      </c>
      <c r="AU154" s="69" t="str">
        <f t="shared" si="59"/>
        <v/>
      </c>
      <c r="AV154" s="69" t="str">
        <f>IF($AU154="","",IFERROR(VLOOKUP($AU154,'Kunci dari RIASEC'!$J$4:$K$33,2,FALSE),""))</f>
        <v/>
      </c>
    </row>
    <row r="155" spans="1:48">
      <c r="A155">
        <f t="shared" si="48"/>
        <v>151</v>
      </c>
      <c r="B155" t="str">
        <f>IF('entri hasil dari isian siswa'!B155="","",'entri hasil dari isian siswa'!B155)</f>
        <v/>
      </c>
      <c r="C155" t="str">
        <f>IF('entri hasil dari isian siswa'!C155="","",'entri hasil dari isian siswa'!C155)</f>
        <v/>
      </c>
      <c r="D155" t="str">
        <f>IF('entri hasil dari isian siswa'!D155="","",'entri hasil dari isian siswa'!D155)</f>
        <v/>
      </c>
      <c r="E155" t="str">
        <f t="shared" si="49"/>
        <v/>
      </c>
      <c r="F155" t="str">
        <f t="shared" si="50"/>
        <v/>
      </c>
      <c r="G155" t="str">
        <f t="shared" si="51"/>
        <v/>
      </c>
      <c r="H155" t="str">
        <f t="shared" si="52"/>
        <v/>
      </c>
      <c r="I155" t="str">
        <f t="shared" si="53"/>
        <v/>
      </c>
      <c r="J155" t="str">
        <f t="shared" si="54"/>
        <v/>
      </c>
      <c r="K155" t="str">
        <f>IF($V155&lt;&gt;"OK","",RANK(E155,$E155:$J155,0)+COUNTIF($E155:E155,E155)-1)</f>
        <v/>
      </c>
      <c r="L155" t="str">
        <f>IF($V155&lt;&gt;"OK","",RANK(F155,$E155:$J155,0)+COUNTIF($E155:F155,F155)-1)</f>
        <v/>
      </c>
      <c r="M155" t="str">
        <f>IF($V155&lt;&gt;"OK","",RANK(G155,$E155:$J155,0)+COUNTIF($E155:G155,G155)-1)</f>
        <v/>
      </c>
      <c r="N155" t="str">
        <f>IF($V155&lt;&gt;"OK","",RANK(H155,$E155:$J155,0)+COUNTIF($E155:H155,H155)-1)</f>
        <v/>
      </c>
      <c r="O155" t="str">
        <f>IF($V155&lt;&gt;"OK","",RANK(I155,$E155:$J155,0)+COUNTIF($E155:I155,I155)-1)</f>
        <v/>
      </c>
      <c r="P155" t="str">
        <f>IF($V155&lt;&gt;"OK","",RANK(J155,$E155:$J155,0)+COUNTIF($E155:J155,J155)-1)</f>
        <v/>
      </c>
      <c r="Q155" t="str">
        <f t="shared" si="55"/>
        <v/>
      </c>
      <c r="R155" t="str">
        <f t="shared" si="56"/>
        <v/>
      </c>
      <c r="S155" t="str">
        <f t="shared" si="57"/>
        <v/>
      </c>
      <c r="T155" t="str">
        <f t="shared" si="58"/>
        <v/>
      </c>
      <c r="U155" s="1" t="str">
        <f>IF($T155="","",IFERROR(VLOOKUP($T155,'Kunci dari RIASEC'!$A$4:$B$123,2,FALSE),"Rekomendasi belum tersedia"))</f>
        <v/>
      </c>
      <c r="V155" t="str">
        <f>IF('entri hasil dari isian siswa'!B155="","",'entri hasil dari isian siswa'!HY155)</f>
        <v/>
      </c>
      <c r="W155" t="str">
        <f>IF($B155="","",SUM('entri hasil dari isian siswa'!E155:O155))</f>
        <v/>
      </c>
      <c r="X155" t="str">
        <f>IF($B155="","",SUM('entri hasil dari isian siswa'!P155:Z155))</f>
        <v/>
      </c>
      <c r="Y155" t="str">
        <f>IF($B155="","",SUM('entri hasil dari isian siswa'!AA155:AK155))</f>
        <v/>
      </c>
      <c r="Z155" t="str">
        <f>IF($B155="","",SUM('entri hasil dari isian siswa'!AL155:AV155))</f>
        <v/>
      </c>
      <c r="AA155" t="str">
        <f>IF($B155="","",SUM('entri hasil dari isian siswa'!AW155:BG155))</f>
        <v/>
      </c>
      <c r="AB155" t="str">
        <f>IF($B155="","",SUM('entri hasil dari isian siswa'!BH155:BR155))</f>
        <v/>
      </c>
      <c r="AC155" t="str">
        <f>IF($B155="","",SUM('entri hasil dari isian siswa'!BS155:CC155))</f>
        <v/>
      </c>
      <c r="AD155" t="str">
        <f>IF($B155="","",SUM('entri hasil dari isian siswa'!CD155:CN155))</f>
        <v/>
      </c>
      <c r="AE155" t="str">
        <f>IF($B155="","",SUM('entri hasil dari isian siswa'!CO155:CY155))</f>
        <v/>
      </c>
      <c r="AF155" t="str">
        <f>IF($B155="","",SUM('entri hasil dari isian siswa'!CZ155:DJ155))</f>
        <v/>
      </c>
      <c r="AG155" t="str">
        <f>IF($B155="","",SUM('entri hasil dari isian siswa'!DK155:DU155))</f>
        <v/>
      </c>
      <c r="AH155" t="str">
        <f>IF($B155="","",SUM('entri hasil dari isian siswa'!DV155:EF155))</f>
        <v/>
      </c>
      <c r="AI155" t="str">
        <f>IF($B155="","",SUM('entri hasil dari isian siswa'!EG155:ET155))</f>
        <v/>
      </c>
      <c r="AJ155" t="str">
        <f>IF($B155="","",SUM('entri hasil dari isian siswa'!EU155:FH155))</f>
        <v/>
      </c>
      <c r="AK155" t="str">
        <f>IF($B155="","",SUM('entri hasil dari isian siswa'!FI155:FV155))</f>
        <v/>
      </c>
      <c r="AL155" t="str">
        <f>IF($B155="","",SUM('entri hasil dari isian siswa'!FW155:GJ155))</f>
        <v/>
      </c>
      <c r="AM155" t="str">
        <f>IF($B155="","",SUM('entri hasil dari isian siswa'!GK155:GX155))</f>
        <v/>
      </c>
      <c r="AN155" t="str">
        <f>IF($B155="","",SUM('entri hasil dari isian siswa'!GY155:HL155))</f>
        <v/>
      </c>
      <c r="AO155" t="str">
        <f>IF($B155="","",'entri hasil dari isian siswa'!HM155+'entri hasil dari isian siswa'!HS155)</f>
        <v/>
      </c>
      <c r="AP155" t="str">
        <f>IF($B155="","",'entri hasil dari isian siswa'!HN155+'entri hasil dari isian siswa'!HT155)</f>
        <v/>
      </c>
      <c r="AQ155" t="str">
        <f>IF($B155="","",'entri hasil dari isian siswa'!HO155+'entri hasil dari isian siswa'!HU155)</f>
        <v/>
      </c>
      <c r="AR155" t="str">
        <f>IF($B155="","",'entri hasil dari isian siswa'!HP155+'entri hasil dari isian siswa'!HV155)</f>
        <v/>
      </c>
      <c r="AS155" t="str">
        <f>IF($B155="","",'entri hasil dari isian siswa'!HQ155+'entri hasil dari isian siswa'!HW155)</f>
        <v/>
      </c>
      <c r="AT155" t="str">
        <f>IF($B155="","",'entri hasil dari isian siswa'!HR155+'entri hasil dari isian siswa'!HX155)</f>
        <v/>
      </c>
      <c r="AU155" s="69" t="str">
        <f t="shared" si="59"/>
        <v/>
      </c>
      <c r="AV155" s="69" t="str">
        <f>IF($AU155="","",IFERROR(VLOOKUP($AU155,'Kunci dari RIASEC'!$J$4:$K$33,2,FALSE),""))</f>
        <v/>
      </c>
    </row>
    <row r="156" spans="1:48">
      <c r="A156">
        <f t="shared" si="48"/>
        <v>152</v>
      </c>
      <c r="B156" t="str">
        <f>IF('entri hasil dari isian siswa'!B156="","",'entri hasil dari isian siswa'!B156)</f>
        <v/>
      </c>
      <c r="C156" t="str">
        <f>IF('entri hasil dari isian siswa'!C156="","",'entri hasil dari isian siswa'!C156)</f>
        <v/>
      </c>
      <c r="D156" t="str">
        <f>IF('entri hasil dari isian siswa'!D156="","",'entri hasil dari isian siswa'!D156)</f>
        <v/>
      </c>
      <c r="E156" t="str">
        <f t="shared" si="49"/>
        <v/>
      </c>
      <c r="F156" t="str">
        <f t="shared" si="50"/>
        <v/>
      </c>
      <c r="G156" t="str">
        <f t="shared" si="51"/>
        <v/>
      </c>
      <c r="H156" t="str">
        <f t="shared" si="52"/>
        <v/>
      </c>
      <c r="I156" t="str">
        <f t="shared" si="53"/>
        <v/>
      </c>
      <c r="J156" t="str">
        <f t="shared" si="54"/>
        <v/>
      </c>
      <c r="K156" t="str">
        <f>IF($V156&lt;&gt;"OK","",RANK(E156,$E156:$J156,0)+COUNTIF($E156:E156,E156)-1)</f>
        <v/>
      </c>
      <c r="L156" t="str">
        <f>IF($V156&lt;&gt;"OK","",RANK(F156,$E156:$J156,0)+COUNTIF($E156:F156,F156)-1)</f>
        <v/>
      </c>
      <c r="M156" t="str">
        <f>IF($V156&lt;&gt;"OK","",RANK(G156,$E156:$J156,0)+COUNTIF($E156:G156,G156)-1)</f>
        <v/>
      </c>
      <c r="N156" t="str">
        <f>IF($V156&lt;&gt;"OK","",RANK(H156,$E156:$J156,0)+COUNTIF($E156:H156,H156)-1)</f>
        <v/>
      </c>
      <c r="O156" t="str">
        <f>IF($V156&lt;&gt;"OK","",RANK(I156,$E156:$J156,0)+COUNTIF($E156:I156,I156)-1)</f>
        <v/>
      </c>
      <c r="P156" t="str">
        <f>IF($V156&lt;&gt;"OK","",RANK(J156,$E156:$J156,0)+COUNTIF($E156:J156,J156)-1)</f>
        <v/>
      </c>
      <c r="Q156" t="str">
        <f t="shared" si="55"/>
        <v/>
      </c>
      <c r="R156" t="str">
        <f t="shared" si="56"/>
        <v/>
      </c>
      <c r="S156" t="str">
        <f t="shared" si="57"/>
        <v/>
      </c>
      <c r="T156" t="str">
        <f t="shared" si="58"/>
        <v/>
      </c>
      <c r="U156" s="1" t="str">
        <f>IF($T156="","",IFERROR(VLOOKUP($T156,'Kunci dari RIASEC'!$A$4:$B$123,2,FALSE),"Rekomendasi belum tersedia"))</f>
        <v/>
      </c>
      <c r="V156" t="str">
        <f>IF('entri hasil dari isian siswa'!B156="","",'entri hasil dari isian siswa'!HY156)</f>
        <v/>
      </c>
      <c r="W156" t="str">
        <f>IF($B156="","",SUM('entri hasil dari isian siswa'!E156:O156))</f>
        <v/>
      </c>
      <c r="X156" t="str">
        <f>IF($B156="","",SUM('entri hasil dari isian siswa'!P156:Z156))</f>
        <v/>
      </c>
      <c r="Y156" t="str">
        <f>IF($B156="","",SUM('entri hasil dari isian siswa'!AA156:AK156))</f>
        <v/>
      </c>
      <c r="Z156" t="str">
        <f>IF($B156="","",SUM('entri hasil dari isian siswa'!AL156:AV156))</f>
        <v/>
      </c>
      <c r="AA156" t="str">
        <f>IF($B156="","",SUM('entri hasil dari isian siswa'!AW156:BG156))</f>
        <v/>
      </c>
      <c r="AB156" t="str">
        <f>IF($B156="","",SUM('entri hasil dari isian siswa'!BH156:BR156))</f>
        <v/>
      </c>
      <c r="AC156" t="str">
        <f>IF($B156="","",SUM('entri hasil dari isian siswa'!BS156:CC156))</f>
        <v/>
      </c>
      <c r="AD156" t="str">
        <f>IF($B156="","",SUM('entri hasil dari isian siswa'!CD156:CN156))</f>
        <v/>
      </c>
      <c r="AE156" t="str">
        <f>IF($B156="","",SUM('entri hasil dari isian siswa'!CO156:CY156))</f>
        <v/>
      </c>
      <c r="AF156" t="str">
        <f>IF($B156="","",SUM('entri hasil dari isian siswa'!CZ156:DJ156))</f>
        <v/>
      </c>
      <c r="AG156" t="str">
        <f>IF($B156="","",SUM('entri hasil dari isian siswa'!DK156:DU156))</f>
        <v/>
      </c>
      <c r="AH156" t="str">
        <f>IF($B156="","",SUM('entri hasil dari isian siswa'!DV156:EF156))</f>
        <v/>
      </c>
      <c r="AI156" t="str">
        <f>IF($B156="","",SUM('entri hasil dari isian siswa'!EG156:ET156))</f>
        <v/>
      </c>
      <c r="AJ156" t="str">
        <f>IF($B156="","",SUM('entri hasil dari isian siswa'!EU156:FH156))</f>
        <v/>
      </c>
      <c r="AK156" t="str">
        <f>IF($B156="","",SUM('entri hasil dari isian siswa'!FI156:FV156))</f>
        <v/>
      </c>
      <c r="AL156" t="str">
        <f>IF($B156="","",SUM('entri hasil dari isian siswa'!FW156:GJ156))</f>
        <v/>
      </c>
      <c r="AM156" t="str">
        <f>IF($B156="","",SUM('entri hasil dari isian siswa'!GK156:GX156))</f>
        <v/>
      </c>
      <c r="AN156" t="str">
        <f>IF($B156="","",SUM('entri hasil dari isian siswa'!GY156:HL156))</f>
        <v/>
      </c>
      <c r="AO156" t="str">
        <f>IF($B156="","",'entri hasil dari isian siswa'!HM156+'entri hasil dari isian siswa'!HS156)</f>
        <v/>
      </c>
      <c r="AP156" t="str">
        <f>IF($B156="","",'entri hasil dari isian siswa'!HN156+'entri hasil dari isian siswa'!HT156)</f>
        <v/>
      </c>
      <c r="AQ156" t="str">
        <f>IF($B156="","",'entri hasil dari isian siswa'!HO156+'entri hasil dari isian siswa'!HU156)</f>
        <v/>
      </c>
      <c r="AR156" t="str">
        <f>IF($B156="","",'entri hasil dari isian siswa'!HP156+'entri hasil dari isian siswa'!HV156)</f>
        <v/>
      </c>
      <c r="AS156" t="str">
        <f>IF($B156="","",'entri hasil dari isian siswa'!HQ156+'entri hasil dari isian siswa'!HW156)</f>
        <v/>
      </c>
      <c r="AT156" t="str">
        <f>IF($B156="","",'entri hasil dari isian siswa'!HR156+'entri hasil dari isian siswa'!HX156)</f>
        <v/>
      </c>
      <c r="AU156" s="69" t="str">
        <f t="shared" si="59"/>
        <v/>
      </c>
      <c r="AV156" s="69" t="str">
        <f>IF($AU156="","",IFERROR(VLOOKUP($AU156,'Kunci dari RIASEC'!$J$4:$K$33,2,FALSE),""))</f>
        <v/>
      </c>
    </row>
    <row r="157" spans="1:48">
      <c r="A157">
        <f t="shared" si="48"/>
        <v>153</v>
      </c>
      <c r="B157" t="str">
        <f>IF('entri hasil dari isian siswa'!B157="","",'entri hasil dari isian siswa'!B157)</f>
        <v/>
      </c>
      <c r="C157" t="str">
        <f>IF('entri hasil dari isian siswa'!C157="","",'entri hasil dari isian siswa'!C157)</f>
        <v/>
      </c>
      <c r="D157" t="str">
        <f>IF('entri hasil dari isian siswa'!D157="","",'entri hasil dari isian siswa'!D157)</f>
        <v/>
      </c>
      <c r="E157" t="str">
        <f t="shared" si="49"/>
        <v/>
      </c>
      <c r="F157" t="str">
        <f t="shared" si="50"/>
        <v/>
      </c>
      <c r="G157" t="str">
        <f t="shared" si="51"/>
        <v/>
      </c>
      <c r="H157" t="str">
        <f t="shared" si="52"/>
        <v/>
      </c>
      <c r="I157" t="str">
        <f t="shared" si="53"/>
        <v/>
      </c>
      <c r="J157" t="str">
        <f t="shared" si="54"/>
        <v/>
      </c>
      <c r="K157" t="str">
        <f>IF($V157&lt;&gt;"OK","",RANK(E157,$E157:$J157,0)+COUNTIF($E157:E157,E157)-1)</f>
        <v/>
      </c>
      <c r="L157" t="str">
        <f>IF($V157&lt;&gt;"OK","",RANK(F157,$E157:$J157,0)+COUNTIF($E157:F157,F157)-1)</f>
        <v/>
      </c>
      <c r="M157" t="str">
        <f>IF($V157&lt;&gt;"OK","",RANK(G157,$E157:$J157,0)+COUNTIF($E157:G157,G157)-1)</f>
        <v/>
      </c>
      <c r="N157" t="str">
        <f>IF($V157&lt;&gt;"OK","",RANK(H157,$E157:$J157,0)+COUNTIF($E157:H157,H157)-1)</f>
        <v/>
      </c>
      <c r="O157" t="str">
        <f>IF($V157&lt;&gt;"OK","",RANK(I157,$E157:$J157,0)+COUNTIF($E157:I157,I157)-1)</f>
        <v/>
      </c>
      <c r="P157" t="str">
        <f>IF($V157&lt;&gt;"OK","",RANK(J157,$E157:$J157,0)+COUNTIF($E157:J157,J157)-1)</f>
        <v/>
      </c>
      <c r="Q157" t="str">
        <f t="shared" si="55"/>
        <v/>
      </c>
      <c r="R157" t="str">
        <f t="shared" si="56"/>
        <v/>
      </c>
      <c r="S157" t="str">
        <f t="shared" si="57"/>
        <v/>
      </c>
      <c r="T157" t="str">
        <f t="shared" si="58"/>
        <v/>
      </c>
      <c r="U157" s="1" t="str">
        <f>IF($T157="","",IFERROR(VLOOKUP($T157,'Kunci dari RIASEC'!$A$4:$B$123,2,FALSE),"Rekomendasi belum tersedia"))</f>
        <v/>
      </c>
      <c r="V157" t="str">
        <f>IF('entri hasil dari isian siswa'!B157="","",'entri hasil dari isian siswa'!HY157)</f>
        <v/>
      </c>
      <c r="W157" t="str">
        <f>IF($B157="","",SUM('entri hasil dari isian siswa'!E157:O157))</f>
        <v/>
      </c>
      <c r="X157" t="str">
        <f>IF($B157="","",SUM('entri hasil dari isian siswa'!P157:Z157))</f>
        <v/>
      </c>
      <c r="Y157" t="str">
        <f>IF($B157="","",SUM('entri hasil dari isian siswa'!AA157:AK157))</f>
        <v/>
      </c>
      <c r="Z157" t="str">
        <f>IF($B157="","",SUM('entri hasil dari isian siswa'!AL157:AV157))</f>
        <v/>
      </c>
      <c r="AA157" t="str">
        <f>IF($B157="","",SUM('entri hasil dari isian siswa'!AW157:BG157))</f>
        <v/>
      </c>
      <c r="AB157" t="str">
        <f>IF($B157="","",SUM('entri hasil dari isian siswa'!BH157:BR157))</f>
        <v/>
      </c>
      <c r="AC157" t="str">
        <f>IF($B157="","",SUM('entri hasil dari isian siswa'!BS157:CC157))</f>
        <v/>
      </c>
      <c r="AD157" t="str">
        <f>IF($B157="","",SUM('entri hasil dari isian siswa'!CD157:CN157))</f>
        <v/>
      </c>
      <c r="AE157" t="str">
        <f>IF($B157="","",SUM('entri hasil dari isian siswa'!CO157:CY157))</f>
        <v/>
      </c>
      <c r="AF157" t="str">
        <f>IF($B157="","",SUM('entri hasil dari isian siswa'!CZ157:DJ157))</f>
        <v/>
      </c>
      <c r="AG157" t="str">
        <f>IF($B157="","",SUM('entri hasil dari isian siswa'!DK157:DU157))</f>
        <v/>
      </c>
      <c r="AH157" t="str">
        <f>IF($B157="","",SUM('entri hasil dari isian siswa'!DV157:EF157))</f>
        <v/>
      </c>
      <c r="AI157" t="str">
        <f>IF($B157="","",SUM('entri hasil dari isian siswa'!EG157:ET157))</f>
        <v/>
      </c>
      <c r="AJ157" t="str">
        <f>IF($B157="","",SUM('entri hasil dari isian siswa'!EU157:FH157))</f>
        <v/>
      </c>
      <c r="AK157" t="str">
        <f>IF($B157="","",SUM('entri hasil dari isian siswa'!FI157:FV157))</f>
        <v/>
      </c>
      <c r="AL157" t="str">
        <f>IF($B157="","",SUM('entri hasil dari isian siswa'!FW157:GJ157))</f>
        <v/>
      </c>
      <c r="AM157" t="str">
        <f>IF($B157="","",SUM('entri hasil dari isian siswa'!GK157:GX157))</f>
        <v/>
      </c>
      <c r="AN157" t="str">
        <f>IF($B157="","",SUM('entri hasil dari isian siswa'!GY157:HL157))</f>
        <v/>
      </c>
      <c r="AO157" t="str">
        <f>IF($B157="","",'entri hasil dari isian siswa'!HM157+'entri hasil dari isian siswa'!HS157)</f>
        <v/>
      </c>
      <c r="AP157" t="str">
        <f>IF($B157="","",'entri hasil dari isian siswa'!HN157+'entri hasil dari isian siswa'!HT157)</f>
        <v/>
      </c>
      <c r="AQ157" t="str">
        <f>IF($B157="","",'entri hasil dari isian siswa'!HO157+'entri hasil dari isian siswa'!HU157)</f>
        <v/>
      </c>
      <c r="AR157" t="str">
        <f>IF($B157="","",'entri hasil dari isian siswa'!HP157+'entri hasil dari isian siswa'!HV157)</f>
        <v/>
      </c>
      <c r="AS157" t="str">
        <f>IF($B157="","",'entri hasil dari isian siswa'!HQ157+'entri hasil dari isian siswa'!HW157)</f>
        <v/>
      </c>
      <c r="AT157" t="str">
        <f>IF($B157="","",'entri hasil dari isian siswa'!HR157+'entri hasil dari isian siswa'!HX157)</f>
        <v/>
      </c>
      <c r="AU157" s="69" t="str">
        <f t="shared" si="59"/>
        <v/>
      </c>
      <c r="AV157" s="69" t="str">
        <f>IF($AU157="","",IFERROR(VLOOKUP($AU157,'Kunci dari RIASEC'!$J$4:$K$33,2,FALSE),""))</f>
        <v/>
      </c>
    </row>
    <row r="158" spans="1:48">
      <c r="A158">
        <f t="shared" si="48"/>
        <v>154</v>
      </c>
      <c r="B158" t="str">
        <f>IF('entri hasil dari isian siswa'!B158="","",'entri hasil dari isian siswa'!B158)</f>
        <v/>
      </c>
      <c r="C158" t="str">
        <f>IF('entri hasil dari isian siswa'!C158="","",'entri hasil dari isian siswa'!C158)</f>
        <v/>
      </c>
      <c r="D158" t="str">
        <f>IF('entri hasil dari isian siswa'!D158="","",'entri hasil dari isian siswa'!D158)</f>
        <v/>
      </c>
      <c r="E158" t="str">
        <f t="shared" si="49"/>
        <v/>
      </c>
      <c r="F158" t="str">
        <f t="shared" si="50"/>
        <v/>
      </c>
      <c r="G158" t="str">
        <f t="shared" si="51"/>
        <v/>
      </c>
      <c r="H158" t="str">
        <f t="shared" si="52"/>
        <v/>
      </c>
      <c r="I158" t="str">
        <f t="shared" si="53"/>
        <v/>
      </c>
      <c r="J158" t="str">
        <f t="shared" si="54"/>
        <v/>
      </c>
      <c r="K158" t="str">
        <f>IF($V158&lt;&gt;"OK","",RANK(E158,$E158:$J158,0)+COUNTIF($E158:E158,E158)-1)</f>
        <v/>
      </c>
      <c r="L158" t="str">
        <f>IF($V158&lt;&gt;"OK","",RANK(F158,$E158:$J158,0)+COUNTIF($E158:F158,F158)-1)</f>
        <v/>
      </c>
      <c r="M158" t="str">
        <f>IF($V158&lt;&gt;"OK","",RANK(G158,$E158:$J158,0)+COUNTIF($E158:G158,G158)-1)</f>
        <v/>
      </c>
      <c r="N158" t="str">
        <f>IF($V158&lt;&gt;"OK","",RANK(H158,$E158:$J158,0)+COUNTIF($E158:H158,H158)-1)</f>
        <v/>
      </c>
      <c r="O158" t="str">
        <f>IF($V158&lt;&gt;"OK","",RANK(I158,$E158:$J158,0)+COUNTIF($E158:I158,I158)-1)</f>
        <v/>
      </c>
      <c r="P158" t="str">
        <f>IF($V158&lt;&gt;"OK","",RANK(J158,$E158:$J158,0)+COUNTIF($E158:J158,J158)-1)</f>
        <v/>
      </c>
      <c r="Q158" t="str">
        <f t="shared" si="55"/>
        <v/>
      </c>
      <c r="R158" t="str">
        <f t="shared" si="56"/>
        <v/>
      </c>
      <c r="S158" t="str">
        <f t="shared" si="57"/>
        <v/>
      </c>
      <c r="T158" t="str">
        <f t="shared" si="58"/>
        <v/>
      </c>
      <c r="U158" s="1" t="str">
        <f>IF($T158="","",IFERROR(VLOOKUP($T158,'Kunci dari RIASEC'!$A$4:$B$123,2,FALSE),"Rekomendasi belum tersedia"))</f>
        <v/>
      </c>
      <c r="V158" t="str">
        <f>IF('entri hasil dari isian siswa'!B158="","",'entri hasil dari isian siswa'!HY158)</f>
        <v/>
      </c>
      <c r="W158" t="str">
        <f>IF($B158="","",SUM('entri hasil dari isian siswa'!E158:O158))</f>
        <v/>
      </c>
      <c r="X158" t="str">
        <f>IF($B158="","",SUM('entri hasil dari isian siswa'!P158:Z158))</f>
        <v/>
      </c>
      <c r="Y158" t="str">
        <f>IF($B158="","",SUM('entri hasil dari isian siswa'!AA158:AK158))</f>
        <v/>
      </c>
      <c r="Z158" t="str">
        <f>IF($B158="","",SUM('entri hasil dari isian siswa'!AL158:AV158))</f>
        <v/>
      </c>
      <c r="AA158" t="str">
        <f>IF($B158="","",SUM('entri hasil dari isian siswa'!AW158:BG158))</f>
        <v/>
      </c>
      <c r="AB158" t="str">
        <f>IF($B158="","",SUM('entri hasil dari isian siswa'!BH158:BR158))</f>
        <v/>
      </c>
      <c r="AC158" t="str">
        <f>IF($B158="","",SUM('entri hasil dari isian siswa'!BS158:CC158))</f>
        <v/>
      </c>
      <c r="AD158" t="str">
        <f>IF($B158="","",SUM('entri hasil dari isian siswa'!CD158:CN158))</f>
        <v/>
      </c>
      <c r="AE158" t="str">
        <f>IF($B158="","",SUM('entri hasil dari isian siswa'!CO158:CY158))</f>
        <v/>
      </c>
      <c r="AF158" t="str">
        <f>IF($B158="","",SUM('entri hasil dari isian siswa'!CZ158:DJ158))</f>
        <v/>
      </c>
      <c r="AG158" t="str">
        <f>IF($B158="","",SUM('entri hasil dari isian siswa'!DK158:DU158))</f>
        <v/>
      </c>
      <c r="AH158" t="str">
        <f>IF($B158="","",SUM('entri hasil dari isian siswa'!DV158:EF158))</f>
        <v/>
      </c>
      <c r="AI158" t="str">
        <f>IF($B158="","",SUM('entri hasil dari isian siswa'!EG158:ET158))</f>
        <v/>
      </c>
      <c r="AJ158" t="str">
        <f>IF($B158="","",SUM('entri hasil dari isian siswa'!EU158:FH158))</f>
        <v/>
      </c>
      <c r="AK158" t="str">
        <f>IF($B158="","",SUM('entri hasil dari isian siswa'!FI158:FV158))</f>
        <v/>
      </c>
      <c r="AL158" t="str">
        <f>IF($B158="","",SUM('entri hasil dari isian siswa'!FW158:GJ158))</f>
        <v/>
      </c>
      <c r="AM158" t="str">
        <f>IF($B158="","",SUM('entri hasil dari isian siswa'!GK158:GX158))</f>
        <v/>
      </c>
      <c r="AN158" t="str">
        <f>IF($B158="","",SUM('entri hasil dari isian siswa'!GY158:HL158))</f>
        <v/>
      </c>
      <c r="AO158" t="str">
        <f>IF($B158="","",'entri hasil dari isian siswa'!HM158+'entri hasil dari isian siswa'!HS158)</f>
        <v/>
      </c>
      <c r="AP158" t="str">
        <f>IF($B158="","",'entri hasil dari isian siswa'!HN158+'entri hasil dari isian siswa'!HT158)</f>
        <v/>
      </c>
      <c r="AQ158" t="str">
        <f>IF($B158="","",'entri hasil dari isian siswa'!HO158+'entri hasil dari isian siswa'!HU158)</f>
        <v/>
      </c>
      <c r="AR158" t="str">
        <f>IF($B158="","",'entri hasil dari isian siswa'!HP158+'entri hasil dari isian siswa'!HV158)</f>
        <v/>
      </c>
      <c r="AS158" t="str">
        <f>IF($B158="","",'entri hasil dari isian siswa'!HQ158+'entri hasil dari isian siswa'!HW158)</f>
        <v/>
      </c>
      <c r="AT158" t="str">
        <f>IF($B158="","",'entri hasil dari isian siswa'!HR158+'entri hasil dari isian siswa'!HX158)</f>
        <v/>
      </c>
      <c r="AU158" s="69" t="str">
        <f t="shared" si="59"/>
        <v/>
      </c>
      <c r="AV158" s="69" t="str">
        <f>IF($AU158="","",IFERROR(VLOOKUP($AU158,'Kunci dari RIASEC'!$J$4:$K$33,2,FALSE),""))</f>
        <v/>
      </c>
    </row>
    <row r="159" spans="1:48">
      <c r="A159">
        <f t="shared" si="48"/>
        <v>155</v>
      </c>
      <c r="B159" t="str">
        <f>IF('entri hasil dari isian siswa'!B159="","",'entri hasil dari isian siswa'!B159)</f>
        <v/>
      </c>
      <c r="C159" t="str">
        <f>IF('entri hasil dari isian siswa'!C159="","",'entri hasil dari isian siswa'!C159)</f>
        <v/>
      </c>
      <c r="D159" t="str">
        <f>IF('entri hasil dari isian siswa'!D159="","",'entri hasil dari isian siswa'!D159)</f>
        <v/>
      </c>
      <c r="E159" t="str">
        <f t="shared" si="49"/>
        <v/>
      </c>
      <c r="F159" t="str">
        <f t="shared" si="50"/>
        <v/>
      </c>
      <c r="G159" t="str">
        <f t="shared" si="51"/>
        <v/>
      </c>
      <c r="H159" t="str">
        <f t="shared" si="52"/>
        <v/>
      </c>
      <c r="I159" t="str">
        <f t="shared" si="53"/>
        <v/>
      </c>
      <c r="J159" t="str">
        <f t="shared" si="54"/>
        <v/>
      </c>
      <c r="K159" t="str">
        <f>IF($V159&lt;&gt;"OK","",RANK(E159,$E159:$J159,0)+COUNTIF($E159:E159,E159)-1)</f>
        <v/>
      </c>
      <c r="L159" t="str">
        <f>IF($V159&lt;&gt;"OK","",RANK(F159,$E159:$J159,0)+COUNTIF($E159:F159,F159)-1)</f>
        <v/>
      </c>
      <c r="M159" t="str">
        <f>IF($V159&lt;&gt;"OK","",RANK(G159,$E159:$J159,0)+COUNTIF($E159:G159,G159)-1)</f>
        <v/>
      </c>
      <c r="N159" t="str">
        <f>IF($V159&lt;&gt;"OK","",RANK(H159,$E159:$J159,0)+COUNTIF($E159:H159,H159)-1)</f>
        <v/>
      </c>
      <c r="O159" t="str">
        <f>IF($V159&lt;&gt;"OK","",RANK(I159,$E159:$J159,0)+COUNTIF($E159:I159,I159)-1)</f>
        <v/>
      </c>
      <c r="P159" t="str">
        <f>IF($V159&lt;&gt;"OK","",RANK(J159,$E159:$J159,0)+COUNTIF($E159:J159,J159)-1)</f>
        <v/>
      </c>
      <c r="Q159" t="str">
        <f t="shared" si="55"/>
        <v/>
      </c>
      <c r="R159" t="str">
        <f t="shared" si="56"/>
        <v/>
      </c>
      <c r="S159" t="str">
        <f t="shared" si="57"/>
        <v/>
      </c>
      <c r="T159" t="str">
        <f t="shared" si="58"/>
        <v/>
      </c>
      <c r="U159" s="1" t="str">
        <f>IF($T159="","",IFERROR(VLOOKUP($T159,'Kunci dari RIASEC'!$A$4:$B$123,2,FALSE),"Rekomendasi belum tersedia"))</f>
        <v/>
      </c>
      <c r="V159" t="str">
        <f>IF('entri hasil dari isian siswa'!B159="","",'entri hasil dari isian siswa'!HY159)</f>
        <v/>
      </c>
      <c r="W159" t="str">
        <f>IF($B159="","",SUM('entri hasil dari isian siswa'!E159:O159))</f>
        <v/>
      </c>
      <c r="X159" t="str">
        <f>IF($B159="","",SUM('entri hasil dari isian siswa'!P159:Z159))</f>
        <v/>
      </c>
      <c r="Y159" t="str">
        <f>IF($B159="","",SUM('entri hasil dari isian siswa'!AA159:AK159))</f>
        <v/>
      </c>
      <c r="Z159" t="str">
        <f>IF($B159="","",SUM('entri hasil dari isian siswa'!AL159:AV159))</f>
        <v/>
      </c>
      <c r="AA159" t="str">
        <f>IF($B159="","",SUM('entri hasil dari isian siswa'!AW159:BG159))</f>
        <v/>
      </c>
      <c r="AB159" t="str">
        <f>IF($B159="","",SUM('entri hasil dari isian siswa'!BH159:BR159))</f>
        <v/>
      </c>
      <c r="AC159" t="str">
        <f>IF($B159="","",SUM('entri hasil dari isian siswa'!BS159:CC159))</f>
        <v/>
      </c>
      <c r="AD159" t="str">
        <f>IF($B159="","",SUM('entri hasil dari isian siswa'!CD159:CN159))</f>
        <v/>
      </c>
      <c r="AE159" t="str">
        <f>IF($B159="","",SUM('entri hasil dari isian siswa'!CO159:CY159))</f>
        <v/>
      </c>
      <c r="AF159" t="str">
        <f>IF($B159="","",SUM('entri hasil dari isian siswa'!CZ159:DJ159))</f>
        <v/>
      </c>
      <c r="AG159" t="str">
        <f>IF($B159="","",SUM('entri hasil dari isian siswa'!DK159:DU159))</f>
        <v/>
      </c>
      <c r="AH159" t="str">
        <f>IF($B159="","",SUM('entri hasil dari isian siswa'!DV159:EF159))</f>
        <v/>
      </c>
      <c r="AI159" t="str">
        <f>IF($B159="","",SUM('entri hasil dari isian siswa'!EG159:ET159))</f>
        <v/>
      </c>
      <c r="AJ159" t="str">
        <f>IF($B159="","",SUM('entri hasil dari isian siswa'!EU159:FH159))</f>
        <v/>
      </c>
      <c r="AK159" t="str">
        <f>IF($B159="","",SUM('entri hasil dari isian siswa'!FI159:FV159))</f>
        <v/>
      </c>
      <c r="AL159" t="str">
        <f>IF($B159="","",SUM('entri hasil dari isian siswa'!FW159:GJ159))</f>
        <v/>
      </c>
      <c r="AM159" t="str">
        <f>IF($B159="","",SUM('entri hasil dari isian siswa'!GK159:GX159))</f>
        <v/>
      </c>
      <c r="AN159" t="str">
        <f>IF($B159="","",SUM('entri hasil dari isian siswa'!GY159:HL159))</f>
        <v/>
      </c>
      <c r="AO159" t="str">
        <f>IF($B159="","",'entri hasil dari isian siswa'!HM159+'entri hasil dari isian siswa'!HS159)</f>
        <v/>
      </c>
      <c r="AP159" t="str">
        <f>IF($B159="","",'entri hasil dari isian siswa'!HN159+'entri hasil dari isian siswa'!HT159)</f>
        <v/>
      </c>
      <c r="AQ159" t="str">
        <f>IF($B159="","",'entri hasil dari isian siswa'!HO159+'entri hasil dari isian siswa'!HU159)</f>
        <v/>
      </c>
      <c r="AR159" t="str">
        <f>IF($B159="","",'entri hasil dari isian siswa'!HP159+'entri hasil dari isian siswa'!HV159)</f>
        <v/>
      </c>
      <c r="AS159" t="str">
        <f>IF($B159="","",'entri hasil dari isian siswa'!HQ159+'entri hasil dari isian siswa'!HW159)</f>
        <v/>
      </c>
      <c r="AT159" t="str">
        <f>IF($B159="","",'entri hasil dari isian siswa'!HR159+'entri hasil dari isian siswa'!HX159)</f>
        <v/>
      </c>
      <c r="AU159" s="69" t="str">
        <f t="shared" si="59"/>
        <v/>
      </c>
      <c r="AV159" s="69" t="str">
        <f>IF($AU159="","",IFERROR(VLOOKUP($AU159,'Kunci dari RIASEC'!$J$4:$K$33,2,FALSE),""))</f>
        <v/>
      </c>
    </row>
    <row r="160" spans="1:48">
      <c r="A160">
        <f t="shared" si="48"/>
        <v>156</v>
      </c>
      <c r="B160" t="str">
        <f>IF('entri hasil dari isian siswa'!B160="","",'entri hasil dari isian siswa'!B160)</f>
        <v/>
      </c>
      <c r="C160" t="str">
        <f>IF('entri hasil dari isian siswa'!C160="","",'entri hasil dari isian siswa'!C160)</f>
        <v/>
      </c>
      <c r="D160" t="str">
        <f>IF('entri hasil dari isian siswa'!D160="","",'entri hasil dari isian siswa'!D160)</f>
        <v/>
      </c>
      <c r="E160" t="str">
        <f t="shared" si="49"/>
        <v/>
      </c>
      <c r="F160" t="str">
        <f t="shared" si="50"/>
        <v/>
      </c>
      <c r="G160" t="str">
        <f t="shared" si="51"/>
        <v/>
      </c>
      <c r="H160" t="str">
        <f t="shared" si="52"/>
        <v/>
      </c>
      <c r="I160" t="str">
        <f t="shared" si="53"/>
        <v/>
      </c>
      <c r="J160" t="str">
        <f t="shared" si="54"/>
        <v/>
      </c>
      <c r="K160" t="str">
        <f>IF($V160&lt;&gt;"OK","",RANK(E160,$E160:$J160,0)+COUNTIF($E160:E160,E160)-1)</f>
        <v/>
      </c>
      <c r="L160" t="str">
        <f>IF($V160&lt;&gt;"OK","",RANK(F160,$E160:$J160,0)+COUNTIF($E160:F160,F160)-1)</f>
        <v/>
      </c>
      <c r="M160" t="str">
        <f>IF($V160&lt;&gt;"OK","",RANK(G160,$E160:$J160,0)+COUNTIF($E160:G160,G160)-1)</f>
        <v/>
      </c>
      <c r="N160" t="str">
        <f>IF($V160&lt;&gt;"OK","",RANK(H160,$E160:$J160,0)+COUNTIF($E160:H160,H160)-1)</f>
        <v/>
      </c>
      <c r="O160" t="str">
        <f>IF($V160&lt;&gt;"OK","",RANK(I160,$E160:$J160,0)+COUNTIF($E160:I160,I160)-1)</f>
        <v/>
      </c>
      <c r="P160" t="str">
        <f>IF($V160&lt;&gt;"OK","",RANK(J160,$E160:$J160,0)+COUNTIF($E160:J160,J160)-1)</f>
        <v/>
      </c>
      <c r="Q160" t="str">
        <f t="shared" si="55"/>
        <v/>
      </c>
      <c r="R160" t="str">
        <f t="shared" si="56"/>
        <v/>
      </c>
      <c r="S160" t="str">
        <f t="shared" si="57"/>
        <v/>
      </c>
      <c r="T160" t="str">
        <f t="shared" si="58"/>
        <v/>
      </c>
      <c r="U160" s="1" t="str">
        <f>IF($T160="","",IFERROR(VLOOKUP($T160,'Kunci dari RIASEC'!$A$4:$B$123,2,FALSE),"Rekomendasi belum tersedia"))</f>
        <v/>
      </c>
      <c r="V160" t="str">
        <f>IF('entri hasil dari isian siswa'!B160="","",'entri hasil dari isian siswa'!HY160)</f>
        <v/>
      </c>
      <c r="W160" t="str">
        <f>IF($B160="","",SUM('entri hasil dari isian siswa'!E160:O160))</f>
        <v/>
      </c>
      <c r="X160" t="str">
        <f>IF($B160="","",SUM('entri hasil dari isian siswa'!P160:Z160))</f>
        <v/>
      </c>
      <c r="Y160" t="str">
        <f>IF($B160="","",SUM('entri hasil dari isian siswa'!AA160:AK160))</f>
        <v/>
      </c>
      <c r="Z160" t="str">
        <f>IF($B160="","",SUM('entri hasil dari isian siswa'!AL160:AV160))</f>
        <v/>
      </c>
      <c r="AA160" t="str">
        <f>IF($B160="","",SUM('entri hasil dari isian siswa'!AW160:BG160))</f>
        <v/>
      </c>
      <c r="AB160" t="str">
        <f>IF($B160="","",SUM('entri hasil dari isian siswa'!BH160:BR160))</f>
        <v/>
      </c>
      <c r="AC160" t="str">
        <f>IF($B160="","",SUM('entri hasil dari isian siswa'!BS160:CC160))</f>
        <v/>
      </c>
      <c r="AD160" t="str">
        <f>IF($B160="","",SUM('entri hasil dari isian siswa'!CD160:CN160))</f>
        <v/>
      </c>
      <c r="AE160" t="str">
        <f>IF($B160="","",SUM('entri hasil dari isian siswa'!CO160:CY160))</f>
        <v/>
      </c>
      <c r="AF160" t="str">
        <f>IF($B160="","",SUM('entri hasil dari isian siswa'!CZ160:DJ160))</f>
        <v/>
      </c>
      <c r="AG160" t="str">
        <f>IF($B160="","",SUM('entri hasil dari isian siswa'!DK160:DU160))</f>
        <v/>
      </c>
      <c r="AH160" t="str">
        <f>IF($B160="","",SUM('entri hasil dari isian siswa'!DV160:EF160))</f>
        <v/>
      </c>
      <c r="AI160" t="str">
        <f>IF($B160="","",SUM('entri hasil dari isian siswa'!EG160:ET160))</f>
        <v/>
      </c>
      <c r="AJ160" t="str">
        <f>IF($B160="","",SUM('entri hasil dari isian siswa'!EU160:FH160))</f>
        <v/>
      </c>
      <c r="AK160" t="str">
        <f>IF($B160="","",SUM('entri hasil dari isian siswa'!FI160:FV160))</f>
        <v/>
      </c>
      <c r="AL160" t="str">
        <f>IF($B160="","",SUM('entri hasil dari isian siswa'!FW160:GJ160))</f>
        <v/>
      </c>
      <c r="AM160" t="str">
        <f>IF($B160="","",SUM('entri hasil dari isian siswa'!GK160:GX160))</f>
        <v/>
      </c>
      <c r="AN160" t="str">
        <f>IF($B160="","",SUM('entri hasil dari isian siswa'!GY160:HL160))</f>
        <v/>
      </c>
      <c r="AO160" t="str">
        <f>IF($B160="","",'entri hasil dari isian siswa'!HM160+'entri hasil dari isian siswa'!HS160)</f>
        <v/>
      </c>
      <c r="AP160" t="str">
        <f>IF($B160="","",'entri hasil dari isian siswa'!HN160+'entri hasil dari isian siswa'!HT160)</f>
        <v/>
      </c>
      <c r="AQ160" t="str">
        <f>IF($B160="","",'entri hasil dari isian siswa'!HO160+'entri hasil dari isian siswa'!HU160)</f>
        <v/>
      </c>
      <c r="AR160" t="str">
        <f>IF($B160="","",'entri hasil dari isian siswa'!HP160+'entri hasil dari isian siswa'!HV160)</f>
        <v/>
      </c>
      <c r="AS160" t="str">
        <f>IF($B160="","",'entri hasil dari isian siswa'!HQ160+'entri hasil dari isian siswa'!HW160)</f>
        <v/>
      </c>
      <c r="AT160" t="str">
        <f>IF($B160="","",'entri hasil dari isian siswa'!HR160+'entri hasil dari isian siswa'!HX160)</f>
        <v/>
      </c>
      <c r="AU160" s="69" t="str">
        <f t="shared" si="59"/>
        <v/>
      </c>
      <c r="AV160" s="69" t="str">
        <f>IF($AU160="","",IFERROR(VLOOKUP($AU160,'Kunci dari RIASEC'!$J$4:$K$33,2,FALSE),""))</f>
        <v/>
      </c>
    </row>
    <row r="161" spans="1:48">
      <c r="A161">
        <f t="shared" si="48"/>
        <v>157</v>
      </c>
      <c r="B161" t="str">
        <f>IF('entri hasil dari isian siswa'!B161="","",'entri hasil dari isian siswa'!B161)</f>
        <v/>
      </c>
      <c r="C161" t="str">
        <f>IF('entri hasil dari isian siswa'!C161="","",'entri hasil dari isian siswa'!C161)</f>
        <v/>
      </c>
      <c r="D161" t="str">
        <f>IF('entri hasil dari isian siswa'!D161="","",'entri hasil dari isian siswa'!D161)</f>
        <v/>
      </c>
      <c r="E161" t="str">
        <f t="shared" si="49"/>
        <v/>
      </c>
      <c r="F161" t="str">
        <f t="shared" si="50"/>
        <v/>
      </c>
      <c r="G161" t="str">
        <f t="shared" si="51"/>
        <v/>
      </c>
      <c r="H161" t="str">
        <f t="shared" si="52"/>
        <v/>
      </c>
      <c r="I161" t="str">
        <f t="shared" si="53"/>
        <v/>
      </c>
      <c r="J161" t="str">
        <f t="shared" si="54"/>
        <v/>
      </c>
      <c r="K161" t="str">
        <f>IF($V161&lt;&gt;"OK","",RANK(E161,$E161:$J161,0)+COUNTIF($E161:E161,E161)-1)</f>
        <v/>
      </c>
      <c r="L161" t="str">
        <f>IF($V161&lt;&gt;"OK","",RANK(F161,$E161:$J161,0)+COUNTIF($E161:F161,F161)-1)</f>
        <v/>
      </c>
      <c r="M161" t="str">
        <f>IF($V161&lt;&gt;"OK","",RANK(G161,$E161:$J161,0)+COUNTIF($E161:G161,G161)-1)</f>
        <v/>
      </c>
      <c r="N161" t="str">
        <f>IF($V161&lt;&gt;"OK","",RANK(H161,$E161:$J161,0)+COUNTIF($E161:H161,H161)-1)</f>
        <v/>
      </c>
      <c r="O161" t="str">
        <f>IF($V161&lt;&gt;"OK","",RANK(I161,$E161:$J161,0)+COUNTIF($E161:I161,I161)-1)</f>
        <v/>
      </c>
      <c r="P161" t="str">
        <f>IF($V161&lt;&gt;"OK","",RANK(J161,$E161:$J161,0)+COUNTIF($E161:J161,J161)-1)</f>
        <v/>
      </c>
      <c r="Q161" t="str">
        <f t="shared" si="55"/>
        <v/>
      </c>
      <c r="R161" t="str">
        <f t="shared" si="56"/>
        <v/>
      </c>
      <c r="S161" t="str">
        <f t="shared" si="57"/>
        <v/>
      </c>
      <c r="T161" t="str">
        <f t="shared" si="58"/>
        <v/>
      </c>
      <c r="U161" s="1" t="str">
        <f>IF($T161="","",IFERROR(VLOOKUP($T161,'Kunci dari RIASEC'!$A$4:$B$123,2,FALSE),"Rekomendasi belum tersedia"))</f>
        <v/>
      </c>
      <c r="V161" t="str">
        <f>IF('entri hasil dari isian siswa'!B161="","",'entri hasil dari isian siswa'!HY161)</f>
        <v/>
      </c>
      <c r="W161" t="str">
        <f>IF($B161="","",SUM('entri hasil dari isian siswa'!E161:O161))</f>
        <v/>
      </c>
      <c r="X161" t="str">
        <f>IF($B161="","",SUM('entri hasil dari isian siswa'!P161:Z161))</f>
        <v/>
      </c>
      <c r="Y161" t="str">
        <f>IF($B161="","",SUM('entri hasil dari isian siswa'!AA161:AK161))</f>
        <v/>
      </c>
      <c r="Z161" t="str">
        <f>IF($B161="","",SUM('entri hasil dari isian siswa'!AL161:AV161))</f>
        <v/>
      </c>
      <c r="AA161" t="str">
        <f>IF($B161="","",SUM('entri hasil dari isian siswa'!AW161:BG161))</f>
        <v/>
      </c>
      <c r="AB161" t="str">
        <f>IF($B161="","",SUM('entri hasil dari isian siswa'!BH161:BR161))</f>
        <v/>
      </c>
      <c r="AC161" t="str">
        <f>IF($B161="","",SUM('entri hasil dari isian siswa'!BS161:CC161))</f>
        <v/>
      </c>
      <c r="AD161" t="str">
        <f>IF($B161="","",SUM('entri hasil dari isian siswa'!CD161:CN161))</f>
        <v/>
      </c>
      <c r="AE161" t="str">
        <f>IF($B161="","",SUM('entri hasil dari isian siswa'!CO161:CY161))</f>
        <v/>
      </c>
      <c r="AF161" t="str">
        <f>IF($B161="","",SUM('entri hasil dari isian siswa'!CZ161:DJ161))</f>
        <v/>
      </c>
      <c r="AG161" t="str">
        <f>IF($B161="","",SUM('entri hasil dari isian siswa'!DK161:DU161))</f>
        <v/>
      </c>
      <c r="AH161" t="str">
        <f>IF($B161="","",SUM('entri hasil dari isian siswa'!DV161:EF161))</f>
        <v/>
      </c>
      <c r="AI161" t="str">
        <f>IF($B161="","",SUM('entri hasil dari isian siswa'!EG161:ET161))</f>
        <v/>
      </c>
      <c r="AJ161" t="str">
        <f>IF($B161="","",SUM('entri hasil dari isian siswa'!EU161:FH161))</f>
        <v/>
      </c>
      <c r="AK161" t="str">
        <f>IF($B161="","",SUM('entri hasil dari isian siswa'!FI161:FV161))</f>
        <v/>
      </c>
      <c r="AL161" t="str">
        <f>IF($B161="","",SUM('entri hasil dari isian siswa'!FW161:GJ161))</f>
        <v/>
      </c>
      <c r="AM161" t="str">
        <f>IF($B161="","",SUM('entri hasil dari isian siswa'!GK161:GX161))</f>
        <v/>
      </c>
      <c r="AN161" t="str">
        <f>IF($B161="","",SUM('entri hasil dari isian siswa'!GY161:HL161))</f>
        <v/>
      </c>
      <c r="AO161" t="str">
        <f>IF($B161="","",'entri hasil dari isian siswa'!HM161+'entri hasil dari isian siswa'!HS161)</f>
        <v/>
      </c>
      <c r="AP161" t="str">
        <f>IF($B161="","",'entri hasil dari isian siswa'!HN161+'entri hasil dari isian siswa'!HT161)</f>
        <v/>
      </c>
      <c r="AQ161" t="str">
        <f>IF($B161="","",'entri hasil dari isian siswa'!HO161+'entri hasil dari isian siswa'!HU161)</f>
        <v/>
      </c>
      <c r="AR161" t="str">
        <f>IF($B161="","",'entri hasil dari isian siswa'!HP161+'entri hasil dari isian siswa'!HV161)</f>
        <v/>
      </c>
      <c r="AS161" t="str">
        <f>IF($B161="","",'entri hasil dari isian siswa'!HQ161+'entri hasil dari isian siswa'!HW161)</f>
        <v/>
      </c>
      <c r="AT161" t="str">
        <f>IF($B161="","",'entri hasil dari isian siswa'!HR161+'entri hasil dari isian siswa'!HX161)</f>
        <v/>
      </c>
      <c r="AU161" s="69" t="str">
        <f t="shared" si="59"/>
        <v/>
      </c>
      <c r="AV161" s="69" t="str">
        <f>IF($AU161="","",IFERROR(VLOOKUP($AU161,'Kunci dari RIASEC'!$J$4:$K$33,2,FALSE),""))</f>
        <v/>
      </c>
    </row>
    <row r="162" spans="1:48">
      <c r="A162">
        <f t="shared" si="48"/>
        <v>158</v>
      </c>
      <c r="B162" t="str">
        <f>IF('entri hasil dari isian siswa'!B162="","",'entri hasil dari isian siswa'!B162)</f>
        <v/>
      </c>
      <c r="C162" t="str">
        <f>IF('entri hasil dari isian siswa'!C162="","",'entri hasil dari isian siswa'!C162)</f>
        <v/>
      </c>
      <c r="D162" t="str">
        <f>IF('entri hasil dari isian siswa'!D162="","",'entri hasil dari isian siswa'!D162)</f>
        <v/>
      </c>
      <c r="E162" t="str">
        <f t="shared" si="49"/>
        <v/>
      </c>
      <c r="F162" t="str">
        <f t="shared" si="50"/>
        <v/>
      </c>
      <c r="G162" t="str">
        <f t="shared" si="51"/>
        <v/>
      </c>
      <c r="H162" t="str">
        <f t="shared" si="52"/>
        <v/>
      </c>
      <c r="I162" t="str">
        <f t="shared" si="53"/>
        <v/>
      </c>
      <c r="J162" t="str">
        <f t="shared" si="54"/>
        <v/>
      </c>
      <c r="K162" t="str">
        <f>IF($V162&lt;&gt;"OK","",RANK(E162,$E162:$J162,0)+COUNTIF($E162:E162,E162)-1)</f>
        <v/>
      </c>
      <c r="L162" t="str">
        <f>IF($V162&lt;&gt;"OK","",RANK(F162,$E162:$J162,0)+COUNTIF($E162:F162,F162)-1)</f>
        <v/>
      </c>
      <c r="M162" t="str">
        <f>IF($V162&lt;&gt;"OK","",RANK(G162,$E162:$J162,0)+COUNTIF($E162:G162,G162)-1)</f>
        <v/>
      </c>
      <c r="N162" t="str">
        <f>IF($V162&lt;&gt;"OK","",RANK(H162,$E162:$J162,0)+COUNTIF($E162:H162,H162)-1)</f>
        <v/>
      </c>
      <c r="O162" t="str">
        <f>IF($V162&lt;&gt;"OK","",RANK(I162,$E162:$J162,0)+COUNTIF($E162:I162,I162)-1)</f>
        <v/>
      </c>
      <c r="P162" t="str">
        <f>IF($V162&lt;&gt;"OK","",RANK(J162,$E162:$J162,0)+COUNTIF($E162:J162,J162)-1)</f>
        <v/>
      </c>
      <c r="Q162" t="str">
        <f t="shared" si="55"/>
        <v/>
      </c>
      <c r="R162" t="str">
        <f t="shared" si="56"/>
        <v/>
      </c>
      <c r="S162" t="str">
        <f t="shared" si="57"/>
        <v/>
      </c>
      <c r="T162" t="str">
        <f t="shared" si="58"/>
        <v/>
      </c>
      <c r="U162" s="1" t="str">
        <f>IF($T162="","",IFERROR(VLOOKUP($T162,'Kunci dari RIASEC'!$A$4:$B$123,2,FALSE),"Rekomendasi belum tersedia"))</f>
        <v/>
      </c>
      <c r="V162" t="str">
        <f>IF('entri hasil dari isian siswa'!B162="","",'entri hasil dari isian siswa'!HY162)</f>
        <v/>
      </c>
      <c r="W162" t="str">
        <f>IF($B162="","",SUM('entri hasil dari isian siswa'!E162:O162))</f>
        <v/>
      </c>
      <c r="X162" t="str">
        <f>IF($B162="","",SUM('entri hasil dari isian siswa'!P162:Z162))</f>
        <v/>
      </c>
      <c r="Y162" t="str">
        <f>IF($B162="","",SUM('entri hasil dari isian siswa'!AA162:AK162))</f>
        <v/>
      </c>
      <c r="Z162" t="str">
        <f>IF($B162="","",SUM('entri hasil dari isian siswa'!AL162:AV162))</f>
        <v/>
      </c>
      <c r="AA162" t="str">
        <f>IF($B162="","",SUM('entri hasil dari isian siswa'!AW162:BG162))</f>
        <v/>
      </c>
      <c r="AB162" t="str">
        <f>IF($B162="","",SUM('entri hasil dari isian siswa'!BH162:BR162))</f>
        <v/>
      </c>
      <c r="AC162" t="str">
        <f>IF($B162="","",SUM('entri hasil dari isian siswa'!BS162:CC162))</f>
        <v/>
      </c>
      <c r="AD162" t="str">
        <f>IF($B162="","",SUM('entri hasil dari isian siswa'!CD162:CN162))</f>
        <v/>
      </c>
      <c r="AE162" t="str">
        <f>IF($B162="","",SUM('entri hasil dari isian siswa'!CO162:CY162))</f>
        <v/>
      </c>
      <c r="AF162" t="str">
        <f>IF($B162="","",SUM('entri hasil dari isian siswa'!CZ162:DJ162))</f>
        <v/>
      </c>
      <c r="AG162" t="str">
        <f>IF($B162="","",SUM('entri hasil dari isian siswa'!DK162:DU162))</f>
        <v/>
      </c>
      <c r="AH162" t="str">
        <f>IF($B162="","",SUM('entri hasil dari isian siswa'!DV162:EF162))</f>
        <v/>
      </c>
      <c r="AI162" t="str">
        <f>IF($B162="","",SUM('entri hasil dari isian siswa'!EG162:ET162))</f>
        <v/>
      </c>
      <c r="AJ162" t="str">
        <f>IF($B162="","",SUM('entri hasil dari isian siswa'!EU162:FH162))</f>
        <v/>
      </c>
      <c r="AK162" t="str">
        <f>IF($B162="","",SUM('entri hasil dari isian siswa'!FI162:FV162))</f>
        <v/>
      </c>
      <c r="AL162" t="str">
        <f>IF($B162="","",SUM('entri hasil dari isian siswa'!FW162:GJ162))</f>
        <v/>
      </c>
      <c r="AM162" t="str">
        <f>IF($B162="","",SUM('entri hasil dari isian siswa'!GK162:GX162))</f>
        <v/>
      </c>
      <c r="AN162" t="str">
        <f>IF($B162="","",SUM('entri hasil dari isian siswa'!GY162:HL162))</f>
        <v/>
      </c>
      <c r="AO162" t="str">
        <f>IF($B162="","",'entri hasil dari isian siswa'!HM162+'entri hasil dari isian siswa'!HS162)</f>
        <v/>
      </c>
      <c r="AP162" t="str">
        <f>IF($B162="","",'entri hasil dari isian siswa'!HN162+'entri hasil dari isian siswa'!HT162)</f>
        <v/>
      </c>
      <c r="AQ162" t="str">
        <f>IF($B162="","",'entri hasil dari isian siswa'!HO162+'entri hasil dari isian siswa'!HU162)</f>
        <v/>
      </c>
      <c r="AR162" t="str">
        <f>IF($B162="","",'entri hasil dari isian siswa'!HP162+'entri hasil dari isian siswa'!HV162)</f>
        <v/>
      </c>
      <c r="AS162" t="str">
        <f>IF($B162="","",'entri hasil dari isian siswa'!HQ162+'entri hasil dari isian siswa'!HW162)</f>
        <v/>
      </c>
      <c r="AT162" t="str">
        <f>IF($B162="","",'entri hasil dari isian siswa'!HR162+'entri hasil dari isian siswa'!HX162)</f>
        <v/>
      </c>
      <c r="AU162" s="69" t="str">
        <f t="shared" si="59"/>
        <v/>
      </c>
      <c r="AV162" s="69" t="str">
        <f>IF($AU162="","",IFERROR(VLOOKUP($AU162,'Kunci dari RIASEC'!$J$4:$K$33,2,FALSE),""))</f>
        <v/>
      </c>
    </row>
    <row r="163" spans="1:48">
      <c r="A163">
        <f t="shared" si="48"/>
        <v>159</v>
      </c>
      <c r="B163" t="str">
        <f>IF('entri hasil dari isian siswa'!B163="","",'entri hasil dari isian siswa'!B163)</f>
        <v/>
      </c>
      <c r="C163" t="str">
        <f>IF('entri hasil dari isian siswa'!C163="","",'entri hasil dari isian siswa'!C163)</f>
        <v/>
      </c>
      <c r="D163" t="str">
        <f>IF('entri hasil dari isian siswa'!D163="","",'entri hasil dari isian siswa'!D163)</f>
        <v/>
      </c>
      <c r="E163" t="str">
        <f t="shared" si="49"/>
        <v/>
      </c>
      <c r="F163" t="str">
        <f t="shared" si="50"/>
        <v/>
      </c>
      <c r="G163" t="str">
        <f t="shared" si="51"/>
        <v/>
      </c>
      <c r="H163" t="str">
        <f t="shared" si="52"/>
        <v/>
      </c>
      <c r="I163" t="str">
        <f t="shared" si="53"/>
        <v/>
      </c>
      <c r="J163" t="str">
        <f t="shared" si="54"/>
        <v/>
      </c>
      <c r="K163" t="str">
        <f>IF($V163&lt;&gt;"OK","",RANK(E163,$E163:$J163,0)+COUNTIF($E163:E163,E163)-1)</f>
        <v/>
      </c>
      <c r="L163" t="str">
        <f>IF($V163&lt;&gt;"OK","",RANK(F163,$E163:$J163,0)+COUNTIF($E163:F163,F163)-1)</f>
        <v/>
      </c>
      <c r="M163" t="str">
        <f>IF($V163&lt;&gt;"OK","",RANK(G163,$E163:$J163,0)+COUNTIF($E163:G163,G163)-1)</f>
        <v/>
      </c>
      <c r="N163" t="str">
        <f>IF($V163&lt;&gt;"OK","",RANK(H163,$E163:$J163,0)+COUNTIF($E163:H163,H163)-1)</f>
        <v/>
      </c>
      <c r="O163" t="str">
        <f>IF($V163&lt;&gt;"OK","",RANK(I163,$E163:$J163,0)+COUNTIF($E163:I163,I163)-1)</f>
        <v/>
      </c>
      <c r="P163" t="str">
        <f>IF($V163&lt;&gt;"OK","",RANK(J163,$E163:$J163,0)+COUNTIF($E163:J163,J163)-1)</f>
        <v/>
      </c>
      <c r="Q163" t="str">
        <f t="shared" si="55"/>
        <v/>
      </c>
      <c r="R163" t="str">
        <f t="shared" si="56"/>
        <v/>
      </c>
      <c r="S163" t="str">
        <f t="shared" si="57"/>
        <v/>
      </c>
      <c r="T163" t="str">
        <f t="shared" si="58"/>
        <v/>
      </c>
      <c r="U163" s="1" t="str">
        <f>IF($T163="","",IFERROR(VLOOKUP($T163,'Kunci dari RIASEC'!$A$4:$B$123,2,FALSE),"Rekomendasi belum tersedia"))</f>
        <v/>
      </c>
      <c r="V163" t="str">
        <f>IF('entri hasil dari isian siswa'!B163="","",'entri hasil dari isian siswa'!HY163)</f>
        <v/>
      </c>
      <c r="W163" t="str">
        <f>IF($B163="","",SUM('entri hasil dari isian siswa'!E163:O163))</f>
        <v/>
      </c>
      <c r="X163" t="str">
        <f>IF($B163="","",SUM('entri hasil dari isian siswa'!P163:Z163))</f>
        <v/>
      </c>
      <c r="Y163" t="str">
        <f>IF($B163="","",SUM('entri hasil dari isian siswa'!AA163:AK163))</f>
        <v/>
      </c>
      <c r="Z163" t="str">
        <f>IF($B163="","",SUM('entri hasil dari isian siswa'!AL163:AV163))</f>
        <v/>
      </c>
      <c r="AA163" t="str">
        <f>IF($B163="","",SUM('entri hasil dari isian siswa'!AW163:BG163))</f>
        <v/>
      </c>
      <c r="AB163" t="str">
        <f>IF($B163="","",SUM('entri hasil dari isian siswa'!BH163:BR163))</f>
        <v/>
      </c>
      <c r="AC163" t="str">
        <f>IF($B163="","",SUM('entri hasil dari isian siswa'!BS163:CC163))</f>
        <v/>
      </c>
      <c r="AD163" t="str">
        <f>IF($B163="","",SUM('entri hasil dari isian siswa'!CD163:CN163))</f>
        <v/>
      </c>
      <c r="AE163" t="str">
        <f>IF($B163="","",SUM('entri hasil dari isian siswa'!CO163:CY163))</f>
        <v/>
      </c>
      <c r="AF163" t="str">
        <f>IF($B163="","",SUM('entri hasil dari isian siswa'!CZ163:DJ163))</f>
        <v/>
      </c>
      <c r="AG163" t="str">
        <f>IF($B163="","",SUM('entri hasil dari isian siswa'!DK163:DU163))</f>
        <v/>
      </c>
      <c r="AH163" t="str">
        <f>IF($B163="","",SUM('entri hasil dari isian siswa'!DV163:EF163))</f>
        <v/>
      </c>
      <c r="AI163" t="str">
        <f>IF($B163="","",SUM('entri hasil dari isian siswa'!EG163:ET163))</f>
        <v/>
      </c>
      <c r="AJ163" t="str">
        <f>IF($B163="","",SUM('entri hasil dari isian siswa'!EU163:FH163))</f>
        <v/>
      </c>
      <c r="AK163" t="str">
        <f>IF($B163="","",SUM('entri hasil dari isian siswa'!FI163:FV163))</f>
        <v/>
      </c>
      <c r="AL163" t="str">
        <f>IF($B163="","",SUM('entri hasil dari isian siswa'!FW163:GJ163))</f>
        <v/>
      </c>
      <c r="AM163" t="str">
        <f>IF($B163="","",SUM('entri hasil dari isian siswa'!GK163:GX163))</f>
        <v/>
      </c>
      <c r="AN163" t="str">
        <f>IF($B163="","",SUM('entri hasil dari isian siswa'!GY163:HL163))</f>
        <v/>
      </c>
      <c r="AO163" t="str">
        <f>IF($B163="","",'entri hasil dari isian siswa'!HM163+'entri hasil dari isian siswa'!HS163)</f>
        <v/>
      </c>
      <c r="AP163" t="str">
        <f>IF($B163="","",'entri hasil dari isian siswa'!HN163+'entri hasil dari isian siswa'!HT163)</f>
        <v/>
      </c>
      <c r="AQ163" t="str">
        <f>IF($B163="","",'entri hasil dari isian siswa'!HO163+'entri hasil dari isian siswa'!HU163)</f>
        <v/>
      </c>
      <c r="AR163" t="str">
        <f>IF($B163="","",'entri hasil dari isian siswa'!HP163+'entri hasil dari isian siswa'!HV163)</f>
        <v/>
      </c>
      <c r="AS163" t="str">
        <f>IF($B163="","",'entri hasil dari isian siswa'!HQ163+'entri hasil dari isian siswa'!HW163)</f>
        <v/>
      </c>
      <c r="AT163" t="str">
        <f>IF($B163="","",'entri hasil dari isian siswa'!HR163+'entri hasil dari isian siswa'!HX163)</f>
        <v/>
      </c>
      <c r="AU163" s="69" t="str">
        <f t="shared" si="59"/>
        <v/>
      </c>
      <c r="AV163" s="69" t="str">
        <f>IF($AU163="","",IFERROR(VLOOKUP($AU163,'Kunci dari RIASEC'!$J$4:$K$33,2,FALSE),""))</f>
        <v/>
      </c>
    </row>
    <row r="164" spans="1:48">
      <c r="A164">
        <f t="shared" si="48"/>
        <v>160</v>
      </c>
      <c r="B164" t="str">
        <f>IF('entri hasil dari isian siswa'!B164="","",'entri hasil dari isian siswa'!B164)</f>
        <v/>
      </c>
      <c r="C164" t="str">
        <f>IF('entri hasil dari isian siswa'!C164="","",'entri hasil dari isian siswa'!C164)</f>
        <v/>
      </c>
      <c r="D164" t="str">
        <f>IF('entri hasil dari isian siswa'!D164="","",'entri hasil dari isian siswa'!D164)</f>
        <v/>
      </c>
      <c r="E164" t="str">
        <f t="shared" si="49"/>
        <v/>
      </c>
      <c r="F164" t="str">
        <f t="shared" si="50"/>
        <v/>
      </c>
      <c r="G164" t="str">
        <f t="shared" si="51"/>
        <v/>
      </c>
      <c r="H164" t="str">
        <f t="shared" si="52"/>
        <v/>
      </c>
      <c r="I164" t="str">
        <f t="shared" si="53"/>
        <v/>
      </c>
      <c r="J164" t="str">
        <f t="shared" si="54"/>
        <v/>
      </c>
      <c r="K164" t="str">
        <f>IF($V164&lt;&gt;"OK","",RANK(E164,$E164:$J164,0)+COUNTIF($E164:E164,E164)-1)</f>
        <v/>
      </c>
      <c r="L164" t="str">
        <f>IF($V164&lt;&gt;"OK","",RANK(F164,$E164:$J164,0)+COUNTIF($E164:F164,F164)-1)</f>
        <v/>
      </c>
      <c r="M164" t="str">
        <f>IF($V164&lt;&gt;"OK","",RANK(G164,$E164:$J164,0)+COUNTIF($E164:G164,G164)-1)</f>
        <v/>
      </c>
      <c r="N164" t="str">
        <f>IF($V164&lt;&gt;"OK","",RANK(H164,$E164:$J164,0)+COUNTIF($E164:H164,H164)-1)</f>
        <v/>
      </c>
      <c r="O164" t="str">
        <f>IF($V164&lt;&gt;"OK","",RANK(I164,$E164:$J164,0)+COUNTIF($E164:I164,I164)-1)</f>
        <v/>
      </c>
      <c r="P164" t="str">
        <f>IF($V164&lt;&gt;"OK","",RANK(J164,$E164:$J164,0)+COUNTIF($E164:J164,J164)-1)</f>
        <v/>
      </c>
      <c r="Q164" t="str">
        <f t="shared" si="55"/>
        <v/>
      </c>
      <c r="R164" t="str">
        <f t="shared" si="56"/>
        <v/>
      </c>
      <c r="S164" t="str">
        <f t="shared" si="57"/>
        <v/>
      </c>
      <c r="T164" t="str">
        <f t="shared" si="58"/>
        <v/>
      </c>
      <c r="U164" s="1" t="str">
        <f>IF($T164="","",IFERROR(VLOOKUP($T164,'Kunci dari RIASEC'!$A$4:$B$123,2,FALSE),"Rekomendasi belum tersedia"))</f>
        <v/>
      </c>
      <c r="V164" t="str">
        <f>IF('entri hasil dari isian siswa'!B164="","",'entri hasil dari isian siswa'!HY164)</f>
        <v/>
      </c>
      <c r="W164" t="str">
        <f>IF($B164="","",SUM('entri hasil dari isian siswa'!E164:O164))</f>
        <v/>
      </c>
      <c r="X164" t="str">
        <f>IF($B164="","",SUM('entri hasil dari isian siswa'!P164:Z164))</f>
        <v/>
      </c>
      <c r="Y164" t="str">
        <f>IF($B164="","",SUM('entri hasil dari isian siswa'!AA164:AK164))</f>
        <v/>
      </c>
      <c r="Z164" t="str">
        <f>IF($B164="","",SUM('entri hasil dari isian siswa'!AL164:AV164))</f>
        <v/>
      </c>
      <c r="AA164" t="str">
        <f>IF($B164="","",SUM('entri hasil dari isian siswa'!AW164:BG164))</f>
        <v/>
      </c>
      <c r="AB164" t="str">
        <f>IF($B164="","",SUM('entri hasil dari isian siswa'!BH164:BR164))</f>
        <v/>
      </c>
      <c r="AC164" t="str">
        <f>IF($B164="","",SUM('entri hasil dari isian siswa'!BS164:CC164))</f>
        <v/>
      </c>
      <c r="AD164" t="str">
        <f>IF($B164="","",SUM('entri hasil dari isian siswa'!CD164:CN164))</f>
        <v/>
      </c>
      <c r="AE164" t="str">
        <f>IF($B164="","",SUM('entri hasil dari isian siswa'!CO164:CY164))</f>
        <v/>
      </c>
      <c r="AF164" t="str">
        <f>IF($B164="","",SUM('entri hasil dari isian siswa'!CZ164:DJ164))</f>
        <v/>
      </c>
      <c r="AG164" t="str">
        <f>IF($B164="","",SUM('entri hasil dari isian siswa'!DK164:DU164))</f>
        <v/>
      </c>
      <c r="AH164" t="str">
        <f>IF($B164="","",SUM('entri hasil dari isian siswa'!DV164:EF164))</f>
        <v/>
      </c>
      <c r="AI164" t="str">
        <f>IF($B164="","",SUM('entri hasil dari isian siswa'!EG164:ET164))</f>
        <v/>
      </c>
      <c r="AJ164" t="str">
        <f>IF($B164="","",SUM('entri hasil dari isian siswa'!EU164:FH164))</f>
        <v/>
      </c>
      <c r="AK164" t="str">
        <f>IF($B164="","",SUM('entri hasil dari isian siswa'!FI164:FV164))</f>
        <v/>
      </c>
      <c r="AL164" t="str">
        <f>IF($B164="","",SUM('entri hasil dari isian siswa'!FW164:GJ164))</f>
        <v/>
      </c>
      <c r="AM164" t="str">
        <f>IF($B164="","",SUM('entri hasil dari isian siswa'!GK164:GX164))</f>
        <v/>
      </c>
      <c r="AN164" t="str">
        <f>IF($B164="","",SUM('entri hasil dari isian siswa'!GY164:HL164))</f>
        <v/>
      </c>
      <c r="AO164" t="str">
        <f>IF($B164="","",'entri hasil dari isian siswa'!HM164+'entri hasil dari isian siswa'!HS164)</f>
        <v/>
      </c>
      <c r="AP164" t="str">
        <f>IF($B164="","",'entri hasil dari isian siswa'!HN164+'entri hasil dari isian siswa'!HT164)</f>
        <v/>
      </c>
      <c r="AQ164" t="str">
        <f>IF($B164="","",'entri hasil dari isian siswa'!HO164+'entri hasil dari isian siswa'!HU164)</f>
        <v/>
      </c>
      <c r="AR164" t="str">
        <f>IF($B164="","",'entri hasil dari isian siswa'!HP164+'entri hasil dari isian siswa'!HV164)</f>
        <v/>
      </c>
      <c r="AS164" t="str">
        <f>IF($B164="","",'entri hasil dari isian siswa'!HQ164+'entri hasil dari isian siswa'!HW164)</f>
        <v/>
      </c>
      <c r="AT164" t="str">
        <f>IF($B164="","",'entri hasil dari isian siswa'!HR164+'entri hasil dari isian siswa'!HX164)</f>
        <v/>
      </c>
      <c r="AU164" s="69" t="str">
        <f t="shared" si="59"/>
        <v/>
      </c>
      <c r="AV164" s="69" t="str">
        <f>IF($AU164="","",IFERROR(VLOOKUP($AU164,'Kunci dari RIASEC'!$J$4:$K$33,2,FALSE),""))</f>
        <v/>
      </c>
    </row>
    <row r="165" spans="1:48">
      <c r="A165">
        <f t="shared" ref="A165:A196" si="60">ROW()-4</f>
        <v>161</v>
      </c>
      <c r="B165" t="str">
        <f>IF('entri hasil dari isian siswa'!B165="","",'entri hasil dari isian siswa'!B165)</f>
        <v/>
      </c>
      <c r="C165" t="str">
        <f>IF('entri hasil dari isian siswa'!C165="","",'entri hasil dari isian siswa'!C165)</f>
        <v/>
      </c>
      <c r="D165" t="str">
        <f>IF('entri hasil dari isian siswa'!D165="","",'entri hasil dari isian siswa'!D165)</f>
        <v/>
      </c>
      <c r="E165" t="str">
        <f t="shared" ref="E165:E196" si="61">IF($B165="","",W165+AC165+AI165+AO165)</f>
        <v/>
      </c>
      <c r="F165" t="str">
        <f t="shared" ref="F165:F196" si="62">IF($B165="","",X165+AD165+AJ165+AP165)</f>
        <v/>
      </c>
      <c r="G165" t="str">
        <f t="shared" ref="G165:G196" si="63">IF($B165="","",Y165+AE165+AK165+AQ165)</f>
        <v/>
      </c>
      <c r="H165" t="str">
        <f t="shared" ref="H165:H196" si="64">IF($B165="","",Z165+AF165+AL165+AR165)</f>
        <v/>
      </c>
      <c r="I165" t="str">
        <f t="shared" ref="I165:I196" si="65">IF($B165="","",AA165+AG165+AM165+AS165)</f>
        <v/>
      </c>
      <c r="J165" t="str">
        <f t="shared" ref="J165:J196" si="66">IF($B165="","",AB165+AH165+AN165+AT165)</f>
        <v/>
      </c>
      <c r="K165" t="str">
        <f>IF($V165&lt;&gt;"OK","",RANK(E165,$E165:$J165,0)+COUNTIF($E165:E165,E165)-1)</f>
        <v/>
      </c>
      <c r="L165" t="str">
        <f>IF($V165&lt;&gt;"OK","",RANK(F165,$E165:$J165,0)+COUNTIF($E165:F165,F165)-1)</f>
        <v/>
      </c>
      <c r="M165" t="str">
        <f>IF($V165&lt;&gt;"OK","",RANK(G165,$E165:$J165,0)+COUNTIF($E165:G165,G165)-1)</f>
        <v/>
      </c>
      <c r="N165" t="str">
        <f>IF($V165&lt;&gt;"OK","",RANK(H165,$E165:$J165,0)+COUNTIF($E165:H165,H165)-1)</f>
        <v/>
      </c>
      <c r="O165" t="str">
        <f>IF($V165&lt;&gt;"OK","",RANK(I165,$E165:$J165,0)+COUNTIF($E165:I165,I165)-1)</f>
        <v/>
      </c>
      <c r="P165" t="str">
        <f>IF($V165&lt;&gt;"OK","",RANK(J165,$E165:$J165,0)+COUNTIF($E165:J165,J165)-1)</f>
        <v/>
      </c>
      <c r="Q165" t="str">
        <f t="shared" ref="Q165:Q196" si="67">IF($V165&lt;&gt;"OK","",INDEX($E$4:$J$4,1,MATCH(1,$K165:$P165,0)))</f>
        <v/>
      </c>
      <c r="R165" t="str">
        <f t="shared" ref="R165:R196" si="68">IF($V165&lt;&gt;"OK","",INDEX($E$4:$J$4,1,MATCH(2,$K165:$P165,0)))</f>
        <v/>
      </c>
      <c r="S165" t="str">
        <f t="shared" ref="S165:S196" si="69">IF($V165&lt;&gt;"OK","",INDEX($E$4:$J$4,1,MATCH(3,$K165:$P165,0)))</f>
        <v/>
      </c>
      <c r="T165" t="str">
        <f t="shared" ref="T165:T196" si="70">IF($V165&lt;&gt;"OK","",Q165&amp;R165&amp;S165)</f>
        <v/>
      </c>
      <c r="U165" s="1" t="str">
        <f>IF($T165="","",IFERROR(VLOOKUP($T165,'Kunci dari RIASEC'!$A$4:$B$123,2,FALSE),"Rekomendasi belum tersedia"))</f>
        <v/>
      </c>
      <c r="V165" t="str">
        <f>IF('entri hasil dari isian siswa'!B165="","",'entri hasil dari isian siswa'!HY165)</f>
        <v/>
      </c>
      <c r="W165" t="str">
        <f>IF($B165="","",SUM('entri hasil dari isian siswa'!E165:O165))</f>
        <v/>
      </c>
      <c r="X165" t="str">
        <f>IF($B165="","",SUM('entri hasil dari isian siswa'!P165:Z165))</f>
        <v/>
      </c>
      <c r="Y165" t="str">
        <f>IF($B165="","",SUM('entri hasil dari isian siswa'!AA165:AK165))</f>
        <v/>
      </c>
      <c r="Z165" t="str">
        <f>IF($B165="","",SUM('entri hasil dari isian siswa'!AL165:AV165))</f>
        <v/>
      </c>
      <c r="AA165" t="str">
        <f>IF($B165="","",SUM('entri hasil dari isian siswa'!AW165:BG165))</f>
        <v/>
      </c>
      <c r="AB165" t="str">
        <f>IF($B165="","",SUM('entri hasil dari isian siswa'!BH165:BR165))</f>
        <v/>
      </c>
      <c r="AC165" t="str">
        <f>IF($B165="","",SUM('entri hasil dari isian siswa'!BS165:CC165))</f>
        <v/>
      </c>
      <c r="AD165" t="str">
        <f>IF($B165="","",SUM('entri hasil dari isian siswa'!CD165:CN165))</f>
        <v/>
      </c>
      <c r="AE165" t="str">
        <f>IF($B165="","",SUM('entri hasil dari isian siswa'!CO165:CY165))</f>
        <v/>
      </c>
      <c r="AF165" t="str">
        <f>IF($B165="","",SUM('entri hasil dari isian siswa'!CZ165:DJ165))</f>
        <v/>
      </c>
      <c r="AG165" t="str">
        <f>IF($B165="","",SUM('entri hasil dari isian siswa'!DK165:DU165))</f>
        <v/>
      </c>
      <c r="AH165" t="str">
        <f>IF($B165="","",SUM('entri hasil dari isian siswa'!DV165:EF165))</f>
        <v/>
      </c>
      <c r="AI165" t="str">
        <f>IF($B165="","",SUM('entri hasil dari isian siswa'!EG165:ET165))</f>
        <v/>
      </c>
      <c r="AJ165" t="str">
        <f>IF($B165="","",SUM('entri hasil dari isian siswa'!EU165:FH165))</f>
        <v/>
      </c>
      <c r="AK165" t="str">
        <f>IF($B165="","",SUM('entri hasil dari isian siswa'!FI165:FV165))</f>
        <v/>
      </c>
      <c r="AL165" t="str">
        <f>IF($B165="","",SUM('entri hasil dari isian siswa'!FW165:GJ165))</f>
        <v/>
      </c>
      <c r="AM165" t="str">
        <f>IF($B165="","",SUM('entri hasil dari isian siswa'!GK165:GX165))</f>
        <v/>
      </c>
      <c r="AN165" t="str">
        <f>IF($B165="","",SUM('entri hasil dari isian siswa'!GY165:HL165))</f>
        <v/>
      </c>
      <c r="AO165" t="str">
        <f>IF($B165="","",'entri hasil dari isian siswa'!HM165+'entri hasil dari isian siswa'!HS165)</f>
        <v/>
      </c>
      <c r="AP165" t="str">
        <f>IF($B165="","",'entri hasil dari isian siswa'!HN165+'entri hasil dari isian siswa'!HT165)</f>
        <v/>
      </c>
      <c r="AQ165" t="str">
        <f>IF($B165="","",'entri hasil dari isian siswa'!HO165+'entri hasil dari isian siswa'!HU165)</f>
        <v/>
      </c>
      <c r="AR165" t="str">
        <f>IF($B165="","",'entri hasil dari isian siswa'!HP165+'entri hasil dari isian siswa'!HV165)</f>
        <v/>
      </c>
      <c r="AS165" t="str">
        <f>IF($B165="","",'entri hasil dari isian siswa'!HQ165+'entri hasil dari isian siswa'!HW165)</f>
        <v/>
      </c>
      <c r="AT165" t="str">
        <f>IF($B165="","",'entri hasil dari isian siswa'!HR165+'entri hasil dari isian siswa'!HX165)</f>
        <v/>
      </c>
      <c r="AU165" s="69" t="str">
        <f t="shared" ref="AU165:AU196" si="71">IF($T165="","",LEFT($T165,2))</f>
        <v/>
      </c>
      <c r="AV165" s="69" t="str">
        <f>IF($AU165="","",IFERROR(VLOOKUP($AU165,'Kunci dari RIASEC'!$J$4:$K$33,2,FALSE),""))</f>
        <v/>
      </c>
    </row>
    <row r="166" spans="1:48">
      <c r="A166">
        <f t="shared" si="60"/>
        <v>162</v>
      </c>
      <c r="B166" t="str">
        <f>IF('entri hasil dari isian siswa'!B166="","",'entri hasil dari isian siswa'!B166)</f>
        <v/>
      </c>
      <c r="C166" t="str">
        <f>IF('entri hasil dari isian siswa'!C166="","",'entri hasil dari isian siswa'!C166)</f>
        <v/>
      </c>
      <c r="D166" t="str">
        <f>IF('entri hasil dari isian siswa'!D166="","",'entri hasil dari isian siswa'!D166)</f>
        <v/>
      </c>
      <c r="E166" t="str">
        <f t="shared" si="61"/>
        <v/>
      </c>
      <c r="F166" t="str">
        <f t="shared" si="62"/>
        <v/>
      </c>
      <c r="G166" t="str">
        <f t="shared" si="63"/>
        <v/>
      </c>
      <c r="H166" t="str">
        <f t="shared" si="64"/>
        <v/>
      </c>
      <c r="I166" t="str">
        <f t="shared" si="65"/>
        <v/>
      </c>
      <c r="J166" t="str">
        <f t="shared" si="66"/>
        <v/>
      </c>
      <c r="K166" t="str">
        <f>IF($V166&lt;&gt;"OK","",RANK(E166,$E166:$J166,0)+COUNTIF($E166:E166,E166)-1)</f>
        <v/>
      </c>
      <c r="L166" t="str">
        <f>IF($V166&lt;&gt;"OK","",RANK(F166,$E166:$J166,0)+COUNTIF($E166:F166,F166)-1)</f>
        <v/>
      </c>
      <c r="M166" t="str">
        <f>IF($V166&lt;&gt;"OK","",RANK(G166,$E166:$J166,0)+COUNTIF($E166:G166,G166)-1)</f>
        <v/>
      </c>
      <c r="N166" t="str">
        <f>IF($V166&lt;&gt;"OK","",RANK(H166,$E166:$J166,0)+COUNTIF($E166:H166,H166)-1)</f>
        <v/>
      </c>
      <c r="O166" t="str">
        <f>IF($V166&lt;&gt;"OK","",RANK(I166,$E166:$J166,0)+COUNTIF($E166:I166,I166)-1)</f>
        <v/>
      </c>
      <c r="P166" t="str">
        <f>IF($V166&lt;&gt;"OK","",RANK(J166,$E166:$J166,0)+COUNTIF($E166:J166,J166)-1)</f>
        <v/>
      </c>
      <c r="Q166" t="str">
        <f t="shared" si="67"/>
        <v/>
      </c>
      <c r="R166" t="str">
        <f t="shared" si="68"/>
        <v/>
      </c>
      <c r="S166" t="str">
        <f t="shared" si="69"/>
        <v/>
      </c>
      <c r="T166" t="str">
        <f t="shared" si="70"/>
        <v/>
      </c>
      <c r="U166" s="1" t="str">
        <f>IF($T166="","",IFERROR(VLOOKUP($T166,'Kunci dari RIASEC'!$A$4:$B$123,2,FALSE),"Rekomendasi belum tersedia"))</f>
        <v/>
      </c>
      <c r="V166" t="str">
        <f>IF('entri hasil dari isian siswa'!B166="","",'entri hasil dari isian siswa'!HY166)</f>
        <v/>
      </c>
      <c r="W166" t="str">
        <f>IF($B166="","",SUM('entri hasil dari isian siswa'!E166:O166))</f>
        <v/>
      </c>
      <c r="X166" t="str">
        <f>IF($B166="","",SUM('entri hasil dari isian siswa'!P166:Z166))</f>
        <v/>
      </c>
      <c r="Y166" t="str">
        <f>IF($B166="","",SUM('entri hasil dari isian siswa'!AA166:AK166))</f>
        <v/>
      </c>
      <c r="Z166" t="str">
        <f>IF($B166="","",SUM('entri hasil dari isian siswa'!AL166:AV166))</f>
        <v/>
      </c>
      <c r="AA166" t="str">
        <f>IF($B166="","",SUM('entri hasil dari isian siswa'!AW166:BG166))</f>
        <v/>
      </c>
      <c r="AB166" t="str">
        <f>IF($B166="","",SUM('entri hasil dari isian siswa'!BH166:BR166))</f>
        <v/>
      </c>
      <c r="AC166" t="str">
        <f>IF($B166="","",SUM('entri hasil dari isian siswa'!BS166:CC166))</f>
        <v/>
      </c>
      <c r="AD166" t="str">
        <f>IF($B166="","",SUM('entri hasil dari isian siswa'!CD166:CN166))</f>
        <v/>
      </c>
      <c r="AE166" t="str">
        <f>IF($B166="","",SUM('entri hasil dari isian siswa'!CO166:CY166))</f>
        <v/>
      </c>
      <c r="AF166" t="str">
        <f>IF($B166="","",SUM('entri hasil dari isian siswa'!CZ166:DJ166))</f>
        <v/>
      </c>
      <c r="AG166" t="str">
        <f>IF($B166="","",SUM('entri hasil dari isian siswa'!DK166:DU166))</f>
        <v/>
      </c>
      <c r="AH166" t="str">
        <f>IF($B166="","",SUM('entri hasil dari isian siswa'!DV166:EF166))</f>
        <v/>
      </c>
      <c r="AI166" t="str">
        <f>IF($B166="","",SUM('entri hasil dari isian siswa'!EG166:ET166))</f>
        <v/>
      </c>
      <c r="AJ166" t="str">
        <f>IF($B166="","",SUM('entri hasil dari isian siswa'!EU166:FH166))</f>
        <v/>
      </c>
      <c r="AK166" t="str">
        <f>IF($B166="","",SUM('entri hasil dari isian siswa'!FI166:FV166))</f>
        <v/>
      </c>
      <c r="AL166" t="str">
        <f>IF($B166="","",SUM('entri hasil dari isian siswa'!FW166:GJ166))</f>
        <v/>
      </c>
      <c r="AM166" t="str">
        <f>IF($B166="","",SUM('entri hasil dari isian siswa'!GK166:GX166))</f>
        <v/>
      </c>
      <c r="AN166" t="str">
        <f>IF($B166="","",SUM('entri hasil dari isian siswa'!GY166:HL166))</f>
        <v/>
      </c>
      <c r="AO166" t="str">
        <f>IF($B166="","",'entri hasil dari isian siswa'!HM166+'entri hasil dari isian siswa'!HS166)</f>
        <v/>
      </c>
      <c r="AP166" t="str">
        <f>IF($B166="","",'entri hasil dari isian siswa'!HN166+'entri hasil dari isian siswa'!HT166)</f>
        <v/>
      </c>
      <c r="AQ166" t="str">
        <f>IF($B166="","",'entri hasil dari isian siswa'!HO166+'entri hasil dari isian siswa'!HU166)</f>
        <v/>
      </c>
      <c r="AR166" t="str">
        <f>IF($B166="","",'entri hasil dari isian siswa'!HP166+'entri hasil dari isian siswa'!HV166)</f>
        <v/>
      </c>
      <c r="AS166" t="str">
        <f>IF($B166="","",'entri hasil dari isian siswa'!HQ166+'entri hasil dari isian siswa'!HW166)</f>
        <v/>
      </c>
      <c r="AT166" t="str">
        <f>IF($B166="","",'entri hasil dari isian siswa'!HR166+'entri hasil dari isian siswa'!HX166)</f>
        <v/>
      </c>
      <c r="AU166" s="69" t="str">
        <f t="shared" si="71"/>
        <v/>
      </c>
      <c r="AV166" s="69" t="str">
        <f>IF($AU166="","",IFERROR(VLOOKUP($AU166,'Kunci dari RIASEC'!$J$4:$K$33,2,FALSE),""))</f>
        <v/>
      </c>
    </row>
    <row r="167" spans="1:48">
      <c r="A167">
        <f t="shared" si="60"/>
        <v>163</v>
      </c>
      <c r="B167" t="str">
        <f>IF('entri hasil dari isian siswa'!B167="","",'entri hasil dari isian siswa'!B167)</f>
        <v/>
      </c>
      <c r="C167" t="str">
        <f>IF('entri hasil dari isian siswa'!C167="","",'entri hasil dari isian siswa'!C167)</f>
        <v/>
      </c>
      <c r="D167" t="str">
        <f>IF('entri hasil dari isian siswa'!D167="","",'entri hasil dari isian siswa'!D167)</f>
        <v/>
      </c>
      <c r="E167" t="str">
        <f t="shared" si="61"/>
        <v/>
      </c>
      <c r="F167" t="str">
        <f t="shared" si="62"/>
        <v/>
      </c>
      <c r="G167" t="str">
        <f t="shared" si="63"/>
        <v/>
      </c>
      <c r="H167" t="str">
        <f t="shared" si="64"/>
        <v/>
      </c>
      <c r="I167" t="str">
        <f t="shared" si="65"/>
        <v/>
      </c>
      <c r="J167" t="str">
        <f t="shared" si="66"/>
        <v/>
      </c>
      <c r="K167" t="str">
        <f>IF($V167&lt;&gt;"OK","",RANK(E167,$E167:$J167,0)+COUNTIF($E167:E167,E167)-1)</f>
        <v/>
      </c>
      <c r="L167" t="str">
        <f>IF($V167&lt;&gt;"OK","",RANK(F167,$E167:$J167,0)+COUNTIF($E167:F167,F167)-1)</f>
        <v/>
      </c>
      <c r="M167" t="str">
        <f>IF($V167&lt;&gt;"OK","",RANK(G167,$E167:$J167,0)+COUNTIF($E167:G167,G167)-1)</f>
        <v/>
      </c>
      <c r="N167" t="str">
        <f>IF($V167&lt;&gt;"OK","",RANK(H167,$E167:$J167,0)+COUNTIF($E167:H167,H167)-1)</f>
        <v/>
      </c>
      <c r="O167" t="str">
        <f>IF($V167&lt;&gt;"OK","",RANK(I167,$E167:$J167,0)+COUNTIF($E167:I167,I167)-1)</f>
        <v/>
      </c>
      <c r="P167" t="str">
        <f>IF($V167&lt;&gt;"OK","",RANK(J167,$E167:$J167,0)+COUNTIF($E167:J167,J167)-1)</f>
        <v/>
      </c>
      <c r="Q167" t="str">
        <f t="shared" si="67"/>
        <v/>
      </c>
      <c r="R167" t="str">
        <f t="shared" si="68"/>
        <v/>
      </c>
      <c r="S167" t="str">
        <f t="shared" si="69"/>
        <v/>
      </c>
      <c r="T167" t="str">
        <f t="shared" si="70"/>
        <v/>
      </c>
      <c r="U167" s="1" t="str">
        <f>IF($T167="","",IFERROR(VLOOKUP($T167,'Kunci dari RIASEC'!$A$4:$B$123,2,FALSE),"Rekomendasi belum tersedia"))</f>
        <v/>
      </c>
      <c r="V167" t="str">
        <f>IF('entri hasil dari isian siswa'!B167="","",'entri hasil dari isian siswa'!HY167)</f>
        <v/>
      </c>
      <c r="W167" t="str">
        <f>IF($B167="","",SUM('entri hasil dari isian siswa'!E167:O167))</f>
        <v/>
      </c>
      <c r="X167" t="str">
        <f>IF($B167="","",SUM('entri hasil dari isian siswa'!P167:Z167))</f>
        <v/>
      </c>
      <c r="Y167" t="str">
        <f>IF($B167="","",SUM('entri hasil dari isian siswa'!AA167:AK167))</f>
        <v/>
      </c>
      <c r="Z167" t="str">
        <f>IF($B167="","",SUM('entri hasil dari isian siswa'!AL167:AV167))</f>
        <v/>
      </c>
      <c r="AA167" t="str">
        <f>IF($B167="","",SUM('entri hasil dari isian siswa'!AW167:BG167))</f>
        <v/>
      </c>
      <c r="AB167" t="str">
        <f>IF($B167="","",SUM('entri hasil dari isian siswa'!BH167:BR167))</f>
        <v/>
      </c>
      <c r="AC167" t="str">
        <f>IF($B167="","",SUM('entri hasil dari isian siswa'!BS167:CC167))</f>
        <v/>
      </c>
      <c r="AD167" t="str">
        <f>IF($B167="","",SUM('entri hasil dari isian siswa'!CD167:CN167))</f>
        <v/>
      </c>
      <c r="AE167" t="str">
        <f>IF($B167="","",SUM('entri hasil dari isian siswa'!CO167:CY167))</f>
        <v/>
      </c>
      <c r="AF167" t="str">
        <f>IF($B167="","",SUM('entri hasil dari isian siswa'!CZ167:DJ167))</f>
        <v/>
      </c>
      <c r="AG167" t="str">
        <f>IF($B167="","",SUM('entri hasil dari isian siswa'!DK167:DU167))</f>
        <v/>
      </c>
      <c r="AH167" t="str">
        <f>IF($B167="","",SUM('entri hasil dari isian siswa'!DV167:EF167))</f>
        <v/>
      </c>
      <c r="AI167" t="str">
        <f>IF($B167="","",SUM('entri hasil dari isian siswa'!EG167:ET167))</f>
        <v/>
      </c>
      <c r="AJ167" t="str">
        <f>IF($B167="","",SUM('entri hasil dari isian siswa'!EU167:FH167))</f>
        <v/>
      </c>
      <c r="AK167" t="str">
        <f>IF($B167="","",SUM('entri hasil dari isian siswa'!FI167:FV167))</f>
        <v/>
      </c>
      <c r="AL167" t="str">
        <f>IF($B167="","",SUM('entri hasil dari isian siswa'!FW167:GJ167))</f>
        <v/>
      </c>
      <c r="AM167" t="str">
        <f>IF($B167="","",SUM('entri hasil dari isian siswa'!GK167:GX167))</f>
        <v/>
      </c>
      <c r="AN167" t="str">
        <f>IF($B167="","",SUM('entri hasil dari isian siswa'!GY167:HL167))</f>
        <v/>
      </c>
      <c r="AO167" t="str">
        <f>IF($B167="","",'entri hasil dari isian siswa'!HM167+'entri hasil dari isian siswa'!HS167)</f>
        <v/>
      </c>
      <c r="AP167" t="str">
        <f>IF($B167="","",'entri hasil dari isian siswa'!HN167+'entri hasil dari isian siswa'!HT167)</f>
        <v/>
      </c>
      <c r="AQ167" t="str">
        <f>IF($B167="","",'entri hasil dari isian siswa'!HO167+'entri hasil dari isian siswa'!HU167)</f>
        <v/>
      </c>
      <c r="AR167" t="str">
        <f>IF($B167="","",'entri hasil dari isian siswa'!HP167+'entri hasil dari isian siswa'!HV167)</f>
        <v/>
      </c>
      <c r="AS167" t="str">
        <f>IF($B167="","",'entri hasil dari isian siswa'!HQ167+'entri hasil dari isian siswa'!HW167)</f>
        <v/>
      </c>
      <c r="AT167" t="str">
        <f>IF($B167="","",'entri hasil dari isian siswa'!HR167+'entri hasil dari isian siswa'!HX167)</f>
        <v/>
      </c>
      <c r="AU167" s="69" t="str">
        <f t="shared" si="71"/>
        <v/>
      </c>
      <c r="AV167" s="69" t="str">
        <f>IF($AU167="","",IFERROR(VLOOKUP($AU167,'Kunci dari RIASEC'!$J$4:$K$33,2,FALSE),""))</f>
        <v/>
      </c>
    </row>
    <row r="168" spans="1:48">
      <c r="A168">
        <f t="shared" si="60"/>
        <v>164</v>
      </c>
      <c r="B168" t="str">
        <f>IF('entri hasil dari isian siswa'!B168="","",'entri hasil dari isian siswa'!B168)</f>
        <v/>
      </c>
      <c r="C168" t="str">
        <f>IF('entri hasil dari isian siswa'!C168="","",'entri hasil dari isian siswa'!C168)</f>
        <v/>
      </c>
      <c r="D168" t="str">
        <f>IF('entri hasil dari isian siswa'!D168="","",'entri hasil dari isian siswa'!D168)</f>
        <v/>
      </c>
      <c r="E168" t="str">
        <f t="shared" si="61"/>
        <v/>
      </c>
      <c r="F168" t="str">
        <f t="shared" si="62"/>
        <v/>
      </c>
      <c r="G168" t="str">
        <f t="shared" si="63"/>
        <v/>
      </c>
      <c r="H168" t="str">
        <f t="shared" si="64"/>
        <v/>
      </c>
      <c r="I168" t="str">
        <f t="shared" si="65"/>
        <v/>
      </c>
      <c r="J168" t="str">
        <f t="shared" si="66"/>
        <v/>
      </c>
      <c r="K168" t="str">
        <f>IF($V168&lt;&gt;"OK","",RANK(E168,$E168:$J168,0)+COUNTIF($E168:E168,E168)-1)</f>
        <v/>
      </c>
      <c r="L168" t="str">
        <f>IF($V168&lt;&gt;"OK","",RANK(F168,$E168:$J168,0)+COUNTIF($E168:F168,F168)-1)</f>
        <v/>
      </c>
      <c r="M168" t="str">
        <f>IF($V168&lt;&gt;"OK","",RANK(G168,$E168:$J168,0)+COUNTIF($E168:G168,G168)-1)</f>
        <v/>
      </c>
      <c r="N168" t="str">
        <f>IF($V168&lt;&gt;"OK","",RANK(H168,$E168:$J168,0)+COUNTIF($E168:H168,H168)-1)</f>
        <v/>
      </c>
      <c r="O168" t="str">
        <f>IF($V168&lt;&gt;"OK","",RANK(I168,$E168:$J168,0)+COUNTIF($E168:I168,I168)-1)</f>
        <v/>
      </c>
      <c r="P168" t="str">
        <f>IF($V168&lt;&gt;"OK","",RANK(J168,$E168:$J168,0)+COUNTIF($E168:J168,J168)-1)</f>
        <v/>
      </c>
      <c r="Q168" t="str">
        <f t="shared" si="67"/>
        <v/>
      </c>
      <c r="R168" t="str">
        <f t="shared" si="68"/>
        <v/>
      </c>
      <c r="S168" t="str">
        <f t="shared" si="69"/>
        <v/>
      </c>
      <c r="T168" t="str">
        <f t="shared" si="70"/>
        <v/>
      </c>
      <c r="U168" s="1" t="str">
        <f>IF($T168="","",IFERROR(VLOOKUP($T168,'Kunci dari RIASEC'!$A$4:$B$123,2,FALSE),"Rekomendasi belum tersedia"))</f>
        <v/>
      </c>
      <c r="V168" t="str">
        <f>IF('entri hasil dari isian siswa'!B168="","",'entri hasil dari isian siswa'!HY168)</f>
        <v/>
      </c>
      <c r="W168" t="str">
        <f>IF($B168="","",SUM('entri hasil dari isian siswa'!E168:O168))</f>
        <v/>
      </c>
      <c r="X168" t="str">
        <f>IF($B168="","",SUM('entri hasil dari isian siswa'!P168:Z168))</f>
        <v/>
      </c>
      <c r="Y168" t="str">
        <f>IF($B168="","",SUM('entri hasil dari isian siswa'!AA168:AK168))</f>
        <v/>
      </c>
      <c r="Z168" t="str">
        <f>IF($B168="","",SUM('entri hasil dari isian siswa'!AL168:AV168))</f>
        <v/>
      </c>
      <c r="AA168" t="str">
        <f>IF($B168="","",SUM('entri hasil dari isian siswa'!AW168:BG168))</f>
        <v/>
      </c>
      <c r="AB168" t="str">
        <f>IF($B168="","",SUM('entri hasil dari isian siswa'!BH168:BR168))</f>
        <v/>
      </c>
      <c r="AC168" t="str">
        <f>IF($B168="","",SUM('entri hasil dari isian siswa'!BS168:CC168))</f>
        <v/>
      </c>
      <c r="AD168" t="str">
        <f>IF($B168="","",SUM('entri hasil dari isian siswa'!CD168:CN168))</f>
        <v/>
      </c>
      <c r="AE168" t="str">
        <f>IF($B168="","",SUM('entri hasil dari isian siswa'!CO168:CY168))</f>
        <v/>
      </c>
      <c r="AF168" t="str">
        <f>IF($B168="","",SUM('entri hasil dari isian siswa'!CZ168:DJ168))</f>
        <v/>
      </c>
      <c r="AG168" t="str">
        <f>IF($B168="","",SUM('entri hasil dari isian siswa'!DK168:DU168))</f>
        <v/>
      </c>
      <c r="AH168" t="str">
        <f>IF($B168="","",SUM('entri hasil dari isian siswa'!DV168:EF168))</f>
        <v/>
      </c>
      <c r="AI168" t="str">
        <f>IF($B168="","",SUM('entri hasil dari isian siswa'!EG168:ET168))</f>
        <v/>
      </c>
      <c r="AJ168" t="str">
        <f>IF($B168="","",SUM('entri hasil dari isian siswa'!EU168:FH168))</f>
        <v/>
      </c>
      <c r="AK168" t="str">
        <f>IF($B168="","",SUM('entri hasil dari isian siswa'!FI168:FV168))</f>
        <v/>
      </c>
      <c r="AL168" t="str">
        <f>IF($B168="","",SUM('entri hasil dari isian siswa'!FW168:GJ168))</f>
        <v/>
      </c>
      <c r="AM168" t="str">
        <f>IF($B168="","",SUM('entri hasil dari isian siswa'!GK168:GX168))</f>
        <v/>
      </c>
      <c r="AN168" t="str">
        <f>IF($B168="","",SUM('entri hasil dari isian siswa'!GY168:HL168))</f>
        <v/>
      </c>
      <c r="AO168" t="str">
        <f>IF($B168="","",'entri hasil dari isian siswa'!HM168+'entri hasil dari isian siswa'!HS168)</f>
        <v/>
      </c>
      <c r="AP168" t="str">
        <f>IF($B168="","",'entri hasil dari isian siswa'!HN168+'entri hasil dari isian siswa'!HT168)</f>
        <v/>
      </c>
      <c r="AQ168" t="str">
        <f>IF($B168="","",'entri hasil dari isian siswa'!HO168+'entri hasil dari isian siswa'!HU168)</f>
        <v/>
      </c>
      <c r="AR168" t="str">
        <f>IF($B168="","",'entri hasil dari isian siswa'!HP168+'entri hasil dari isian siswa'!HV168)</f>
        <v/>
      </c>
      <c r="AS168" t="str">
        <f>IF($B168="","",'entri hasil dari isian siswa'!HQ168+'entri hasil dari isian siswa'!HW168)</f>
        <v/>
      </c>
      <c r="AT168" t="str">
        <f>IF($B168="","",'entri hasil dari isian siswa'!HR168+'entri hasil dari isian siswa'!HX168)</f>
        <v/>
      </c>
      <c r="AU168" s="69" t="str">
        <f t="shared" si="71"/>
        <v/>
      </c>
      <c r="AV168" s="69" t="str">
        <f>IF($AU168="","",IFERROR(VLOOKUP($AU168,'Kunci dari RIASEC'!$J$4:$K$33,2,FALSE),""))</f>
        <v/>
      </c>
    </row>
    <row r="169" spans="1:48">
      <c r="A169">
        <f t="shared" si="60"/>
        <v>165</v>
      </c>
      <c r="B169" t="str">
        <f>IF('entri hasil dari isian siswa'!B169="","",'entri hasil dari isian siswa'!B169)</f>
        <v/>
      </c>
      <c r="C169" t="str">
        <f>IF('entri hasil dari isian siswa'!C169="","",'entri hasil dari isian siswa'!C169)</f>
        <v/>
      </c>
      <c r="D169" t="str">
        <f>IF('entri hasil dari isian siswa'!D169="","",'entri hasil dari isian siswa'!D169)</f>
        <v/>
      </c>
      <c r="E169" t="str">
        <f t="shared" si="61"/>
        <v/>
      </c>
      <c r="F169" t="str">
        <f t="shared" si="62"/>
        <v/>
      </c>
      <c r="G169" t="str">
        <f t="shared" si="63"/>
        <v/>
      </c>
      <c r="H169" t="str">
        <f t="shared" si="64"/>
        <v/>
      </c>
      <c r="I169" t="str">
        <f t="shared" si="65"/>
        <v/>
      </c>
      <c r="J169" t="str">
        <f t="shared" si="66"/>
        <v/>
      </c>
      <c r="K169" t="str">
        <f>IF($V169&lt;&gt;"OK","",RANK(E169,$E169:$J169,0)+COUNTIF($E169:E169,E169)-1)</f>
        <v/>
      </c>
      <c r="L169" t="str">
        <f>IF($V169&lt;&gt;"OK","",RANK(F169,$E169:$J169,0)+COUNTIF($E169:F169,F169)-1)</f>
        <v/>
      </c>
      <c r="M169" t="str">
        <f>IF($V169&lt;&gt;"OK","",RANK(G169,$E169:$J169,0)+COUNTIF($E169:G169,G169)-1)</f>
        <v/>
      </c>
      <c r="N169" t="str">
        <f>IF($V169&lt;&gt;"OK","",RANK(H169,$E169:$J169,0)+COUNTIF($E169:H169,H169)-1)</f>
        <v/>
      </c>
      <c r="O169" t="str">
        <f>IF($V169&lt;&gt;"OK","",RANK(I169,$E169:$J169,0)+COUNTIF($E169:I169,I169)-1)</f>
        <v/>
      </c>
      <c r="P169" t="str">
        <f>IF($V169&lt;&gt;"OK","",RANK(J169,$E169:$J169,0)+COUNTIF($E169:J169,J169)-1)</f>
        <v/>
      </c>
      <c r="Q169" t="str">
        <f t="shared" si="67"/>
        <v/>
      </c>
      <c r="R169" t="str">
        <f t="shared" si="68"/>
        <v/>
      </c>
      <c r="S169" t="str">
        <f t="shared" si="69"/>
        <v/>
      </c>
      <c r="T169" t="str">
        <f t="shared" si="70"/>
        <v/>
      </c>
      <c r="U169" s="1" t="str">
        <f>IF($T169="","",IFERROR(VLOOKUP($T169,'Kunci dari RIASEC'!$A$4:$B$123,2,FALSE),"Rekomendasi belum tersedia"))</f>
        <v/>
      </c>
      <c r="V169" t="str">
        <f>IF('entri hasil dari isian siswa'!B169="","",'entri hasil dari isian siswa'!HY169)</f>
        <v/>
      </c>
      <c r="W169" t="str">
        <f>IF($B169="","",SUM('entri hasil dari isian siswa'!E169:O169))</f>
        <v/>
      </c>
      <c r="X169" t="str">
        <f>IF($B169="","",SUM('entri hasil dari isian siswa'!P169:Z169))</f>
        <v/>
      </c>
      <c r="Y169" t="str">
        <f>IF($B169="","",SUM('entri hasil dari isian siswa'!AA169:AK169))</f>
        <v/>
      </c>
      <c r="Z169" t="str">
        <f>IF($B169="","",SUM('entri hasil dari isian siswa'!AL169:AV169))</f>
        <v/>
      </c>
      <c r="AA169" t="str">
        <f>IF($B169="","",SUM('entri hasil dari isian siswa'!AW169:BG169))</f>
        <v/>
      </c>
      <c r="AB169" t="str">
        <f>IF($B169="","",SUM('entri hasil dari isian siswa'!BH169:BR169))</f>
        <v/>
      </c>
      <c r="AC169" t="str">
        <f>IF($B169="","",SUM('entri hasil dari isian siswa'!BS169:CC169))</f>
        <v/>
      </c>
      <c r="AD169" t="str">
        <f>IF($B169="","",SUM('entri hasil dari isian siswa'!CD169:CN169))</f>
        <v/>
      </c>
      <c r="AE169" t="str">
        <f>IF($B169="","",SUM('entri hasil dari isian siswa'!CO169:CY169))</f>
        <v/>
      </c>
      <c r="AF169" t="str">
        <f>IF($B169="","",SUM('entri hasil dari isian siswa'!CZ169:DJ169))</f>
        <v/>
      </c>
      <c r="AG169" t="str">
        <f>IF($B169="","",SUM('entri hasil dari isian siswa'!DK169:DU169))</f>
        <v/>
      </c>
      <c r="AH169" t="str">
        <f>IF($B169="","",SUM('entri hasil dari isian siswa'!DV169:EF169))</f>
        <v/>
      </c>
      <c r="AI169" t="str">
        <f>IF($B169="","",SUM('entri hasil dari isian siswa'!EG169:ET169))</f>
        <v/>
      </c>
      <c r="AJ169" t="str">
        <f>IF($B169="","",SUM('entri hasil dari isian siswa'!EU169:FH169))</f>
        <v/>
      </c>
      <c r="AK169" t="str">
        <f>IF($B169="","",SUM('entri hasil dari isian siswa'!FI169:FV169))</f>
        <v/>
      </c>
      <c r="AL169" t="str">
        <f>IF($B169="","",SUM('entri hasil dari isian siswa'!FW169:GJ169))</f>
        <v/>
      </c>
      <c r="AM169" t="str">
        <f>IF($B169="","",SUM('entri hasil dari isian siswa'!GK169:GX169))</f>
        <v/>
      </c>
      <c r="AN169" t="str">
        <f>IF($B169="","",SUM('entri hasil dari isian siswa'!GY169:HL169))</f>
        <v/>
      </c>
      <c r="AO169" t="str">
        <f>IF($B169="","",'entri hasil dari isian siswa'!HM169+'entri hasil dari isian siswa'!HS169)</f>
        <v/>
      </c>
      <c r="AP169" t="str">
        <f>IF($B169="","",'entri hasil dari isian siswa'!HN169+'entri hasil dari isian siswa'!HT169)</f>
        <v/>
      </c>
      <c r="AQ169" t="str">
        <f>IF($B169="","",'entri hasil dari isian siswa'!HO169+'entri hasil dari isian siswa'!HU169)</f>
        <v/>
      </c>
      <c r="AR169" t="str">
        <f>IF($B169="","",'entri hasil dari isian siswa'!HP169+'entri hasil dari isian siswa'!HV169)</f>
        <v/>
      </c>
      <c r="AS169" t="str">
        <f>IF($B169="","",'entri hasil dari isian siswa'!HQ169+'entri hasil dari isian siswa'!HW169)</f>
        <v/>
      </c>
      <c r="AT169" t="str">
        <f>IF($B169="","",'entri hasil dari isian siswa'!HR169+'entri hasil dari isian siswa'!HX169)</f>
        <v/>
      </c>
      <c r="AU169" s="69" t="str">
        <f t="shared" si="71"/>
        <v/>
      </c>
      <c r="AV169" s="69" t="str">
        <f>IF($AU169="","",IFERROR(VLOOKUP($AU169,'Kunci dari RIASEC'!$J$4:$K$33,2,FALSE),""))</f>
        <v/>
      </c>
    </row>
    <row r="170" spans="1:48">
      <c r="A170">
        <f t="shared" si="60"/>
        <v>166</v>
      </c>
      <c r="B170" t="str">
        <f>IF('entri hasil dari isian siswa'!B170="","",'entri hasil dari isian siswa'!B170)</f>
        <v/>
      </c>
      <c r="C170" t="str">
        <f>IF('entri hasil dari isian siswa'!C170="","",'entri hasil dari isian siswa'!C170)</f>
        <v/>
      </c>
      <c r="D170" t="str">
        <f>IF('entri hasil dari isian siswa'!D170="","",'entri hasil dari isian siswa'!D170)</f>
        <v/>
      </c>
      <c r="E170" t="str">
        <f t="shared" si="61"/>
        <v/>
      </c>
      <c r="F170" t="str">
        <f t="shared" si="62"/>
        <v/>
      </c>
      <c r="G170" t="str">
        <f t="shared" si="63"/>
        <v/>
      </c>
      <c r="H170" t="str">
        <f t="shared" si="64"/>
        <v/>
      </c>
      <c r="I170" t="str">
        <f t="shared" si="65"/>
        <v/>
      </c>
      <c r="J170" t="str">
        <f t="shared" si="66"/>
        <v/>
      </c>
      <c r="K170" t="str">
        <f>IF($V170&lt;&gt;"OK","",RANK(E170,$E170:$J170,0)+COUNTIF($E170:E170,E170)-1)</f>
        <v/>
      </c>
      <c r="L170" t="str">
        <f>IF($V170&lt;&gt;"OK","",RANK(F170,$E170:$J170,0)+COUNTIF($E170:F170,F170)-1)</f>
        <v/>
      </c>
      <c r="M170" t="str">
        <f>IF($V170&lt;&gt;"OK","",RANK(G170,$E170:$J170,0)+COUNTIF($E170:G170,G170)-1)</f>
        <v/>
      </c>
      <c r="N170" t="str">
        <f>IF($V170&lt;&gt;"OK","",RANK(H170,$E170:$J170,0)+COUNTIF($E170:H170,H170)-1)</f>
        <v/>
      </c>
      <c r="O170" t="str">
        <f>IF($V170&lt;&gt;"OK","",RANK(I170,$E170:$J170,0)+COUNTIF($E170:I170,I170)-1)</f>
        <v/>
      </c>
      <c r="P170" t="str">
        <f>IF($V170&lt;&gt;"OK","",RANK(J170,$E170:$J170,0)+COUNTIF($E170:J170,J170)-1)</f>
        <v/>
      </c>
      <c r="Q170" t="str">
        <f t="shared" si="67"/>
        <v/>
      </c>
      <c r="R170" t="str">
        <f t="shared" si="68"/>
        <v/>
      </c>
      <c r="S170" t="str">
        <f t="shared" si="69"/>
        <v/>
      </c>
      <c r="T170" t="str">
        <f t="shared" si="70"/>
        <v/>
      </c>
      <c r="U170" s="1" t="str">
        <f>IF($T170="","",IFERROR(VLOOKUP($T170,'Kunci dari RIASEC'!$A$4:$B$123,2,FALSE),"Rekomendasi belum tersedia"))</f>
        <v/>
      </c>
      <c r="V170" t="str">
        <f>IF('entri hasil dari isian siswa'!B170="","",'entri hasil dari isian siswa'!HY170)</f>
        <v/>
      </c>
      <c r="W170" t="str">
        <f>IF($B170="","",SUM('entri hasil dari isian siswa'!E170:O170))</f>
        <v/>
      </c>
      <c r="X170" t="str">
        <f>IF($B170="","",SUM('entri hasil dari isian siswa'!P170:Z170))</f>
        <v/>
      </c>
      <c r="Y170" t="str">
        <f>IF($B170="","",SUM('entri hasil dari isian siswa'!AA170:AK170))</f>
        <v/>
      </c>
      <c r="Z170" t="str">
        <f>IF($B170="","",SUM('entri hasil dari isian siswa'!AL170:AV170))</f>
        <v/>
      </c>
      <c r="AA170" t="str">
        <f>IF($B170="","",SUM('entri hasil dari isian siswa'!AW170:BG170))</f>
        <v/>
      </c>
      <c r="AB170" t="str">
        <f>IF($B170="","",SUM('entri hasil dari isian siswa'!BH170:BR170))</f>
        <v/>
      </c>
      <c r="AC170" t="str">
        <f>IF($B170="","",SUM('entri hasil dari isian siswa'!BS170:CC170))</f>
        <v/>
      </c>
      <c r="AD170" t="str">
        <f>IF($B170="","",SUM('entri hasil dari isian siswa'!CD170:CN170))</f>
        <v/>
      </c>
      <c r="AE170" t="str">
        <f>IF($B170="","",SUM('entri hasil dari isian siswa'!CO170:CY170))</f>
        <v/>
      </c>
      <c r="AF170" t="str">
        <f>IF($B170="","",SUM('entri hasil dari isian siswa'!CZ170:DJ170))</f>
        <v/>
      </c>
      <c r="AG170" t="str">
        <f>IF($B170="","",SUM('entri hasil dari isian siswa'!DK170:DU170))</f>
        <v/>
      </c>
      <c r="AH170" t="str">
        <f>IF($B170="","",SUM('entri hasil dari isian siswa'!DV170:EF170))</f>
        <v/>
      </c>
      <c r="AI170" t="str">
        <f>IF($B170="","",SUM('entri hasil dari isian siswa'!EG170:ET170))</f>
        <v/>
      </c>
      <c r="AJ170" t="str">
        <f>IF($B170="","",SUM('entri hasil dari isian siswa'!EU170:FH170))</f>
        <v/>
      </c>
      <c r="AK170" t="str">
        <f>IF($B170="","",SUM('entri hasil dari isian siswa'!FI170:FV170))</f>
        <v/>
      </c>
      <c r="AL170" t="str">
        <f>IF($B170="","",SUM('entri hasil dari isian siswa'!FW170:GJ170))</f>
        <v/>
      </c>
      <c r="AM170" t="str">
        <f>IF($B170="","",SUM('entri hasil dari isian siswa'!GK170:GX170))</f>
        <v/>
      </c>
      <c r="AN170" t="str">
        <f>IF($B170="","",SUM('entri hasil dari isian siswa'!GY170:HL170))</f>
        <v/>
      </c>
      <c r="AO170" t="str">
        <f>IF($B170="","",'entri hasil dari isian siswa'!HM170+'entri hasil dari isian siswa'!HS170)</f>
        <v/>
      </c>
      <c r="AP170" t="str">
        <f>IF($B170="","",'entri hasil dari isian siswa'!HN170+'entri hasil dari isian siswa'!HT170)</f>
        <v/>
      </c>
      <c r="AQ170" t="str">
        <f>IF($B170="","",'entri hasil dari isian siswa'!HO170+'entri hasil dari isian siswa'!HU170)</f>
        <v/>
      </c>
      <c r="AR170" t="str">
        <f>IF($B170="","",'entri hasil dari isian siswa'!HP170+'entri hasil dari isian siswa'!HV170)</f>
        <v/>
      </c>
      <c r="AS170" t="str">
        <f>IF($B170="","",'entri hasil dari isian siswa'!HQ170+'entri hasil dari isian siswa'!HW170)</f>
        <v/>
      </c>
      <c r="AT170" t="str">
        <f>IF($B170="","",'entri hasil dari isian siswa'!HR170+'entri hasil dari isian siswa'!HX170)</f>
        <v/>
      </c>
      <c r="AU170" s="69" t="str">
        <f t="shared" si="71"/>
        <v/>
      </c>
      <c r="AV170" s="69" t="str">
        <f>IF($AU170="","",IFERROR(VLOOKUP($AU170,'Kunci dari RIASEC'!$J$4:$K$33,2,FALSE),""))</f>
        <v/>
      </c>
    </row>
    <row r="171" spans="1:48">
      <c r="A171">
        <f t="shared" si="60"/>
        <v>167</v>
      </c>
      <c r="B171" t="str">
        <f>IF('entri hasil dari isian siswa'!B171="","",'entri hasil dari isian siswa'!B171)</f>
        <v/>
      </c>
      <c r="C171" t="str">
        <f>IF('entri hasil dari isian siswa'!C171="","",'entri hasil dari isian siswa'!C171)</f>
        <v/>
      </c>
      <c r="D171" t="str">
        <f>IF('entri hasil dari isian siswa'!D171="","",'entri hasil dari isian siswa'!D171)</f>
        <v/>
      </c>
      <c r="E171" t="str">
        <f t="shared" si="61"/>
        <v/>
      </c>
      <c r="F171" t="str">
        <f t="shared" si="62"/>
        <v/>
      </c>
      <c r="G171" t="str">
        <f t="shared" si="63"/>
        <v/>
      </c>
      <c r="H171" t="str">
        <f t="shared" si="64"/>
        <v/>
      </c>
      <c r="I171" t="str">
        <f t="shared" si="65"/>
        <v/>
      </c>
      <c r="J171" t="str">
        <f t="shared" si="66"/>
        <v/>
      </c>
      <c r="K171" t="str">
        <f>IF($V171&lt;&gt;"OK","",RANK(E171,$E171:$J171,0)+COUNTIF($E171:E171,E171)-1)</f>
        <v/>
      </c>
      <c r="L171" t="str">
        <f>IF($V171&lt;&gt;"OK","",RANK(F171,$E171:$J171,0)+COUNTIF($E171:F171,F171)-1)</f>
        <v/>
      </c>
      <c r="M171" t="str">
        <f>IF($V171&lt;&gt;"OK","",RANK(G171,$E171:$J171,0)+COUNTIF($E171:G171,G171)-1)</f>
        <v/>
      </c>
      <c r="N171" t="str">
        <f>IF($V171&lt;&gt;"OK","",RANK(H171,$E171:$J171,0)+COUNTIF($E171:H171,H171)-1)</f>
        <v/>
      </c>
      <c r="O171" t="str">
        <f>IF($V171&lt;&gt;"OK","",RANK(I171,$E171:$J171,0)+COUNTIF($E171:I171,I171)-1)</f>
        <v/>
      </c>
      <c r="P171" t="str">
        <f>IF($V171&lt;&gt;"OK","",RANK(J171,$E171:$J171,0)+COUNTIF($E171:J171,J171)-1)</f>
        <v/>
      </c>
      <c r="Q171" t="str">
        <f t="shared" si="67"/>
        <v/>
      </c>
      <c r="R171" t="str">
        <f t="shared" si="68"/>
        <v/>
      </c>
      <c r="S171" t="str">
        <f t="shared" si="69"/>
        <v/>
      </c>
      <c r="T171" t="str">
        <f t="shared" si="70"/>
        <v/>
      </c>
      <c r="U171" s="1" t="str">
        <f>IF($T171="","",IFERROR(VLOOKUP($T171,'Kunci dari RIASEC'!$A$4:$B$123,2,FALSE),"Rekomendasi belum tersedia"))</f>
        <v/>
      </c>
      <c r="V171" t="str">
        <f>IF('entri hasil dari isian siswa'!B171="","",'entri hasil dari isian siswa'!HY171)</f>
        <v/>
      </c>
      <c r="W171" t="str">
        <f>IF($B171="","",SUM('entri hasil dari isian siswa'!E171:O171))</f>
        <v/>
      </c>
      <c r="X171" t="str">
        <f>IF($B171="","",SUM('entri hasil dari isian siswa'!P171:Z171))</f>
        <v/>
      </c>
      <c r="Y171" t="str">
        <f>IF($B171="","",SUM('entri hasil dari isian siswa'!AA171:AK171))</f>
        <v/>
      </c>
      <c r="Z171" t="str">
        <f>IF($B171="","",SUM('entri hasil dari isian siswa'!AL171:AV171))</f>
        <v/>
      </c>
      <c r="AA171" t="str">
        <f>IF($B171="","",SUM('entri hasil dari isian siswa'!AW171:BG171))</f>
        <v/>
      </c>
      <c r="AB171" t="str">
        <f>IF($B171="","",SUM('entri hasil dari isian siswa'!BH171:BR171))</f>
        <v/>
      </c>
      <c r="AC171" t="str">
        <f>IF($B171="","",SUM('entri hasil dari isian siswa'!BS171:CC171))</f>
        <v/>
      </c>
      <c r="AD171" t="str">
        <f>IF($B171="","",SUM('entri hasil dari isian siswa'!CD171:CN171))</f>
        <v/>
      </c>
      <c r="AE171" t="str">
        <f>IF($B171="","",SUM('entri hasil dari isian siswa'!CO171:CY171))</f>
        <v/>
      </c>
      <c r="AF171" t="str">
        <f>IF($B171="","",SUM('entri hasil dari isian siswa'!CZ171:DJ171))</f>
        <v/>
      </c>
      <c r="AG171" t="str">
        <f>IF($B171="","",SUM('entri hasil dari isian siswa'!DK171:DU171))</f>
        <v/>
      </c>
      <c r="AH171" t="str">
        <f>IF($B171="","",SUM('entri hasil dari isian siswa'!DV171:EF171))</f>
        <v/>
      </c>
      <c r="AI171" t="str">
        <f>IF($B171="","",SUM('entri hasil dari isian siswa'!EG171:ET171))</f>
        <v/>
      </c>
      <c r="AJ171" t="str">
        <f>IF($B171="","",SUM('entri hasil dari isian siswa'!EU171:FH171))</f>
        <v/>
      </c>
      <c r="AK171" t="str">
        <f>IF($B171="","",SUM('entri hasil dari isian siswa'!FI171:FV171))</f>
        <v/>
      </c>
      <c r="AL171" t="str">
        <f>IF($B171="","",SUM('entri hasil dari isian siswa'!FW171:GJ171))</f>
        <v/>
      </c>
      <c r="AM171" t="str">
        <f>IF($B171="","",SUM('entri hasil dari isian siswa'!GK171:GX171))</f>
        <v/>
      </c>
      <c r="AN171" t="str">
        <f>IF($B171="","",SUM('entri hasil dari isian siswa'!GY171:HL171))</f>
        <v/>
      </c>
      <c r="AO171" t="str">
        <f>IF($B171="","",'entri hasil dari isian siswa'!HM171+'entri hasil dari isian siswa'!HS171)</f>
        <v/>
      </c>
      <c r="AP171" t="str">
        <f>IF($B171="","",'entri hasil dari isian siswa'!HN171+'entri hasil dari isian siswa'!HT171)</f>
        <v/>
      </c>
      <c r="AQ171" t="str">
        <f>IF($B171="","",'entri hasil dari isian siswa'!HO171+'entri hasil dari isian siswa'!HU171)</f>
        <v/>
      </c>
      <c r="AR171" t="str">
        <f>IF($B171="","",'entri hasil dari isian siswa'!HP171+'entri hasil dari isian siswa'!HV171)</f>
        <v/>
      </c>
      <c r="AS171" t="str">
        <f>IF($B171="","",'entri hasil dari isian siswa'!HQ171+'entri hasil dari isian siswa'!HW171)</f>
        <v/>
      </c>
      <c r="AT171" t="str">
        <f>IF($B171="","",'entri hasil dari isian siswa'!HR171+'entri hasil dari isian siswa'!HX171)</f>
        <v/>
      </c>
      <c r="AU171" s="69" t="str">
        <f t="shared" si="71"/>
        <v/>
      </c>
      <c r="AV171" s="69" t="str">
        <f>IF($AU171="","",IFERROR(VLOOKUP($AU171,'Kunci dari RIASEC'!$J$4:$K$33,2,FALSE),""))</f>
        <v/>
      </c>
    </row>
    <row r="172" spans="1:48">
      <c r="A172">
        <f t="shared" si="60"/>
        <v>168</v>
      </c>
      <c r="B172" t="str">
        <f>IF('entri hasil dari isian siswa'!B172="","",'entri hasil dari isian siswa'!B172)</f>
        <v/>
      </c>
      <c r="C172" t="str">
        <f>IF('entri hasil dari isian siswa'!C172="","",'entri hasil dari isian siswa'!C172)</f>
        <v/>
      </c>
      <c r="D172" t="str">
        <f>IF('entri hasil dari isian siswa'!D172="","",'entri hasil dari isian siswa'!D172)</f>
        <v/>
      </c>
      <c r="E172" t="str">
        <f t="shared" si="61"/>
        <v/>
      </c>
      <c r="F172" t="str">
        <f t="shared" si="62"/>
        <v/>
      </c>
      <c r="G172" t="str">
        <f t="shared" si="63"/>
        <v/>
      </c>
      <c r="H172" t="str">
        <f t="shared" si="64"/>
        <v/>
      </c>
      <c r="I172" t="str">
        <f t="shared" si="65"/>
        <v/>
      </c>
      <c r="J172" t="str">
        <f t="shared" si="66"/>
        <v/>
      </c>
      <c r="K172" t="str">
        <f>IF($V172&lt;&gt;"OK","",RANK(E172,$E172:$J172,0)+COUNTIF($E172:E172,E172)-1)</f>
        <v/>
      </c>
      <c r="L172" t="str">
        <f>IF($V172&lt;&gt;"OK","",RANK(F172,$E172:$J172,0)+COUNTIF($E172:F172,F172)-1)</f>
        <v/>
      </c>
      <c r="M172" t="str">
        <f>IF($V172&lt;&gt;"OK","",RANK(G172,$E172:$J172,0)+COUNTIF($E172:G172,G172)-1)</f>
        <v/>
      </c>
      <c r="N172" t="str">
        <f>IF($V172&lt;&gt;"OK","",RANK(H172,$E172:$J172,0)+COUNTIF($E172:H172,H172)-1)</f>
        <v/>
      </c>
      <c r="O172" t="str">
        <f>IF($V172&lt;&gt;"OK","",RANK(I172,$E172:$J172,0)+COUNTIF($E172:I172,I172)-1)</f>
        <v/>
      </c>
      <c r="P172" t="str">
        <f>IF($V172&lt;&gt;"OK","",RANK(J172,$E172:$J172,0)+COUNTIF($E172:J172,J172)-1)</f>
        <v/>
      </c>
      <c r="Q172" t="str">
        <f t="shared" si="67"/>
        <v/>
      </c>
      <c r="R172" t="str">
        <f t="shared" si="68"/>
        <v/>
      </c>
      <c r="S172" t="str">
        <f t="shared" si="69"/>
        <v/>
      </c>
      <c r="T172" t="str">
        <f t="shared" si="70"/>
        <v/>
      </c>
      <c r="U172" s="1" t="str">
        <f>IF($T172="","",IFERROR(VLOOKUP($T172,'Kunci dari RIASEC'!$A$4:$B$123,2,FALSE),"Rekomendasi belum tersedia"))</f>
        <v/>
      </c>
      <c r="V172" t="str">
        <f>IF('entri hasil dari isian siswa'!B172="","",'entri hasil dari isian siswa'!HY172)</f>
        <v/>
      </c>
      <c r="W172" t="str">
        <f>IF($B172="","",SUM('entri hasil dari isian siswa'!E172:O172))</f>
        <v/>
      </c>
      <c r="X172" t="str">
        <f>IF($B172="","",SUM('entri hasil dari isian siswa'!P172:Z172))</f>
        <v/>
      </c>
      <c r="Y172" t="str">
        <f>IF($B172="","",SUM('entri hasil dari isian siswa'!AA172:AK172))</f>
        <v/>
      </c>
      <c r="Z172" t="str">
        <f>IF($B172="","",SUM('entri hasil dari isian siswa'!AL172:AV172))</f>
        <v/>
      </c>
      <c r="AA172" t="str">
        <f>IF($B172="","",SUM('entri hasil dari isian siswa'!AW172:BG172))</f>
        <v/>
      </c>
      <c r="AB172" t="str">
        <f>IF($B172="","",SUM('entri hasil dari isian siswa'!BH172:BR172))</f>
        <v/>
      </c>
      <c r="AC172" t="str">
        <f>IF($B172="","",SUM('entri hasil dari isian siswa'!BS172:CC172))</f>
        <v/>
      </c>
      <c r="AD172" t="str">
        <f>IF($B172="","",SUM('entri hasil dari isian siswa'!CD172:CN172))</f>
        <v/>
      </c>
      <c r="AE172" t="str">
        <f>IF($B172="","",SUM('entri hasil dari isian siswa'!CO172:CY172))</f>
        <v/>
      </c>
      <c r="AF172" t="str">
        <f>IF($B172="","",SUM('entri hasil dari isian siswa'!CZ172:DJ172))</f>
        <v/>
      </c>
      <c r="AG172" t="str">
        <f>IF($B172="","",SUM('entri hasil dari isian siswa'!DK172:DU172))</f>
        <v/>
      </c>
      <c r="AH172" t="str">
        <f>IF($B172="","",SUM('entri hasil dari isian siswa'!DV172:EF172))</f>
        <v/>
      </c>
      <c r="AI172" t="str">
        <f>IF($B172="","",SUM('entri hasil dari isian siswa'!EG172:ET172))</f>
        <v/>
      </c>
      <c r="AJ172" t="str">
        <f>IF($B172="","",SUM('entri hasil dari isian siswa'!EU172:FH172))</f>
        <v/>
      </c>
      <c r="AK172" t="str">
        <f>IF($B172="","",SUM('entri hasil dari isian siswa'!FI172:FV172))</f>
        <v/>
      </c>
      <c r="AL172" t="str">
        <f>IF($B172="","",SUM('entri hasil dari isian siswa'!FW172:GJ172))</f>
        <v/>
      </c>
      <c r="AM172" t="str">
        <f>IF($B172="","",SUM('entri hasil dari isian siswa'!GK172:GX172))</f>
        <v/>
      </c>
      <c r="AN172" t="str">
        <f>IF($B172="","",SUM('entri hasil dari isian siswa'!GY172:HL172))</f>
        <v/>
      </c>
      <c r="AO172" t="str">
        <f>IF($B172="","",'entri hasil dari isian siswa'!HM172+'entri hasil dari isian siswa'!HS172)</f>
        <v/>
      </c>
      <c r="AP172" t="str">
        <f>IF($B172="","",'entri hasil dari isian siswa'!HN172+'entri hasil dari isian siswa'!HT172)</f>
        <v/>
      </c>
      <c r="AQ172" t="str">
        <f>IF($B172="","",'entri hasil dari isian siswa'!HO172+'entri hasil dari isian siswa'!HU172)</f>
        <v/>
      </c>
      <c r="AR172" t="str">
        <f>IF($B172="","",'entri hasil dari isian siswa'!HP172+'entri hasil dari isian siswa'!HV172)</f>
        <v/>
      </c>
      <c r="AS172" t="str">
        <f>IF($B172="","",'entri hasil dari isian siswa'!HQ172+'entri hasil dari isian siswa'!HW172)</f>
        <v/>
      </c>
      <c r="AT172" t="str">
        <f>IF($B172="","",'entri hasil dari isian siswa'!HR172+'entri hasil dari isian siswa'!HX172)</f>
        <v/>
      </c>
      <c r="AU172" s="69" t="str">
        <f t="shared" si="71"/>
        <v/>
      </c>
      <c r="AV172" s="69" t="str">
        <f>IF($AU172="","",IFERROR(VLOOKUP($AU172,'Kunci dari RIASEC'!$J$4:$K$33,2,FALSE),""))</f>
        <v/>
      </c>
    </row>
    <row r="173" spans="1:48">
      <c r="A173">
        <f t="shared" si="60"/>
        <v>169</v>
      </c>
      <c r="B173" t="str">
        <f>IF('entri hasil dari isian siswa'!B173="","",'entri hasil dari isian siswa'!B173)</f>
        <v/>
      </c>
      <c r="C173" t="str">
        <f>IF('entri hasil dari isian siswa'!C173="","",'entri hasil dari isian siswa'!C173)</f>
        <v/>
      </c>
      <c r="D173" t="str">
        <f>IF('entri hasil dari isian siswa'!D173="","",'entri hasil dari isian siswa'!D173)</f>
        <v/>
      </c>
      <c r="E173" t="str">
        <f t="shared" si="61"/>
        <v/>
      </c>
      <c r="F173" t="str">
        <f t="shared" si="62"/>
        <v/>
      </c>
      <c r="G173" t="str">
        <f t="shared" si="63"/>
        <v/>
      </c>
      <c r="H173" t="str">
        <f t="shared" si="64"/>
        <v/>
      </c>
      <c r="I173" t="str">
        <f t="shared" si="65"/>
        <v/>
      </c>
      <c r="J173" t="str">
        <f t="shared" si="66"/>
        <v/>
      </c>
      <c r="K173" t="str">
        <f>IF($V173&lt;&gt;"OK","",RANK(E173,$E173:$J173,0)+COUNTIF($E173:E173,E173)-1)</f>
        <v/>
      </c>
      <c r="L173" t="str">
        <f>IF($V173&lt;&gt;"OK","",RANK(F173,$E173:$J173,0)+COUNTIF($E173:F173,F173)-1)</f>
        <v/>
      </c>
      <c r="M173" t="str">
        <f>IF($V173&lt;&gt;"OK","",RANK(G173,$E173:$J173,0)+COUNTIF($E173:G173,G173)-1)</f>
        <v/>
      </c>
      <c r="N173" t="str">
        <f>IF($V173&lt;&gt;"OK","",RANK(H173,$E173:$J173,0)+COUNTIF($E173:H173,H173)-1)</f>
        <v/>
      </c>
      <c r="O173" t="str">
        <f>IF($V173&lt;&gt;"OK","",RANK(I173,$E173:$J173,0)+COUNTIF($E173:I173,I173)-1)</f>
        <v/>
      </c>
      <c r="P173" t="str">
        <f>IF($V173&lt;&gt;"OK","",RANK(J173,$E173:$J173,0)+COUNTIF($E173:J173,J173)-1)</f>
        <v/>
      </c>
      <c r="Q173" t="str">
        <f t="shared" si="67"/>
        <v/>
      </c>
      <c r="R173" t="str">
        <f t="shared" si="68"/>
        <v/>
      </c>
      <c r="S173" t="str">
        <f t="shared" si="69"/>
        <v/>
      </c>
      <c r="T173" t="str">
        <f t="shared" si="70"/>
        <v/>
      </c>
      <c r="U173" s="1" t="str">
        <f>IF($T173="","",IFERROR(VLOOKUP($T173,'Kunci dari RIASEC'!$A$4:$B$123,2,FALSE),"Rekomendasi belum tersedia"))</f>
        <v/>
      </c>
      <c r="V173" t="str">
        <f>IF('entri hasil dari isian siswa'!B173="","",'entri hasil dari isian siswa'!HY173)</f>
        <v/>
      </c>
      <c r="W173" t="str">
        <f>IF($B173="","",SUM('entri hasil dari isian siswa'!E173:O173))</f>
        <v/>
      </c>
      <c r="X173" t="str">
        <f>IF($B173="","",SUM('entri hasil dari isian siswa'!P173:Z173))</f>
        <v/>
      </c>
      <c r="Y173" t="str">
        <f>IF($B173="","",SUM('entri hasil dari isian siswa'!AA173:AK173))</f>
        <v/>
      </c>
      <c r="Z173" t="str">
        <f>IF($B173="","",SUM('entri hasil dari isian siswa'!AL173:AV173))</f>
        <v/>
      </c>
      <c r="AA173" t="str">
        <f>IF($B173="","",SUM('entri hasil dari isian siswa'!AW173:BG173))</f>
        <v/>
      </c>
      <c r="AB173" t="str">
        <f>IF($B173="","",SUM('entri hasil dari isian siswa'!BH173:BR173))</f>
        <v/>
      </c>
      <c r="AC173" t="str">
        <f>IF($B173="","",SUM('entri hasil dari isian siswa'!BS173:CC173))</f>
        <v/>
      </c>
      <c r="AD173" t="str">
        <f>IF($B173="","",SUM('entri hasil dari isian siswa'!CD173:CN173))</f>
        <v/>
      </c>
      <c r="AE173" t="str">
        <f>IF($B173="","",SUM('entri hasil dari isian siswa'!CO173:CY173))</f>
        <v/>
      </c>
      <c r="AF173" t="str">
        <f>IF($B173="","",SUM('entri hasil dari isian siswa'!CZ173:DJ173))</f>
        <v/>
      </c>
      <c r="AG173" t="str">
        <f>IF($B173="","",SUM('entri hasil dari isian siswa'!DK173:DU173))</f>
        <v/>
      </c>
      <c r="AH173" t="str">
        <f>IF($B173="","",SUM('entri hasil dari isian siswa'!DV173:EF173))</f>
        <v/>
      </c>
      <c r="AI173" t="str">
        <f>IF($B173="","",SUM('entri hasil dari isian siswa'!EG173:ET173))</f>
        <v/>
      </c>
      <c r="AJ173" t="str">
        <f>IF($B173="","",SUM('entri hasil dari isian siswa'!EU173:FH173))</f>
        <v/>
      </c>
      <c r="AK173" t="str">
        <f>IF($B173="","",SUM('entri hasil dari isian siswa'!FI173:FV173))</f>
        <v/>
      </c>
      <c r="AL173" t="str">
        <f>IF($B173="","",SUM('entri hasil dari isian siswa'!FW173:GJ173))</f>
        <v/>
      </c>
      <c r="AM173" t="str">
        <f>IF($B173="","",SUM('entri hasil dari isian siswa'!GK173:GX173))</f>
        <v/>
      </c>
      <c r="AN173" t="str">
        <f>IF($B173="","",SUM('entri hasil dari isian siswa'!GY173:HL173))</f>
        <v/>
      </c>
      <c r="AO173" t="str">
        <f>IF($B173="","",'entri hasil dari isian siswa'!HM173+'entri hasil dari isian siswa'!HS173)</f>
        <v/>
      </c>
      <c r="AP173" t="str">
        <f>IF($B173="","",'entri hasil dari isian siswa'!HN173+'entri hasil dari isian siswa'!HT173)</f>
        <v/>
      </c>
      <c r="AQ173" t="str">
        <f>IF($B173="","",'entri hasil dari isian siswa'!HO173+'entri hasil dari isian siswa'!HU173)</f>
        <v/>
      </c>
      <c r="AR173" t="str">
        <f>IF($B173="","",'entri hasil dari isian siswa'!HP173+'entri hasil dari isian siswa'!HV173)</f>
        <v/>
      </c>
      <c r="AS173" t="str">
        <f>IF($B173="","",'entri hasil dari isian siswa'!HQ173+'entri hasil dari isian siswa'!HW173)</f>
        <v/>
      </c>
      <c r="AT173" t="str">
        <f>IF($B173="","",'entri hasil dari isian siswa'!HR173+'entri hasil dari isian siswa'!HX173)</f>
        <v/>
      </c>
      <c r="AU173" s="69" t="str">
        <f t="shared" si="71"/>
        <v/>
      </c>
      <c r="AV173" s="69" t="str">
        <f>IF($AU173="","",IFERROR(VLOOKUP($AU173,'Kunci dari RIASEC'!$J$4:$K$33,2,FALSE),""))</f>
        <v/>
      </c>
    </row>
    <row r="174" spans="1:48">
      <c r="A174">
        <f t="shared" si="60"/>
        <v>170</v>
      </c>
      <c r="B174" t="str">
        <f>IF('entri hasil dari isian siswa'!B174="","",'entri hasil dari isian siswa'!B174)</f>
        <v/>
      </c>
      <c r="C174" t="str">
        <f>IF('entri hasil dari isian siswa'!C174="","",'entri hasil dari isian siswa'!C174)</f>
        <v/>
      </c>
      <c r="D174" t="str">
        <f>IF('entri hasil dari isian siswa'!D174="","",'entri hasil dari isian siswa'!D174)</f>
        <v/>
      </c>
      <c r="E174" t="str">
        <f t="shared" si="61"/>
        <v/>
      </c>
      <c r="F174" t="str">
        <f t="shared" si="62"/>
        <v/>
      </c>
      <c r="G174" t="str">
        <f t="shared" si="63"/>
        <v/>
      </c>
      <c r="H174" t="str">
        <f t="shared" si="64"/>
        <v/>
      </c>
      <c r="I174" t="str">
        <f t="shared" si="65"/>
        <v/>
      </c>
      <c r="J174" t="str">
        <f t="shared" si="66"/>
        <v/>
      </c>
      <c r="K174" t="str">
        <f>IF($V174&lt;&gt;"OK","",RANK(E174,$E174:$J174,0)+COUNTIF($E174:E174,E174)-1)</f>
        <v/>
      </c>
      <c r="L174" t="str">
        <f>IF($V174&lt;&gt;"OK","",RANK(F174,$E174:$J174,0)+COUNTIF($E174:F174,F174)-1)</f>
        <v/>
      </c>
      <c r="M174" t="str">
        <f>IF($V174&lt;&gt;"OK","",RANK(G174,$E174:$J174,0)+COUNTIF($E174:G174,G174)-1)</f>
        <v/>
      </c>
      <c r="N174" t="str">
        <f>IF($V174&lt;&gt;"OK","",RANK(H174,$E174:$J174,0)+COUNTIF($E174:H174,H174)-1)</f>
        <v/>
      </c>
      <c r="O174" t="str">
        <f>IF($V174&lt;&gt;"OK","",RANK(I174,$E174:$J174,0)+COUNTIF($E174:I174,I174)-1)</f>
        <v/>
      </c>
      <c r="P174" t="str">
        <f>IF($V174&lt;&gt;"OK","",RANK(J174,$E174:$J174,0)+COUNTIF($E174:J174,J174)-1)</f>
        <v/>
      </c>
      <c r="Q174" t="str">
        <f t="shared" si="67"/>
        <v/>
      </c>
      <c r="R174" t="str">
        <f t="shared" si="68"/>
        <v/>
      </c>
      <c r="S174" t="str">
        <f t="shared" si="69"/>
        <v/>
      </c>
      <c r="T174" t="str">
        <f t="shared" si="70"/>
        <v/>
      </c>
      <c r="U174" s="1" t="str">
        <f>IF($T174="","",IFERROR(VLOOKUP($T174,'Kunci dari RIASEC'!$A$4:$B$123,2,FALSE),"Rekomendasi belum tersedia"))</f>
        <v/>
      </c>
      <c r="V174" t="str">
        <f>IF('entri hasil dari isian siswa'!B174="","",'entri hasil dari isian siswa'!HY174)</f>
        <v/>
      </c>
      <c r="W174" t="str">
        <f>IF($B174="","",SUM('entri hasil dari isian siswa'!E174:O174))</f>
        <v/>
      </c>
      <c r="X174" t="str">
        <f>IF($B174="","",SUM('entri hasil dari isian siswa'!P174:Z174))</f>
        <v/>
      </c>
      <c r="Y174" t="str">
        <f>IF($B174="","",SUM('entri hasil dari isian siswa'!AA174:AK174))</f>
        <v/>
      </c>
      <c r="Z174" t="str">
        <f>IF($B174="","",SUM('entri hasil dari isian siswa'!AL174:AV174))</f>
        <v/>
      </c>
      <c r="AA174" t="str">
        <f>IF($B174="","",SUM('entri hasil dari isian siswa'!AW174:BG174))</f>
        <v/>
      </c>
      <c r="AB174" t="str">
        <f>IF($B174="","",SUM('entri hasil dari isian siswa'!BH174:BR174))</f>
        <v/>
      </c>
      <c r="AC174" t="str">
        <f>IF($B174="","",SUM('entri hasil dari isian siswa'!BS174:CC174))</f>
        <v/>
      </c>
      <c r="AD174" t="str">
        <f>IF($B174="","",SUM('entri hasil dari isian siswa'!CD174:CN174))</f>
        <v/>
      </c>
      <c r="AE174" t="str">
        <f>IF($B174="","",SUM('entri hasil dari isian siswa'!CO174:CY174))</f>
        <v/>
      </c>
      <c r="AF174" t="str">
        <f>IF($B174="","",SUM('entri hasil dari isian siswa'!CZ174:DJ174))</f>
        <v/>
      </c>
      <c r="AG174" t="str">
        <f>IF($B174="","",SUM('entri hasil dari isian siswa'!DK174:DU174))</f>
        <v/>
      </c>
      <c r="AH174" t="str">
        <f>IF($B174="","",SUM('entri hasil dari isian siswa'!DV174:EF174))</f>
        <v/>
      </c>
      <c r="AI174" t="str">
        <f>IF($B174="","",SUM('entri hasil dari isian siswa'!EG174:ET174))</f>
        <v/>
      </c>
      <c r="AJ174" t="str">
        <f>IF($B174="","",SUM('entri hasil dari isian siswa'!EU174:FH174))</f>
        <v/>
      </c>
      <c r="AK174" t="str">
        <f>IF($B174="","",SUM('entri hasil dari isian siswa'!FI174:FV174))</f>
        <v/>
      </c>
      <c r="AL174" t="str">
        <f>IF($B174="","",SUM('entri hasil dari isian siswa'!FW174:GJ174))</f>
        <v/>
      </c>
      <c r="AM174" t="str">
        <f>IF($B174="","",SUM('entri hasil dari isian siswa'!GK174:GX174))</f>
        <v/>
      </c>
      <c r="AN174" t="str">
        <f>IF($B174="","",SUM('entri hasil dari isian siswa'!GY174:HL174))</f>
        <v/>
      </c>
      <c r="AO174" t="str">
        <f>IF($B174="","",'entri hasil dari isian siswa'!HM174+'entri hasil dari isian siswa'!HS174)</f>
        <v/>
      </c>
      <c r="AP174" t="str">
        <f>IF($B174="","",'entri hasil dari isian siswa'!HN174+'entri hasil dari isian siswa'!HT174)</f>
        <v/>
      </c>
      <c r="AQ174" t="str">
        <f>IF($B174="","",'entri hasil dari isian siswa'!HO174+'entri hasil dari isian siswa'!HU174)</f>
        <v/>
      </c>
      <c r="AR174" t="str">
        <f>IF($B174="","",'entri hasil dari isian siswa'!HP174+'entri hasil dari isian siswa'!HV174)</f>
        <v/>
      </c>
      <c r="AS174" t="str">
        <f>IF($B174="","",'entri hasil dari isian siswa'!HQ174+'entri hasil dari isian siswa'!HW174)</f>
        <v/>
      </c>
      <c r="AT174" t="str">
        <f>IF($B174="","",'entri hasil dari isian siswa'!HR174+'entri hasil dari isian siswa'!HX174)</f>
        <v/>
      </c>
      <c r="AU174" s="69" t="str">
        <f t="shared" si="71"/>
        <v/>
      </c>
      <c r="AV174" s="69" t="str">
        <f>IF($AU174="","",IFERROR(VLOOKUP($AU174,'Kunci dari RIASEC'!$J$4:$K$33,2,FALSE),""))</f>
        <v/>
      </c>
    </row>
    <row r="175" spans="1:48">
      <c r="A175">
        <f t="shared" si="60"/>
        <v>171</v>
      </c>
      <c r="B175" t="str">
        <f>IF('entri hasil dari isian siswa'!B175="","",'entri hasil dari isian siswa'!B175)</f>
        <v/>
      </c>
      <c r="C175" t="str">
        <f>IF('entri hasil dari isian siswa'!C175="","",'entri hasil dari isian siswa'!C175)</f>
        <v/>
      </c>
      <c r="D175" t="str">
        <f>IF('entri hasil dari isian siswa'!D175="","",'entri hasil dari isian siswa'!D175)</f>
        <v/>
      </c>
      <c r="E175" t="str">
        <f t="shared" si="61"/>
        <v/>
      </c>
      <c r="F175" t="str">
        <f t="shared" si="62"/>
        <v/>
      </c>
      <c r="G175" t="str">
        <f t="shared" si="63"/>
        <v/>
      </c>
      <c r="H175" t="str">
        <f t="shared" si="64"/>
        <v/>
      </c>
      <c r="I175" t="str">
        <f t="shared" si="65"/>
        <v/>
      </c>
      <c r="J175" t="str">
        <f t="shared" si="66"/>
        <v/>
      </c>
      <c r="K175" t="str">
        <f>IF($V175&lt;&gt;"OK","",RANK(E175,$E175:$J175,0)+COUNTIF($E175:E175,E175)-1)</f>
        <v/>
      </c>
      <c r="L175" t="str">
        <f>IF($V175&lt;&gt;"OK","",RANK(F175,$E175:$J175,0)+COUNTIF($E175:F175,F175)-1)</f>
        <v/>
      </c>
      <c r="M175" t="str">
        <f>IF($V175&lt;&gt;"OK","",RANK(G175,$E175:$J175,0)+COUNTIF($E175:G175,G175)-1)</f>
        <v/>
      </c>
      <c r="N175" t="str">
        <f>IF($V175&lt;&gt;"OK","",RANK(H175,$E175:$J175,0)+COUNTIF($E175:H175,H175)-1)</f>
        <v/>
      </c>
      <c r="O175" t="str">
        <f>IF($V175&lt;&gt;"OK","",RANK(I175,$E175:$J175,0)+COUNTIF($E175:I175,I175)-1)</f>
        <v/>
      </c>
      <c r="P175" t="str">
        <f>IF($V175&lt;&gt;"OK","",RANK(J175,$E175:$J175,0)+COUNTIF($E175:J175,J175)-1)</f>
        <v/>
      </c>
      <c r="Q175" t="str">
        <f t="shared" si="67"/>
        <v/>
      </c>
      <c r="R175" t="str">
        <f t="shared" si="68"/>
        <v/>
      </c>
      <c r="S175" t="str">
        <f t="shared" si="69"/>
        <v/>
      </c>
      <c r="T175" t="str">
        <f t="shared" si="70"/>
        <v/>
      </c>
      <c r="U175" s="1" t="str">
        <f>IF($T175="","",IFERROR(VLOOKUP($T175,'Kunci dari RIASEC'!$A$4:$B$123,2,FALSE),"Rekomendasi belum tersedia"))</f>
        <v/>
      </c>
      <c r="V175" t="str">
        <f>IF('entri hasil dari isian siswa'!B175="","",'entri hasil dari isian siswa'!HY175)</f>
        <v/>
      </c>
      <c r="W175" t="str">
        <f>IF($B175="","",SUM('entri hasil dari isian siswa'!E175:O175))</f>
        <v/>
      </c>
      <c r="X175" t="str">
        <f>IF($B175="","",SUM('entri hasil dari isian siswa'!P175:Z175))</f>
        <v/>
      </c>
      <c r="Y175" t="str">
        <f>IF($B175="","",SUM('entri hasil dari isian siswa'!AA175:AK175))</f>
        <v/>
      </c>
      <c r="Z175" t="str">
        <f>IF($B175="","",SUM('entri hasil dari isian siswa'!AL175:AV175))</f>
        <v/>
      </c>
      <c r="AA175" t="str">
        <f>IF($B175="","",SUM('entri hasil dari isian siswa'!AW175:BG175))</f>
        <v/>
      </c>
      <c r="AB175" t="str">
        <f>IF($B175="","",SUM('entri hasil dari isian siswa'!BH175:BR175))</f>
        <v/>
      </c>
      <c r="AC175" t="str">
        <f>IF($B175="","",SUM('entri hasil dari isian siswa'!BS175:CC175))</f>
        <v/>
      </c>
      <c r="AD175" t="str">
        <f>IF($B175="","",SUM('entri hasil dari isian siswa'!CD175:CN175))</f>
        <v/>
      </c>
      <c r="AE175" t="str">
        <f>IF($B175="","",SUM('entri hasil dari isian siswa'!CO175:CY175))</f>
        <v/>
      </c>
      <c r="AF175" t="str">
        <f>IF($B175="","",SUM('entri hasil dari isian siswa'!CZ175:DJ175))</f>
        <v/>
      </c>
      <c r="AG175" t="str">
        <f>IF($B175="","",SUM('entri hasil dari isian siswa'!DK175:DU175))</f>
        <v/>
      </c>
      <c r="AH175" t="str">
        <f>IF($B175="","",SUM('entri hasil dari isian siswa'!DV175:EF175))</f>
        <v/>
      </c>
      <c r="AI175" t="str">
        <f>IF($B175="","",SUM('entri hasil dari isian siswa'!EG175:ET175))</f>
        <v/>
      </c>
      <c r="AJ175" t="str">
        <f>IF($B175="","",SUM('entri hasil dari isian siswa'!EU175:FH175))</f>
        <v/>
      </c>
      <c r="AK175" t="str">
        <f>IF($B175="","",SUM('entri hasil dari isian siswa'!FI175:FV175))</f>
        <v/>
      </c>
      <c r="AL175" t="str">
        <f>IF($B175="","",SUM('entri hasil dari isian siswa'!FW175:GJ175))</f>
        <v/>
      </c>
      <c r="AM175" t="str">
        <f>IF($B175="","",SUM('entri hasil dari isian siswa'!GK175:GX175))</f>
        <v/>
      </c>
      <c r="AN175" t="str">
        <f>IF($B175="","",SUM('entri hasil dari isian siswa'!GY175:HL175))</f>
        <v/>
      </c>
      <c r="AO175" t="str">
        <f>IF($B175="","",'entri hasil dari isian siswa'!HM175+'entri hasil dari isian siswa'!HS175)</f>
        <v/>
      </c>
      <c r="AP175" t="str">
        <f>IF($B175="","",'entri hasil dari isian siswa'!HN175+'entri hasil dari isian siswa'!HT175)</f>
        <v/>
      </c>
      <c r="AQ175" t="str">
        <f>IF($B175="","",'entri hasil dari isian siswa'!HO175+'entri hasil dari isian siswa'!HU175)</f>
        <v/>
      </c>
      <c r="AR175" t="str">
        <f>IF($B175="","",'entri hasil dari isian siswa'!HP175+'entri hasil dari isian siswa'!HV175)</f>
        <v/>
      </c>
      <c r="AS175" t="str">
        <f>IF($B175="","",'entri hasil dari isian siswa'!HQ175+'entri hasil dari isian siswa'!HW175)</f>
        <v/>
      </c>
      <c r="AT175" t="str">
        <f>IF($B175="","",'entri hasil dari isian siswa'!HR175+'entri hasil dari isian siswa'!HX175)</f>
        <v/>
      </c>
      <c r="AU175" s="69" t="str">
        <f t="shared" si="71"/>
        <v/>
      </c>
      <c r="AV175" s="69" t="str">
        <f>IF($AU175="","",IFERROR(VLOOKUP($AU175,'Kunci dari RIASEC'!$J$4:$K$33,2,FALSE),""))</f>
        <v/>
      </c>
    </row>
    <row r="176" spans="1:48">
      <c r="A176">
        <f t="shared" si="60"/>
        <v>172</v>
      </c>
      <c r="B176" t="str">
        <f>IF('entri hasil dari isian siswa'!B176="","",'entri hasil dari isian siswa'!B176)</f>
        <v/>
      </c>
      <c r="C176" t="str">
        <f>IF('entri hasil dari isian siswa'!C176="","",'entri hasil dari isian siswa'!C176)</f>
        <v/>
      </c>
      <c r="D176" t="str">
        <f>IF('entri hasil dari isian siswa'!D176="","",'entri hasil dari isian siswa'!D176)</f>
        <v/>
      </c>
      <c r="E176" t="str">
        <f t="shared" si="61"/>
        <v/>
      </c>
      <c r="F176" t="str">
        <f t="shared" si="62"/>
        <v/>
      </c>
      <c r="G176" t="str">
        <f t="shared" si="63"/>
        <v/>
      </c>
      <c r="H176" t="str">
        <f t="shared" si="64"/>
        <v/>
      </c>
      <c r="I176" t="str">
        <f t="shared" si="65"/>
        <v/>
      </c>
      <c r="J176" t="str">
        <f t="shared" si="66"/>
        <v/>
      </c>
      <c r="K176" t="str">
        <f>IF($V176&lt;&gt;"OK","",RANK(E176,$E176:$J176,0)+COUNTIF($E176:E176,E176)-1)</f>
        <v/>
      </c>
      <c r="L176" t="str">
        <f>IF($V176&lt;&gt;"OK","",RANK(F176,$E176:$J176,0)+COUNTIF($E176:F176,F176)-1)</f>
        <v/>
      </c>
      <c r="M176" t="str">
        <f>IF($V176&lt;&gt;"OK","",RANK(G176,$E176:$J176,0)+COUNTIF($E176:G176,G176)-1)</f>
        <v/>
      </c>
      <c r="N176" t="str">
        <f>IF($V176&lt;&gt;"OK","",RANK(H176,$E176:$J176,0)+COUNTIF($E176:H176,H176)-1)</f>
        <v/>
      </c>
      <c r="O176" t="str">
        <f>IF($V176&lt;&gt;"OK","",RANK(I176,$E176:$J176,0)+COUNTIF($E176:I176,I176)-1)</f>
        <v/>
      </c>
      <c r="P176" t="str">
        <f>IF($V176&lt;&gt;"OK","",RANK(J176,$E176:$J176,0)+COUNTIF($E176:J176,J176)-1)</f>
        <v/>
      </c>
      <c r="Q176" t="str">
        <f t="shared" si="67"/>
        <v/>
      </c>
      <c r="R176" t="str">
        <f t="shared" si="68"/>
        <v/>
      </c>
      <c r="S176" t="str">
        <f t="shared" si="69"/>
        <v/>
      </c>
      <c r="T176" t="str">
        <f t="shared" si="70"/>
        <v/>
      </c>
      <c r="U176" s="1" t="str">
        <f>IF($T176="","",IFERROR(VLOOKUP($T176,'Kunci dari RIASEC'!$A$4:$B$123,2,FALSE),"Rekomendasi belum tersedia"))</f>
        <v/>
      </c>
      <c r="V176" t="str">
        <f>IF('entri hasil dari isian siswa'!B176="","",'entri hasil dari isian siswa'!HY176)</f>
        <v/>
      </c>
      <c r="W176" t="str">
        <f>IF($B176="","",SUM('entri hasil dari isian siswa'!E176:O176))</f>
        <v/>
      </c>
      <c r="X176" t="str">
        <f>IF($B176="","",SUM('entri hasil dari isian siswa'!P176:Z176))</f>
        <v/>
      </c>
      <c r="Y176" t="str">
        <f>IF($B176="","",SUM('entri hasil dari isian siswa'!AA176:AK176))</f>
        <v/>
      </c>
      <c r="Z176" t="str">
        <f>IF($B176="","",SUM('entri hasil dari isian siswa'!AL176:AV176))</f>
        <v/>
      </c>
      <c r="AA176" t="str">
        <f>IF($B176="","",SUM('entri hasil dari isian siswa'!AW176:BG176))</f>
        <v/>
      </c>
      <c r="AB176" t="str">
        <f>IF($B176="","",SUM('entri hasil dari isian siswa'!BH176:BR176))</f>
        <v/>
      </c>
      <c r="AC176" t="str">
        <f>IF($B176="","",SUM('entri hasil dari isian siswa'!BS176:CC176))</f>
        <v/>
      </c>
      <c r="AD176" t="str">
        <f>IF($B176="","",SUM('entri hasil dari isian siswa'!CD176:CN176))</f>
        <v/>
      </c>
      <c r="AE176" t="str">
        <f>IF($B176="","",SUM('entri hasil dari isian siswa'!CO176:CY176))</f>
        <v/>
      </c>
      <c r="AF176" t="str">
        <f>IF($B176="","",SUM('entri hasil dari isian siswa'!CZ176:DJ176))</f>
        <v/>
      </c>
      <c r="AG176" t="str">
        <f>IF($B176="","",SUM('entri hasil dari isian siswa'!DK176:DU176))</f>
        <v/>
      </c>
      <c r="AH176" t="str">
        <f>IF($B176="","",SUM('entri hasil dari isian siswa'!DV176:EF176))</f>
        <v/>
      </c>
      <c r="AI176" t="str">
        <f>IF($B176="","",SUM('entri hasil dari isian siswa'!EG176:ET176))</f>
        <v/>
      </c>
      <c r="AJ176" t="str">
        <f>IF($B176="","",SUM('entri hasil dari isian siswa'!EU176:FH176))</f>
        <v/>
      </c>
      <c r="AK176" t="str">
        <f>IF($B176="","",SUM('entri hasil dari isian siswa'!FI176:FV176))</f>
        <v/>
      </c>
      <c r="AL176" t="str">
        <f>IF($B176="","",SUM('entri hasil dari isian siswa'!FW176:GJ176))</f>
        <v/>
      </c>
      <c r="AM176" t="str">
        <f>IF($B176="","",SUM('entri hasil dari isian siswa'!GK176:GX176))</f>
        <v/>
      </c>
      <c r="AN176" t="str">
        <f>IF($B176="","",SUM('entri hasil dari isian siswa'!GY176:HL176))</f>
        <v/>
      </c>
      <c r="AO176" t="str">
        <f>IF($B176="","",'entri hasil dari isian siswa'!HM176+'entri hasil dari isian siswa'!HS176)</f>
        <v/>
      </c>
      <c r="AP176" t="str">
        <f>IF($B176="","",'entri hasil dari isian siswa'!HN176+'entri hasil dari isian siswa'!HT176)</f>
        <v/>
      </c>
      <c r="AQ176" t="str">
        <f>IF($B176="","",'entri hasil dari isian siswa'!HO176+'entri hasil dari isian siswa'!HU176)</f>
        <v/>
      </c>
      <c r="AR176" t="str">
        <f>IF($B176="","",'entri hasil dari isian siswa'!HP176+'entri hasil dari isian siswa'!HV176)</f>
        <v/>
      </c>
      <c r="AS176" t="str">
        <f>IF($B176="","",'entri hasil dari isian siswa'!HQ176+'entri hasil dari isian siswa'!HW176)</f>
        <v/>
      </c>
      <c r="AT176" t="str">
        <f>IF($B176="","",'entri hasil dari isian siswa'!HR176+'entri hasil dari isian siswa'!HX176)</f>
        <v/>
      </c>
      <c r="AU176" s="69" t="str">
        <f t="shared" si="71"/>
        <v/>
      </c>
      <c r="AV176" s="69" t="str">
        <f>IF($AU176="","",IFERROR(VLOOKUP($AU176,'Kunci dari RIASEC'!$J$4:$K$33,2,FALSE),""))</f>
        <v/>
      </c>
    </row>
    <row r="177" spans="1:48">
      <c r="A177">
        <f t="shared" si="60"/>
        <v>173</v>
      </c>
      <c r="B177" t="str">
        <f>IF('entri hasil dari isian siswa'!B177="","",'entri hasil dari isian siswa'!B177)</f>
        <v/>
      </c>
      <c r="C177" t="str">
        <f>IF('entri hasil dari isian siswa'!C177="","",'entri hasil dari isian siswa'!C177)</f>
        <v/>
      </c>
      <c r="D177" t="str">
        <f>IF('entri hasil dari isian siswa'!D177="","",'entri hasil dari isian siswa'!D177)</f>
        <v/>
      </c>
      <c r="E177" t="str">
        <f t="shared" si="61"/>
        <v/>
      </c>
      <c r="F177" t="str">
        <f t="shared" si="62"/>
        <v/>
      </c>
      <c r="G177" t="str">
        <f t="shared" si="63"/>
        <v/>
      </c>
      <c r="H177" t="str">
        <f t="shared" si="64"/>
        <v/>
      </c>
      <c r="I177" t="str">
        <f t="shared" si="65"/>
        <v/>
      </c>
      <c r="J177" t="str">
        <f t="shared" si="66"/>
        <v/>
      </c>
      <c r="K177" t="str">
        <f>IF($V177&lt;&gt;"OK","",RANK(E177,$E177:$J177,0)+COUNTIF($E177:E177,E177)-1)</f>
        <v/>
      </c>
      <c r="L177" t="str">
        <f>IF($V177&lt;&gt;"OK","",RANK(F177,$E177:$J177,0)+COUNTIF($E177:F177,F177)-1)</f>
        <v/>
      </c>
      <c r="M177" t="str">
        <f>IF($V177&lt;&gt;"OK","",RANK(G177,$E177:$J177,0)+COUNTIF($E177:G177,G177)-1)</f>
        <v/>
      </c>
      <c r="N177" t="str">
        <f>IF($V177&lt;&gt;"OK","",RANK(H177,$E177:$J177,0)+COUNTIF($E177:H177,H177)-1)</f>
        <v/>
      </c>
      <c r="O177" t="str">
        <f>IF($V177&lt;&gt;"OK","",RANK(I177,$E177:$J177,0)+COUNTIF($E177:I177,I177)-1)</f>
        <v/>
      </c>
      <c r="P177" t="str">
        <f>IF($V177&lt;&gt;"OK","",RANK(J177,$E177:$J177,0)+COUNTIF($E177:J177,J177)-1)</f>
        <v/>
      </c>
      <c r="Q177" t="str">
        <f t="shared" si="67"/>
        <v/>
      </c>
      <c r="R177" t="str">
        <f t="shared" si="68"/>
        <v/>
      </c>
      <c r="S177" t="str">
        <f t="shared" si="69"/>
        <v/>
      </c>
      <c r="T177" t="str">
        <f t="shared" si="70"/>
        <v/>
      </c>
      <c r="U177" s="1" t="str">
        <f>IF($T177="","",IFERROR(VLOOKUP($T177,'Kunci dari RIASEC'!$A$4:$B$123,2,FALSE),"Rekomendasi belum tersedia"))</f>
        <v/>
      </c>
      <c r="V177" t="str">
        <f>IF('entri hasil dari isian siswa'!B177="","",'entri hasil dari isian siswa'!HY177)</f>
        <v/>
      </c>
      <c r="W177" t="str">
        <f>IF($B177="","",SUM('entri hasil dari isian siswa'!E177:O177))</f>
        <v/>
      </c>
      <c r="X177" t="str">
        <f>IF($B177="","",SUM('entri hasil dari isian siswa'!P177:Z177))</f>
        <v/>
      </c>
      <c r="Y177" t="str">
        <f>IF($B177="","",SUM('entri hasil dari isian siswa'!AA177:AK177))</f>
        <v/>
      </c>
      <c r="Z177" t="str">
        <f>IF($B177="","",SUM('entri hasil dari isian siswa'!AL177:AV177))</f>
        <v/>
      </c>
      <c r="AA177" t="str">
        <f>IF($B177="","",SUM('entri hasil dari isian siswa'!AW177:BG177))</f>
        <v/>
      </c>
      <c r="AB177" t="str">
        <f>IF($B177="","",SUM('entri hasil dari isian siswa'!BH177:BR177))</f>
        <v/>
      </c>
      <c r="AC177" t="str">
        <f>IF($B177="","",SUM('entri hasil dari isian siswa'!BS177:CC177))</f>
        <v/>
      </c>
      <c r="AD177" t="str">
        <f>IF($B177="","",SUM('entri hasil dari isian siswa'!CD177:CN177))</f>
        <v/>
      </c>
      <c r="AE177" t="str">
        <f>IF($B177="","",SUM('entri hasil dari isian siswa'!CO177:CY177))</f>
        <v/>
      </c>
      <c r="AF177" t="str">
        <f>IF($B177="","",SUM('entri hasil dari isian siswa'!CZ177:DJ177))</f>
        <v/>
      </c>
      <c r="AG177" t="str">
        <f>IF($B177="","",SUM('entri hasil dari isian siswa'!DK177:DU177))</f>
        <v/>
      </c>
      <c r="AH177" t="str">
        <f>IF($B177="","",SUM('entri hasil dari isian siswa'!DV177:EF177))</f>
        <v/>
      </c>
      <c r="AI177" t="str">
        <f>IF($B177="","",SUM('entri hasil dari isian siswa'!EG177:ET177))</f>
        <v/>
      </c>
      <c r="AJ177" t="str">
        <f>IF($B177="","",SUM('entri hasil dari isian siswa'!EU177:FH177))</f>
        <v/>
      </c>
      <c r="AK177" t="str">
        <f>IF($B177="","",SUM('entri hasil dari isian siswa'!FI177:FV177))</f>
        <v/>
      </c>
      <c r="AL177" t="str">
        <f>IF($B177="","",SUM('entri hasil dari isian siswa'!FW177:GJ177))</f>
        <v/>
      </c>
      <c r="AM177" t="str">
        <f>IF($B177="","",SUM('entri hasil dari isian siswa'!GK177:GX177))</f>
        <v/>
      </c>
      <c r="AN177" t="str">
        <f>IF($B177="","",SUM('entri hasil dari isian siswa'!GY177:HL177))</f>
        <v/>
      </c>
      <c r="AO177" t="str">
        <f>IF($B177="","",'entri hasil dari isian siswa'!HM177+'entri hasil dari isian siswa'!HS177)</f>
        <v/>
      </c>
      <c r="AP177" t="str">
        <f>IF($B177="","",'entri hasil dari isian siswa'!HN177+'entri hasil dari isian siswa'!HT177)</f>
        <v/>
      </c>
      <c r="AQ177" t="str">
        <f>IF($B177="","",'entri hasil dari isian siswa'!HO177+'entri hasil dari isian siswa'!HU177)</f>
        <v/>
      </c>
      <c r="AR177" t="str">
        <f>IF($B177="","",'entri hasil dari isian siswa'!HP177+'entri hasil dari isian siswa'!HV177)</f>
        <v/>
      </c>
      <c r="AS177" t="str">
        <f>IF($B177="","",'entri hasil dari isian siswa'!HQ177+'entri hasil dari isian siswa'!HW177)</f>
        <v/>
      </c>
      <c r="AT177" t="str">
        <f>IF($B177="","",'entri hasil dari isian siswa'!HR177+'entri hasil dari isian siswa'!HX177)</f>
        <v/>
      </c>
      <c r="AU177" s="69" t="str">
        <f t="shared" si="71"/>
        <v/>
      </c>
      <c r="AV177" s="69" t="str">
        <f>IF($AU177="","",IFERROR(VLOOKUP($AU177,'Kunci dari RIASEC'!$J$4:$K$33,2,FALSE),""))</f>
        <v/>
      </c>
    </row>
    <row r="178" spans="1:48">
      <c r="A178">
        <f t="shared" si="60"/>
        <v>174</v>
      </c>
      <c r="B178" t="str">
        <f>IF('entri hasil dari isian siswa'!B178="","",'entri hasil dari isian siswa'!B178)</f>
        <v/>
      </c>
      <c r="C178" t="str">
        <f>IF('entri hasil dari isian siswa'!C178="","",'entri hasil dari isian siswa'!C178)</f>
        <v/>
      </c>
      <c r="D178" t="str">
        <f>IF('entri hasil dari isian siswa'!D178="","",'entri hasil dari isian siswa'!D178)</f>
        <v/>
      </c>
      <c r="E178" t="str">
        <f t="shared" si="61"/>
        <v/>
      </c>
      <c r="F178" t="str">
        <f t="shared" si="62"/>
        <v/>
      </c>
      <c r="G178" t="str">
        <f t="shared" si="63"/>
        <v/>
      </c>
      <c r="H178" t="str">
        <f t="shared" si="64"/>
        <v/>
      </c>
      <c r="I178" t="str">
        <f t="shared" si="65"/>
        <v/>
      </c>
      <c r="J178" t="str">
        <f t="shared" si="66"/>
        <v/>
      </c>
      <c r="K178" t="str">
        <f>IF($V178&lt;&gt;"OK","",RANK(E178,$E178:$J178,0)+COUNTIF($E178:E178,E178)-1)</f>
        <v/>
      </c>
      <c r="L178" t="str">
        <f>IF($V178&lt;&gt;"OK","",RANK(F178,$E178:$J178,0)+COUNTIF($E178:F178,F178)-1)</f>
        <v/>
      </c>
      <c r="M178" t="str">
        <f>IF($V178&lt;&gt;"OK","",RANK(G178,$E178:$J178,0)+COUNTIF($E178:G178,G178)-1)</f>
        <v/>
      </c>
      <c r="N178" t="str">
        <f>IF($V178&lt;&gt;"OK","",RANK(H178,$E178:$J178,0)+COUNTIF($E178:H178,H178)-1)</f>
        <v/>
      </c>
      <c r="O178" t="str">
        <f>IF($V178&lt;&gt;"OK","",RANK(I178,$E178:$J178,0)+COUNTIF($E178:I178,I178)-1)</f>
        <v/>
      </c>
      <c r="P178" t="str">
        <f>IF($V178&lt;&gt;"OK","",RANK(J178,$E178:$J178,0)+COUNTIF($E178:J178,J178)-1)</f>
        <v/>
      </c>
      <c r="Q178" t="str">
        <f t="shared" si="67"/>
        <v/>
      </c>
      <c r="R178" t="str">
        <f t="shared" si="68"/>
        <v/>
      </c>
      <c r="S178" t="str">
        <f t="shared" si="69"/>
        <v/>
      </c>
      <c r="T178" t="str">
        <f t="shared" si="70"/>
        <v/>
      </c>
      <c r="U178" s="1" t="str">
        <f>IF($T178="","",IFERROR(VLOOKUP($T178,'Kunci dari RIASEC'!$A$4:$B$123,2,FALSE),"Rekomendasi belum tersedia"))</f>
        <v/>
      </c>
      <c r="V178" t="str">
        <f>IF('entri hasil dari isian siswa'!B178="","",'entri hasil dari isian siswa'!HY178)</f>
        <v/>
      </c>
      <c r="W178" t="str">
        <f>IF($B178="","",SUM('entri hasil dari isian siswa'!E178:O178))</f>
        <v/>
      </c>
      <c r="X178" t="str">
        <f>IF($B178="","",SUM('entri hasil dari isian siswa'!P178:Z178))</f>
        <v/>
      </c>
      <c r="Y178" t="str">
        <f>IF($B178="","",SUM('entri hasil dari isian siswa'!AA178:AK178))</f>
        <v/>
      </c>
      <c r="Z178" t="str">
        <f>IF($B178="","",SUM('entri hasil dari isian siswa'!AL178:AV178))</f>
        <v/>
      </c>
      <c r="AA178" t="str">
        <f>IF($B178="","",SUM('entri hasil dari isian siswa'!AW178:BG178))</f>
        <v/>
      </c>
      <c r="AB178" t="str">
        <f>IF($B178="","",SUM('entri hasil dari isian siswa'!BH178:BR178))</f>
        <v/>
      </c>
      <c r="AC178" t="str">
        <f>IF($B178="","",SUM('entri hasil dari isian siswa'!BS178:CC178))</f>
        <v/>
      </c>
      <c r="AD178" t="str">
        <f>IF($B178="","",SUM('entri hasil dari isian siswa'!CD178:CN178))</f>
        <v/>
      </c>
      <c r="AE178" t="str">
        <f>IF($B178="","",SUM('entri hasil dari isian siswa'!CO178:CY178))</f>
        <v/>
      </c>
      <c r="AF178" t="str">
        <f>IF($B178="","",SUM('entri hasil dari isian siswa'!CZ178:DJ178))</f>
        <v/>
      </c>
      <c r="AG178" t="str">
        <f>IF($B178="","",SUM('entri hasil dari isian siswa'!DK178:DU178))</f>
        <v/>
      </c>
      <c r="AH178" t="str">
        <f>IF($B178="","",SUM('entri hasil dari isian siswa'!DV178:EF178))</f>
        <v/>
      </c>
      <c r="AI178" t="str">
        <f>IF($B178="","",SUM('entri hasil dari isian siswa'!EG178:ET178))</f>
        <v/>
      </c>
      <c r="AJ178" t="str">
        <f>IF($B178="","",SUM('entri hasil dari isian siswa'!EU178:FH178))</f>
        <v/>
      </c>
      <c r="AK178" t="str">
        <f>IF($B178="","",SUM('entri hasil dari isian siswa'!FI178:FV178))</f>
        <v/>
      </c>
      <c r="AL178" t="str">
        <f>IF($B178="","",SUM('entri hasil dari isian siswa'!FW178:GJ178))</f>
        <v/>
      </c>
      <c r="AM178" t="str">
        <f>IF($B178="","",SUM('entri hasil dari isian siswa'!GK178:GX178))</f>
        <v/>
      </c>
      <c r="AN178" t="str">
        <f>IF($B178="","",SUM('entri hasil dari isian siswa'!GY178:HL178))</f>
        <v/>
      </c>
      <c r="AO178" t="str">
        <f>IF($B178="","",'entri hasil dari isian siswa'!HM178+'entri hasil dari isian siswa'!HS178)</f>
        <v/>
      </c>
      <c r="AP178" t="str">
        <f>IF($B178="","",'entri hasil dari isian siswa'!HN178+'entri hasil dari isian siswa'!HT178)</f>
        <v/>
      </c>
      <c r="AQ178" t="str">
        <f>IF($B178="","",'entri hasil dari isian siswa'!HO178+'entri hasil dari isian siswa'!HU178)</f>
        <v/>
      </c>
      <c r="AR178" t="str">
        <f>IF($B178="","",'entri hasil dari isian siswa'!HP178+'entri hasil dari isian siswa'!HV178)</f>
        <v/>
      </c>
      <c r="AS178" t="str">
        <f>IF($B178="","",'entri hasil dari isian siswa'!HQ178+'entri hasil dari isian siswa'!HW178)</f>
        <v/>
      </c>
      <c r="AT178" t="str">
        <f>IF($B178="","",'entri hasil dari isian siswa'!HR178+'entri hasil dari isian siswa'!HX178)</f>
        <v/>
      </c>
      <c r="AU178" s="69" t="str">
        <f t="shared" si="71"/>
        <v/>
      </c>
      <c r="AV178" s="69" t="str">
        <f>IF($AU178="","",IFERROR(VLOOKUP($AU178,'Kunci dari RIASEC'!$J$4:$K$33,2,FALSE),""))</f>
        <v/>
      </c>
    </row>
    <row r="179" spans="1:48">
      <c r="A179">
        <f t="shared" si="60"/>
        <v>175</v>
      </c>
      <c r="B179" t="str">
        <f>IF('entri hasil dari isian siswa'!B179="","",'entri hasil dari isian siswa'!B179)</f>
        <v/>
      </c>
      <c r="C179" t="str">
        <f>IF('entri hasil dari isian siswa'!C179="","",'entri hasil dari isian siswa'!C179)</f>
        <v/>
      </c>
      <c r="D179" t="str">
        <f>IF('entri hasil dari isian siswa'!D179="","",'entri hasil dari isian siswa'!D179)</f>
        <v/>
      </c>
      <c r="E179" t="str">
        <f t="shared" si="61"/>
        <v/>
      </c>
      <c r="F179" t="str">
        <f t="shared" si="62"/>
        <v/>
      </c>
      <c r="G179" t="str">
        <f t="shared" si="63"/>
        <v/>
      </c>
      <c r="H179" t="str">
        <f t="shared" si="64"/>
        <v/>
      </c>
      <c r="I179" t="str">
        <f t="shared" si="65"/>
        <v/>
      </c>
      <c r="J179" t="str">
        <f t="shared" si="66"/>
        <v/>
      </c>
      <c r="K179" t="str">
        <f>IF($V179&lt;&gt;"OK","",RANK(E179,$E179:$J179,0)+COUNTIF($E179:E179,E179)-1)</f>
        <v/>
      </c>
      <c r="L179" t="str">
        <f>IF($V179&lt;&gt;"OK","",RANK(F179,$E179:$J179,0)+COUNTIF($E179:F179,F179)-1)</f>
        <v/>
      </c>
      <c r="M179" t="str">
        <f>IF($V179&lt;&gt;"OK","",RANK(G179,$E179:$J179,0)+COUNTIF($E179:G179,G179)-1)</f>
        <v/>
      </c>
      <c r="N179" t="str">
        <f>IF($V179&lt;&gt;"OK","",RANK(H179,$E179:$J179,0)+COUNTIF($E179:H179,H179)-1)</f>
        <v/>
      </c>
      <c r="O179" t="str">
        <f>IF($V179&lt;&gt;"OK","",RANK(I179,$E179:$J179,0)+COUNTIF($E179:I179,I179)-1)</f>
        <v/>
      </c>
      <c r="P179" t="str">
        <f>IF($V179&lt;&gt;"OK","",RANK(J179,$E179:$J179,0)+COUNTIF($E179:J179,J179)-1)</f>
        <v/>
      </c>
      <c r="Q179" t="str">
        <f t="shared" si="67"/>
        <v/>
      </c>
      <c r="R179" t="str">
        <f t="shared" si="68"/>
        <v/>
      </c>
      <c r="S179" t="str">
        <f t="shared" si="69"/>
        <v/>
      </c>
      <c r="T179" t="str">
        <f t="shared" si="70"/>
        <v/>
      </c>
      <c r="U179" s="1" t="str">
        <f>IF($T179="","",IFERROR(VLOOKUP($T179,'Kunci dari RIASEC'!$A$4:$B$123,2,FALSE),"Rekomendasi belum tersedia"))</f>
        <v/>
      </c>
      <c r="V179" t="str">
        <f>IF('entri hasil dari isian siswa'!B179="","",'entri hasil dari isian siswa'!HY179)</f>
        <v/>
      </c>
      <c r="W179" t="str">
        <f>IF($B179="","",SUM('entri hasil dari isian siswa'!E179:O179))</f>
        <v/>
      </c>
      <c r="X179" t="str">
        <f>IF($B179="","",SUM('entri hasil dari isian siswa'!P179:Z179))</f>
        <v/>
      </c>
      <c r="Y179" t="str">
        <f>IF($B179="","",SUM('entri hasil dari isian siswa'!AA179:AK179))</f>
        <v/>
      </c>
      <c r="Z179" t="str">
        <f>IF($B179="","",SUM('entri hasil dari isian siswa'!AL179:AV179))</f>
        <v/>
      </c>
      <c r="AA179" t="str">
        <f>IF($B179="","",SUM('entri hasil dari isian siswa'!AW179:BG179))</f>
        <v/>
      </c>
      <c r="AB179" t="str">
        <f>IF($B179="","",SUM('entri hasil dari isian siswa'!BH179:BR179))</f>
        <v/>
      </c>
      <c r="AC179" t="str">
        <f>IF($B179="","",SUM('entri hasil dari isian siswa'!BS179:CC179))</f>
        <v/>
      </c>
      <c r="AD179" t="str">
        <f>IF($B179="","",SUM('entri hasil dari isian siswa'!CD179:CN179))</f>
        <v/>
      </c>
      <c r="AE179" t="str">
        <f>IF($B179="","",SUM('entri hasil dari isian siswa'!CO179:CY179))</f>
        <v/>
      </c>
      <c r="AF179" t="str">
        <f>IF($B179="","",SUM('entri hasil dari isian siswa'!CZ179:DJ179))</f>
        <v/>
      </c>
      <c r="AG179" t="str">
        <f>IF($B179="","",SUM('entri hasil dari isian siswa'!DK179:DU179))</f>
        <v/>
      </c>
      <c r="AH179" t="str">
        <f>IF($B179="","",SUM('entri hasil dari isian siswa'!DV179:EF179))</f>
        <v/>
      </c>
      <c r="AI179" t="str">
        <f>IF($B179="","",SUM('entri hasil dari isian siswa'!EG179:ET179))</f>
        <v/>
      </c>
      <c r="AJ179" t="str">
        <f>IF($B179="","",SUM('entri hasil dari isian siswa'!EU179:FH179))</f>
        <v/>
      </c>
      <c r="AK179" t="str">
        <f>IF($B179="","",SUM('entri hasil dari isian siswa'!FI179:FV179))</f>
        <v/>
      </c>
      <c r="AL179" t="str">
        <f>IF($B179="","",SUM('entri hasil dari isian siswa'!FW179:GJ179))</f>
        <v/>
      </c>
      <c r="AM179" t="str">
        <f>IF($B179="","",SUM('entri hasil dari isian siswa'!GK179:GX179))</f>
        <v/>
      </c>
      <c r="AN179" t="str">
        <f>IF($B179="","",SUM('entri hasil dari isian siswa'!GY179:HL179))</f>
        <v/>
      </c>
      <c r="AO179" t="str">
        <f>IF($B179="","",'entri hasil dari isian siswa'!HM179+'entri hasil dari isian siswa'!HS179)</f>
        <v/>
      </c>
      <c r="AP179" t="str">
        <f>IF($B179="","",'entri hasil dari isian siswa'!HN179+'entri hasil dari isian siswa'!HT179)</f>
        <v/>
      </c>
      <c r="AQ179" t="str">
        <f>IF($B179="","",'entri hasil dari isian siswa'!HO179+'entri hasil dari isian siswa'!HU179)</f>
        <v/>
      </c>
      <c r="AR179" t="str">
        <f>IF($B179="","",'entri hasil dari isian siswa'!HP179+'entri hasil dari isian siswa'!HV179)</f>
        <v/>
      </c>
      <c r="AS179" t="str">
        <f>IF($B179="","",'entri hasil dari isian siswa'!HQ179+'entri hasil dari isian siswa'!HW179)</f>
        <v/>
      </c>
      <c r="AT179" t="str">
        <f>IF($B179="","",'entri hasil dari isian siswa'!HR179+'entri hasil dari isian siswa'!HX179)</f>
        <v/>
      </c>
      <c r="AU179" s="69" t="str">
        <f t="shared" si="71"/>
        <v/>
      </c>
      <c r="AV179" s="69" t="str">
        <f>IF($AU179="","",IFERROR(VLOOKUP($AU179,'Kunci dari RIASEC'!$J$4:$K$33,2,FALSE),""))</f>
        <v/>
      </c>
    </row>
    <row r="180" spans="1:48">
      <c r="A180">
        <f t="shared" si="60"/>
        <v>176</v>
      </c>
      <c r="B180" t="str">
        <f>IF('entri hasil dari isian siswa'!B180="","",'entri hasil dari isian siswa'!B180)</f>
        <v/>
      </c>
      <c r="C180" t="str">
        <f>IF('entri hasil dari isian siswa'!C180="","",'entri hasil dari isian siswa'!C180)</f>
        <v/>
      </c>
      <c r="D180" t="str">
        <f>IF('entri hasil dari isian siswa'!D180="","",'entri hasil dari isian siswa'!D180)</f>
        <v/>
      </c>
      <c r="E180" t="str">
        <f t="shared" si="61"/>
        <v/>
      </c>
      <c r="F180" t="str">
        <f t="shared" si="62"/>
        <v/>
      </c>
      <c r="G180" t="str">
        <f t="shared" si="63"/>
        <v/>
      </c>
      <c r="H180" t="str">
        <f t="shared" si="64"/>
        <v/>
      </c>
      <c r="I180" t="str">
        <f t="shared" si="65"/>
        <v/>
      </c>
      <c r="J180" t="str">
        <f t="shared" si="66"/>
        <v/>
      </c>
      <c r="K180" t="str">
        <f>IF($V180&lt;&gt;"OK","",RANK(E180,$E180:$J180,0)+COUNTIF($E180:E180,E180)-1)</f>
        <v/>
      </c>
      <c r="L180" t="str">
        <f>IF($V180&lt;&gt;"OK","",RANK(F180,$E180:$J180,0)+COUNTIF($E180:F180,F180)-1)</f>
        <v/>
      </c>
      <c r="M180" t="str">
        <f>IF($V180&lt;&gt;"OK","",RANK(G180,$E180:$J180,0)+COUNTIF($E180:G180,G180)-1)</f>
        <v/>
      </c>
      <c r="N180" t="str">
        <f>IF($V180&lt;&gt;"OK","",RANK(H180,$E180:$J180,0)+COUNTIF($E180:H180,H180)-1)</f>
        <v/>
      </c>
      <c r="O180" t="str">
        <f>IF($V180&lt;&gt;"OK","",RANK(I180,$E180:$J180,0)+COUNTIF($E180:I180,I180)-1)</f>
        <v/>
      </c>
      <c r="P180" t="str">
        <f>IF($V180&lt;&gt;"OK","",RANK(J180,$E180:$J180,0)+COUNTIF($E180:J180,J180)-1)</f>
        <v/>
      </c>
      <c r="Q180" t="str">
        <f t="shared" si="67"/>
        <v/>
      </c>
      <c r="R180" t="str">
        <f t="shared" si="68"/>
        <v/>
      </c>
      <c r="S180" t="str">
        <f t="shared" si="69"/>
        <v/>
      </c>
      <c r="T180" t="str">
        <f t="shared" si="70"/>
        <v/>
      </c>
      <c r="U180" s="1" t="str">
        <f>IF($T180="","",IFERROR(VLOOKUP($T180,'Kunci dari RIASEC'!$A$4:$B$123,2,FALSE),"Rekomendasi belum tersedia"))</f>
        <v/>
      </c>
      <c r="V180" t="str">
        <f>IF('entri hasil dari isian siswa'!B180="","",'entri hasil dari isian siswa'!HY180)</f>
        <v/>
      </c>
      <c r="W180" t="str">
        <f>IF($B180="","",SUM('entri hasil dari isian siswa'!E180:O180))</f>
        <v/>
      </c>
      <c r="X180" t="str">
        <f>IF($B180="","",SUM('entri hasil dari isian siswa'!P180:Z180))</f>
        <v/>
      </c>
      <c r="Y180" t="str">
        <f>IF($B180="","",SUM('entri hasil dari isian siswa'!AA180:AK180))</f>
        <v/>
      </c>
      <c r="Z180" t="str">
        <f>IF($B180="","",SUM('entri hasil dari isian siswa'!AL180:AV180))</f>
        <v/>
      </c>
      <c r="AA180" t="str">
        <f>IF($B180="","",SUM('entri hasil dari isian siswa'!AW180:BG180))</f>
        <v/>
      </c>
      <c r="AB180" t="str">
        <f>IF($B180="","",SUM('entri hasil dari isian siswa'!BH180:BR180))</f>
        <v/>
      </c>
      <c r="AC180" t="str">
        <f>IF($B180="","",SUM('entri hasil dari isian siswa'!BS180:CC180))</f>
        <v/>
      </c>
      <c r="AD180" t="str">
        <f>IF($B180="","",SUM('entri hasil dari isian siswa'!CD180:CN180))</f>
        <v/>
      </c>
      <c r="AE180" t="str">
        <f>IF($B180="","",SUM('entri hasil dari isian siswa'!CO180:CY180))</f>
        <v/>
      </c>
      <c r="AF180" t="str">
        <f>IF($B180="","",SUM('entri hasil dari isian siswa'!CZ180:DJ180))</f>
        <v/>
      </c>
      <c r="AG180" t="str">
        <f>IF($B180="","",SUM('entri hasil dari isian siswa'!DK180:DU180))</f>
        <v/>
      </c>
      <c r="AH180" t="str">
        <f>IF($B180="","",SUM('entri hasil dari isian siswa'!DV180:EF180))</f>
        <v/>
      </c>
      <c r="AI180" t="str">
        <f>IF($B180="","",SUM('entri hasil dari isian siswa'!EG180:ET180))</f>
        <v/>
      </c>
      <c r="AJ180" t="str">
        <f>IF($B180="","",SUM('entri hasil dari isian siswa'!EU180:FH180))</f>
        <v/>
      </c>
      <c r="AK180" t="str">
        <f>IF($B180="","",SUM('entri hasil dari isian siswa'!FI180:FV180))</f>
        <v/>
      </c>
      <c r="AL180" t="str">
        <f>IF($B180="","",SUM('entri hasil dari isian siswa'!FW180:GJ180))</f>
        <v/>
      </c>
      <c r="AM180" t="str">
        <f>IF($B180="","",SUM('entri hasil dari isian siswa'!GK180:GX180))</f>
        <v/>
      </c>
      <c r="AN180" t="str">
        <f>IF($B180="","",SUM('entri hasil dari isian siswa'!GY180:HL180))</f>
        <v/>
      </c>
      <c r="AO180" t="str">
        <f>IF($B180="","",'entri hasil dari isian siswa'!HM180+'entri hasil dari isian siswa'!HS180)</f>
        <v/>
      </c>
      <c r="AP180" t="str">
        <f>IF($B180="","",'entri hasil dari isian siswa'!HN180+'entri hasil dari isian siswa'!HT180)</f>
        <v/>
      </c>
      <c r="AQ180" t="str">
        <f>IF($B180="","",'entri hasil dari isian siswa'!HO180+'entri hasil dari isian siswa'!HU180)</f>
        <v/>
      </c>
      <c r="AR180" t="str">
        <f>IF($B180="","",'entri hasil dari isian siswa'!HP180+'entri hasil dari isian siswa'!HV180)</f>
        <v/>
      </c>
      <c r="AS180" t="str">
        <f>IF($B180="","",'entri hasil dari isian siswa'!HQ180+'entri hasil dari isian siswa'!HW180)</f>
        <v/>
      </c>
      <c r="AT180" t="str">
        <f>IF($B180="","",'entri hasil dari isian siswa'!HR180+'entri hasil dari isian siswa'!HX180)</f>
        <v/>
      </c>
      <c r="AU180" s="69" t="str">
        <f t="shared" si="71"/>
        <v/>
      </c>
      <c r="AV180" s="69" t="str">
        <f>IF($AU180="","",IFERROR(VLOOKUP($AU180,'Kunci dari RIASEC'!$J$4:$K$33,2,FALSE),""))</f>
        <v/>
      </c>
    </row>
    <row r="181" spans="1:48">
      <c r="A181">
        <f t="shared" si="60"/>
        <v>177</v>
      </c>
      <c r="B181" t="str">
        <f>IF('entri hasil dari isian siswa'!B181="","",'entri hasil dari isian siswa'!B181)</f>
        <v/>
      </c>
      <c r="C181" t="str">
        <f>IF('entri hasil dari isian siswa'!C181="","",'entri hasil dari isian siswa'!C181)</f>
        <v/>
      </c>
      <c r="D181" t="str">
        <f>IF('entri hasil dari isian siswa'!D181="","",'entri hasil dari isian siswa'!D181)</f>
        <v/>
      </c>
      <c r="E181" t="str">
        <f t="shared" si="61"/>
        <v/>
      </c>
      <c r="F181" t="str">
        <f t="shared" si="62"/>
        <v/>
      </c>
      <c r="G181" t="str">
        <f t="shared" si="63"/>
        <v/>
      </c>
      <c r="H181" t="str">
        <f t="shared" si="64"/>
        <v/>
      </c>
      <c r="I181" t="str">
        <f t="shared" si="65"/>
        <v/>
      </c>
      <c r="J181" t="str">
        <f t="shared" si="66"/>
        <v/>
      </c>
      <c r="K181" t="str">
        <f>IF($V181&lt;&gt;"OK","",RANK(E181,$E181:$J181,0)+COUNTIF($E181:E181,E181)-1)</f>
        <v/>
      </c>
      <c r="L181" t="str">
        <f>IF($V181&lt;&gt;"OK","",RANK(F181,$E181:$J181,0)+COUNTIF($E181:F181,F181)-1)</f>
        <v/>
      </c>
      <c r="M181" t="str">
        <f>IF($V181&lt;&gt;"OK","",RANK(G181,$E181:$J181,0)+COUNTIF($E181:G181,G181)-1)</f>
        <v/>
      </c>
      <c r="N181" t="str">
        <f>IF($V181&lt;&gt;"OK","",RANK(H181,$E181:$J181,0)+COUNTIF($E181:H181,H181)-1)</f>
        <v/>
      </c>
      <c r="O181" t="str">
        <f>IF($V181&lt;&gt;"OK","",RANK(I181,$E181:$J181,0)+COUNTIF($E181:I181,I181)-1)</f>
        <v/>
      </c>
      <c r="P181" t="str">
        <f>IF($V181&lt;&gt;"OK","",RANK(J181,$E181:$J181,0)+COUNTIF($E181:J181,J181)-1)</f>
        <v/>
      </c>
      <c r="Q181" t="str">
        <f t="shared" si="67"/>
        <v/>
      </c>
      <c r="R181" t="str">
        <f t="shared" si="68"/>
        <v/>
      </c>
      <c r="S181" t="str">
        <f t="shared" si="69"/>
        <v/>
      </c>
      <c r="T181" t="str">
        <f t="shared" si="70"/>
        <v/>
      </c>
      <c r="U181" s="1" t="str">
        <f>IF($T181="","",IFERROR(VLOOKUP($T181,'Kunci dari RIASEC'!$A$4:$B$123,2,FALSE),"Rekomendasi belum tersedia"))</f>
        <v/>
      </c>
      <c r="V181" t="str">
        <f>IF('entri hasil dari isian siswa'!B181="","",'entri hasil dari isian siswa'!HY181)</f>
        <v/>
      </c>
      <c r="W181" t="str">
        <f>IF($B181="","",SUM('entri hasil dari isian siswa'!E181:O181))</f>
        <v/>
      </c>
      <c r="X181" t="str">
        <f>IF($B181="","",SUM('entri hasil dari isian siswa'!P181:Z181))</f>
        <v/>
      </c>
      <c r="Y181" t="str">
        <f>IF($B181="","",SUM('entri hasil dari isian siswa'!AA181:AK181))</f>
        <v/>
      </c>
      <c r="Z181" t="str">
        <f>IF($B181="","",SUM('entri hasil dari isian siswa'!AL181:AV181))</f>
        <v/>
      </c>
      <c r="AA181" t="str">
        <f>IF($B181="","",SUM('entri hasil dari isian siswa'!AW181:BG181))</f>
        <v/>
      </c>
      <c r="AB181" t="str">
        <f>IF($B181="","",SUM('entri hasil dari isian siswa'!BH181:BR181))</f>
        <v/>
      </c>
      <c r="AC181" t="str">
        <f>IF($B181="","",SUM('entri hasil dari isian siswa'!BS181:CC181))</f>
        <v/>
      </c>
      <c r="AD181" t="str">
        <f>IF($B181="","",SUM('entri hasil dari isian siswa'!CD181:CN181))</f>
        <v/>
      </c>
      <c r="AE181" t="str">
        <f>IF($B181="","",SUM('entri hasil dari isian siswa'!CO181:CY181))</f>
        <v/>
      </c>
      <c r="AF181" t="str">
        <f>IF($B181="","",SUM('entri hasil dari isian siswa'!CZ181:DJ181))</f>
        <v/>
      </c>
      <c r="AG181" t="str">
        <f>IF($B181="","",SUM('entri hasil dari isian siswa'!DK181:DU181))</f>
        <v/>
      </c>
      <c r="AH181" t="str">
        <f>IF($B181="","",SUM('entri hasil dari isian siswa'!DV181:EF181))</f>
        <v/>
      </c>
      <c r="AI181" t="str">
        <f>IF($B181="","",SUM('entri hasil dari isian siswa'!EG181:ET181))</f>
        <v/>
      </c>
      <c r="AJ181" t="str">
        <f>IF($B181="","",SUM('entri hasil dari isian siswa'!EU181:FH181))</f>
        <v/>
      </c>
      <c r="AK181" t="str">
        <f>IF($B181="","",SUM('entri hasil dari isian siswa'!FI181:FV181))</f>
        <v/>
      </c>
      <c r="AL181" t="str">
        <f>IF($B181="","",SUM('entri hasil dari isian siswa'!FW181:GJ181))</f>
        <v/>
      </c>
      <c r="AM181" t="str">
        <f>IF($B181="","",SUM('entri hasil dari isian siswa'!GK181:GX181))</f>
        <v/>
      </c>
      <c r="AN181" t="str">
        <f>IF($B181="","",SUM('entri hasil dari isian siswa'!GY181:HL181))</f>
        <v/>
      </c>
      <c r="AO181" t="str">
        <f>IF($B181="","",'entri hasil dari isian siswa'!HM181+'entri hasil dari isian siswa'!HS181)</f>
        <v/>
      </c>
      <c r="AP181" t="str">
        <f>IF($B181="","",'entri hasil dari isian siswa'!HN181+'entri hasil dari isian siswa'!HT181)</f>
        <v/>
      </c>
      <c r="AQ181" t="str">
        <f>IF($B181="","",'entri hasil dari isian siswa'!HO181+'entri hasil dari isian siswa'!HU181)</f>
        <v/>
      </c>
      <c r="AR181" t="str">
        <f>IF($B181="","",'entri hasil dari isian siswa'!HP181+'entri hasil dari isian siswa'!HV181)</f>
        <v/>
      </c>
      <c r="AS181" t="str">
        <f>IF($B181="","",'entri hasil dari isian siswa'!HQ181+'entri hasil dari isian siswa'!HW181)</f>
        <v/>
      </c>
      <c r="AT181" t="str">
        <f>IF($B181="","",'entri hasil dari isian siswa'!HR181+'entri hasil dari isian siswa'!HX181)</f>
        <v/>
      </c>
      <c r="AU181" s="69" t="str">
        <f t="shared" si="71"/>
        <v/>
      </c>
      <c r="AV181" s="69" t="str">
        <f>IF($AU181="","",IFERROR(VLOOKUP($AU181,'Kunci dari RIASEC'!$J$4:$K$33,2,FALSE),""))</f>
        <v/>
      </c>
    </row>
    <row r="182" spans="1:48">
      <c r="A182">
        <f t="shared" si="60"/>
        <v>178</v>
      </c>
      <c r="B182" t="str">
        <f>IF('entri hasil dari isian siswa'!B182="","",'entri hasil dari isian siswa'!B182)</f>
        <v/>
      </c>
      <c r="C182" t="str">
        <f>IF('entri hasil dari isian siswa'!C182="","",'entri hasil dari isian siswa'!C182)</f>
        <v/>
      </c>
      <c r="D182" t="str">
        <f>IF('entri hasil dari isian siswa'!D182="","",'entri hasil dari isian siswa'!D182)</f>
        <v/>
      </c>
      <c r="E182" t="str">
        <f t="shared" si="61"/>
        <v/>
      </c>
      <c r="F182" t="str">
        <f t="shared" si="62"/>
        <v/>
      </c>
      <c r="G182" t="str">
        <f t="shared" si="63"/>
        <v/>
      </c>
      <c r="H182" t="str">
        <f t="shared" si="64"/>
        <v/>
      </c>
      <c r="I182" t="str">
        <f t="shared" si="65"/>
        <v/>
      </c>
      <c r="J182" t="str">
        <f t="shared" si="66"/>
        <v/>
      </c>
      <c r="K182" t="str">
        <f>IF($V182&lt;&gt;"OK","",RANK(E182,$E182:$J182,0)+COUNTIF($E182:E182,E182)-1)</f>
        <v/>
      </c>
      <c r="L182" t="str">
        <f>IF($V182&lt;&gt;"OK","",RANK(F182,$E182:$J182,0)+COUNTIF($E182:F182,F182)-1)</f>
        <v/>
      </c>
      <c r="M182" t="str">
        <f>IF($V182&lt;&gt;"OK","",RANK(G182,$E182:$J182,0)+COUNTIF($E182:G182,G182)-1)</f>
        <v/>
      </c>
      <c r="N182" t="str">
        <f>IF($V182&lt;&gt;"OK","",RANK(H182,$E182:$J182,0)+COUNTIF($E182:H182,H182)-1)</f>
        <v/>
      </c>
      <c r="O182" t="str">
        <f>IF($V182&lt;&gt;"OK","",RANK(I182,$E182:$J182,0)+COUNTIF($E182:I182,I182)-1)</f>
        <v/>
      </c>
      <c r="P182" t="str">
        <f>IF($V182&lt;&gt;"OK","",RANK(J182,$E182:$J182,0)+COUNTIF($E182:J182,J182)-1)</f>
        <v/>
      </c>
      <c r="Q182" t="str">
        <f t="shared" si="67"/>
        <v/>
      </c>
      <c r="R182" t="str">
        <f t="shared" si="68"/>
        <v/>
      </c>
      <c r="S182" t="str">
        <f t="shared" si="69"/>
        <v/>
      </c>
      <c r="T182" t="str">
        <f t="shared" si="70"/>
        <v/>
      </c>
      <c r="U182" s="1" t="str">
        <f>IF($T182="","",IFERROR(VLOOKUP($T182,'Kunci dari RIASEC'!$A$4:$B$123,2,FALSE),"Rekomendasi belum tersedia"))</f>
        <v/>
      </c>
      <c r="V182" t="str">
        <f>IF('entri hasil dari isian siswa'!B182="","",'entri hasil dari isian siswa'!HY182)</f>
        <v/>
      </c>
      <c r="W182" t="str">
        <f>IF($B182="","",SUM('entri hasil dari isian siswa'!E182:O182))</f>
        <v/>
      </c>
      <c r="X182" t="str">
        <f>IF($B182="","",SUM('entri hasil dari isian siswa'!P182:Z182))</f>
        <v/>
      </c>
      <c r="Y182" t="str">
        <f>IF($B182="","",SUM('entri hasil dari isian siswa'!AA182:AK182))</f>
        <v/>
      </c>
      <c r="Z182" t="str">
        <f>IF($B182="","",SUM('entri hasil dari isian siswa'!AL182:AV182))</f>
        <v/>
      </c>
      <c r="AA182" t="str">
        <f>IF($B182="","",SUM('entri hasil dari isian siswa'!AW182:BG182))</f>
        <v/>
      </c>
      <c r="AB182" t="str">
        <f>IF($B182="","",SUM('entri hasil dari isian siswa'!BH182:BR182))</f>
        <v/>
      </c>
      <c r="AC182" t="str">
        <f>IF($B182="","",SUM('entri hasil dari isian siswa'!BS182:CC182))</f>
        <v/>
      </c>
      <c r="AD182" t="str">
        <f>IF($B182="","",SUM('entri hasil dari isian siswa'!CD182:CN182))</f>
        <v/>
      </c>
      <c r="AE182" t="str">
        <f>IF($B182="","",SUM('entri hasil dari isian siswa'!CO182:CY182))</f>
        <v/>
      </c>
      <c r="AF182" t="str">
        <f>IF($B182="","",SUM('entri hasil dari isian siswa'!CZ182:DJ182))</f>
        <v/>
      </c>
      <c r="AG182" t="str">
        <f>IF($B182="","",SUM('entri hasil dari isian siswa'!DK182:DU182))</f>
        <v/>
      </c>
      <c r="AH182" t="str">
        <f>IF($B182="","",SUM('entri hasil dari isian siswa'!DV182:EF182))</f>
        <v/>
      </c>
      <c r="AI182" t="str">
        <f>IF($B182="","",SUM('entri hasil dari isian siswa'!EG182:ET182))</f>
        <v/>
      </c>
      <c r="AJ182" t="str">
        <f>IF($B182="","",SUM('entri hasil dari isian siswa'!EU182:FH182))</f>
        <v/>
      </c>
      <c r="AK182" t="str">
        <f>IF($B182="","",SUM('entri hasil dari isian siswa'!FI182:FV182))</f>
        <v/>
      </c>
      <c r="AL182" t="str">
        <f>IF($B182="","",SUM('entri hasil dari isian siswa'!FW182:GJ182))</f>
        <v/>
      </c>
      <c r="AM182" t="str">
        <f>IF($B182="","",SUM('entri hasil dari isian siswa'!GK182:GX182))</f>
        <v/>
      </c>
      <c r="AN182" t="str">
        <f>IF($B182="","",SUM('entri hasil dari isian siswa'!GY182:HL182))</f>
        <v/>
      </c>
      <c r="AO182" t="str">
        <f>IF($B182="","",'entri hasil dari isian siswa'!HM182+'entri hasil dari isian siswa'!HS182)</f>
        <v/>
      </c>
      <c r="AP182" t="str">
        <f>IF($B182="","",'entri hasil dari isian siswa'!HN182+'entri hasil dari isian siswa'!HT182)</f>
        <v/>
      </c>
      <c r="AQ182" t="str">
        <f>IF($B182="","",'entri hasil dari isian siswa'!HO182+'entri hasil dari isian siswa'!HU182)</f>
        <v/>
      </c>
      <c r="AR182" t="str">
        <f>IF($B182="","",'entri hasil dari isian siswa'!HP182+'entri hasil dari isian siswa'!HV182)</f>
        <v/>
      </c>
      <c r="AS182" t="str">
        <f>IF($B182="","",'entri hasil dari isian siswa'!HQ182+'entri hasil dari isian siswa'!HW182)</f>
        <v/>
      </c>
      <c r="AT182" t="str">
        <f>IF($B182="","",'entri hasil dari isian siswa'!HR182+'entri hasil dari isian siswa'!HX182)</f>
        <v/>
      </c>
      <c r="AU182" s="69" t="str">
        <f t="shared" si="71"/>
        <v/>
      </c>
      <c r="AV182" s="69" t="str">
        <f>IF($AU182="","",IFERROR(VLOOKUP($AU182,'Kunci dari RIASEC'!$J$4:$K$33,2,FALSE),""))</f>
        <v/>
      </c>
    </row>
    <row r="183" spans="1:48">
      <c r="A183">
        <f t="shared" si="60"/>
        <v>179</v>
      </c>
      <c r="B183" t="str">
        <f>IF('entri hasil dari isian siswa'!B183="","",'entri hasil dari isian siswa'!B183)</f>
        <v/>
      </c>
      <c r="C183" t="str">
        <f>IF('entri hasil dari isian siswa'!C183="","",'entri hasil dari isian siswa'!C183)</f>
        <v/>
      </c>
      <c r="D183" t="str">
        <f>IF('entri hasil dari isian siswa'!D183="","",'entri hasil dari isian siswa'!D183)</f>
        <v/>
      </c>
      <c r="E183" t="str">
        <f t="shared" si="61"/>
        <v/>
      </c>
      <c r="F183" t="str">
        <f t="shared" si="62"/>
        <v/>
      </c>
      <c r="G183" t="str">
        <f t="shared" si="63"/>
        <v/>
      </c>
      <c r="H183" t="str">
        <f t="shared" si="64"/>
        <v/>
      </c>
      <c r="I183" t="str">
        <f t="shared" si="65"/>
        <v/>
      </c>
      <c r="J183" t="str">
        <f t="shared" si="66"/>
        <v/>
      </c>
      <c r="K183" t="str">
        <f>IF($V183&lt;&gt;"OK","",RANK(E183,$E183:$J183,0)+COUNTIF($E183:E183,E183)-1)</f>
        <v/>
      </c>
      <c r="L183" t="str">
        <f>IF($V183&lt;&gt;"OK","",RANK(F183,$E183:$J183,0)+COUNTIF($E183:F183,F183)-1)</f>
        <v/>
      </c>
      <c r="M183" t="str">
        <f>IF($V183&lt;&gt;"OK","",RANK(G183,$E183:$J183,0)+COUNTIF($E183:G183,G183)-1)</f>
        <v/>
      </c>
      <c r="N183" t="str">
        <f>IF($V183&lt;&gt;"OK","",RANK(H183,$E183:$J183,0)+COUNTIF($E183:H183,H183)-1)</f>
        <v/>
      </c>
      <c r="O183" t="str">
        <f>IF($V183&lt;&gt;"OK","",RANK(I183,$E183:$J183,0)+COUNTIF($E183:I183,I183)-1)</f>
        <v/>
      </c>
      <c r="P183" t="str">
        <f>IF($V183&lt;&gt;"OK","",RANK(J183,$E183:$J183,0)+COUNTIF($E183:J183,J183)-1)</f>
        <v/>
      </c>
      <c r="Q183" t="str">
        <f t="shared" si="67"/>
        <v/>
      </c>
      <c r="R183" t="str">
        <f t="shared" si="68"/>
        <v/>
      </c>
      <c r="S183" t="str">
        <f t="shared" si="69"/>
        <v/>
      </c>
      <c r="T183" t="str">
        <f t="shared" si="70"/>
        <v/>
      </c>
      <c r="U183" s="1" t="str">
        <f>IF($T183="","",IFERROR(VLOOKUP($T183,'Kunci dari RIASEC'!$A$4:$B$123,2,FALSE),"Rekomendasi belum tersedia"))</f>
        <v/>
      </c>
      <c r="V183" t="str">
        <f>IF('entri hasil dari isian siswa'!B183="","",'entri hasil dari isian siswa'!HY183)</f>
        <v/>
      </c>
      <c r="W183" t="str">
        <f>IF($B183="","",SUM('entri hasil dari isian siswa'!E183:O183))</f>
        <v/>
      </c>
      <c r="X183" t="str">
        <f>IF($B183="","",SUM('entri hasil dari isian siswa'!P183:Z183))</f>
        <v/>
      </c>
      <c r="Y183" t="str">
        <f>IF($B183="","",SUM('entri hasil dari isian siswa'!AA183:AK183))</f>
        <v/>
      </c>
      <c r="Z183" t="str">
        <f>IF($B183="","",SUM('entri hasil dari isian siswa'!AL183:AV183))</f>
        <v/>
      </c>
      <c r="AA183" t="str">
        <f>IF($B183="","",SUM('entri hasil dari isian siswa'!AW183:BG183))</f>
        <v/>
      </c>
      <c r="AB183" t="str">
        <f>IF($B183="","",SUM('entri hasil dari isian siswa'!BH183:BR183))</f>
        <v/>
      </c>
      <c r="AC183" t="str">
        <f>IF($B183="","",SUM('entri hasil dari isian siswa'!BS183:CC183))</f>
        <v/>
      </c>
      <c r="AD183" t="str">
        <f>IF($B183="","",SUM('entri hasil dari isian siswa'!CD183:CN183))</f>
        <v/>
      </c>
      <c r="AE183" t="str">
        <f>IF($B183="","",SUM('entri hasil dari isian siswa'!CO183:CY183))</f>
        <v/>
      </c>
      <c r="AF183" t="str">
        <f>IF($B183="","",SUM('entri hasil dari isian siswa'!CZ183:DJ183))</f>
        <v/>
      </c>
      <c r="AG183" t="str">
        <f>IF($B183="","",SUM('entri hasil dari isian siswa'!DK183:DU183))</f>
        <v/>
      </c>
      <c r="AH183" t="str">
        <f>IF($B183="","",SUM('entri hasil dari isian siswa'!DV183:EF183))</f>
        <v/>
      </c>
      <c r="AI183" t="str">
        <f>IF($B183="","",SUM('entri hasil dari isian siswa'!EG183:ET183))</f>
        <v/>
      </c>
      <c r="AJ183" t="str">
        <f>IF($B183="","",SUM('entri hasil dari isian siswa'!EU183:FH183))</f>
        <v/>
      </c>
      <c r="AK183" t="str">
        <f>IF($B183="","",SUM('entri hasil dari isian siswa'!FI183:FV183))</f>
        <v/>
      </c>
      <c r="AL183" t="str">
        <f>IF($B183="","",SUM('entri hasil dari isian siswa'!FW183:GJ183))</f>
        <v/>
      </c>
      <c r="AM183" t="str">
        <f>IF($B183="","",SUM('entri hasil dari isian siswa'!GK183:GX183))</f>
        <v/>
      </c>
      <c r="AN183" t="str">
        <f>IF($B183="","",SUM('entri hasil dari isian siswa'!GY183:HL183))</f>
        <v/>
      </c>
      <c r="AO183" t="str">
        <f>IF($B183="","",'entri hasil dari isian siswa'!HM183+'entri hasil dari isian siswa'!HS183)</f>
        <v/>
      </c>
      <c r="AP183" t="str">
        <f>IF($B183="","",'entri hasil dari isian siswa'!HN183+'entri hasil dari isian siswa'!HT183)</f>
        <v/>
      </c>
      <c r="AQ183" t="str">
        <f>IF($B183="","",'entri hasil dari isian siswa'!HO183+'entri hasil dari isian siswa'!HU183)</f>
        <v/>
      </c>
      <c r="AR183" t="str">
        <f>IF($B183="","",'entri hasil dari isian siswa'!HP183+'entri hasil dari isian siswa'!HV183)</f>
        <v/>
      </c>
      <c r="AS183" t="str">
        <f>IF($B183="","",'entri hasil dari isian siswa'!HQ183+'entri hasil dari isian siswa'!HW183)</f>
        <v/>
      </c>
      <c r="AT183" t="str">
        <f>IF($B183="","",'entri hasil dari isian siswa'!HR183+'entri hasil dari isian siswa'!HX183)</f>
        <v/>
      </c>
      <c r="AU183" s="69" t="str">
        <f t="shared" si="71"/>
        <v/>
      </c>
      <c r="AV183" s="69" t="str">
        <f>IF($AU183="","",IFERROR(VLOOKUP($AU183,'Kunci dari RIASEC'!$J$4:$K$33,2,FALSE),""))</f>
        <v/>
      </c>
    </row>
    <row r="184" spans="1:48">
      <c r="A184">
        <f t="shared" si="60"/>
        <v>180</v>
      </c>
      <c r="B184" t="str">
        <f>IF('entri hasil dari isian siswa'!B184="","",'entri hasil dari isian siswa'!B184)</f>
        <v/>
      </c>
      <c r="C184" t="str">
        <f>IF('entri hasil dari isian siswa'!C184="","",'entri hasil dari isian siswa'!C184)</f>
        <v/>
      </c>
      <c r="D184" t="str">
        <f>IF('entri hasil dari isian siswa'!D184="","",'entri hasil dari isian siswa'!D184)</f>
        <v/>
      </c>
      <c r="E184" t="str">
        <f t="shared" si="61"/>
        <v/>
      </c>
      <c r="F184" t="str">
        <f t="shared" si="62"/>
        <v/>
      </c>
      <c r="G184" t="str">
        <f t="shared" si="63"/>
        <v/>
      </c>
      <c r="H184" t="str">
        <f t="shared" si="64"/>
        <v/>
      </c>
      <c r="I184" t="str">
        <f t="shared" si="65"/>
        <v/>
      </c>
      <c r="J184" t="str">
        <f t="shared" si="66"/>
        <v/>
      </c>
      <c r="K184" t="str">
        <f>IF($V184&lt;&gt;"OK","",RANK(E184,$E184:$J184,0)+COUNTIF($E184:E184,E184)-1)</f>
        <v/>
      </c>
      <c r="L184" t="str">
        <f>IF($V184&lt;&gt;"OK","",RANK(F184,$E184:$J184,0)+COUNTIF($E184:F184,F184)-1)</f>
        <v/>
      </c>
      <c r="M184" t="str">
        <f>IF($V184&lt;&gt;"OK","",RANK(G184,$E184:$J184,0)+COUNTIF($E184:G184,G184)-1)</f>
        <v/>
      </c>
      <c r="N184" t="str">
        <f>IF($V184&lt;&gt;"OK","",RANK(H184,$E184:$J184,0)+COUNTIF($E184:H184,H184)-1)</f>
        <v/>
      </c>
      <c r="O184" t="str">
        <f>IF($V184&lt;&gt;"OK","",RANK(I184,$E184:$J184,0)+COUNTIF($E184:I184,I184)-1)</f>
        <v/>
      </c>
      <c r="P184" t="str">
        <f>IF($V184&lt;&gt;"OK","",RANK(J184,$E184:$J184,0)+COUNTIF($E184:J184,J184)-1)</f>
        <v/>
      </c>
      <c r="Q184" t="str">
        <f t="shared" si="67"/>
        <v/>
      </c>
      <c r="R184" t="str">
        <f t="shared" si="68"/>
        <v/>
      </c>
      <c r="S184" t="str">
        <f t="shared" si="69"/>
        <v/>
      </c>
      <c r="T184" t="str">
        <f t="shared" si="70"/>
        <v/>
      </c>
      <c r="U184" s="1" t="str">
        <f>IF($T184="","",IFERROR(VLOOKUP($T184,'Kunci dari RIASEC'!$A$4:$B$123,2,FALSE),"Rekomendasi belum tersedia"))</f>
        <v/>
      </c>
      <c r="V184" t="str">
        <f>IF('entri hasil dari isian siswa'!B184="","",'entri hasil dari isian siswa'!HY184)</f>
        <v/>
      </c>
      <c r="W184" t="str">
        <f>IF($B184="","",SUM('entri hasil dari isian siswa'!E184:O184))</f>
        <v/>
      </c>
      <c r="X184" t="str">
        <f>IF($B184="","",SUM('entri hasil dari isian siswa'!P184:Z184))</f>
        <v/>
      </c>
      <c r="Y184" t="str">
        <f>IF($B184="","",SUM('entri hasil dari isian siswa'!AA184:AK184))</f>
        <v/>
      </c>
      <c r="Z184" t="str">
        <f>IF($B184="","",SUM('entri hasil dari isian siswa'!AL184:AV184))</f>
        <v/>
      </c>
      <c r="AA184" t="str">
        <f>IF($B184="","",SUM('entri hasil dari isian siswa'!AW184:BG184))</f>
        <v/>
      </c>
      <c r="AB184" t="str">
        <f>IF($B184="","",SUM('entri hasil dari isian siswa'!BH184:BR184))</f>
        <v/>
      </c>
      <c r="AC184" t="str">
        <f>IF($B184="","",SUM('entri hasil dari isian siswa'!BS184:CC184))</f>
        <v/>
      </c>
      <c r="AD184" t="str">
        <f>IF($B184="","",SUM('entri hasil dari isian siswa'!CD184:CN184))</f>
        <v/>
      </c>
      <c r="AE184" t="str">
        <f>IF($B184="","",SUM('entri hasil dari isian siswa'!CO184:CY184))</f>
        <v/>
      </c>
      <c r="AF184" t="str">
        <f>IF($B184="","",SUM('entri hasil dari isian siswa'!CZ184:DJ184))</f>
        <v/>
      </c>
      <c r="AG184" t="str">
        <f>IF($B184="","",SUM('entri hasil dari isian siswa'!DK184:DU184))</f>
        <v/>
      </c>
      <c r="AH184" t="str">
        <f>IF($B184="","",SUM('entri hasil dari isian siswa'!DV184:EF184))</f>
        <v/>
      </c>
      <c r="AI184" t="str">
        <f>IF($B184="","",SUM('entri hasil dari isian siswa'!EG184:ET184))</f>
        <v/>
      </c>
      <c r="AJ184" t="str">
        <f>IF($B184="","",SUM('entri hasil dari isian siswa'!EU184:FH184))</f>
        <v/>
      </c>
      <c r="AK184" t="str">
        <f>IF($B184="","",SUM('entri hasil dari isian siswa'!FI184:FV184))</f>
        <v/>
      </c>
      <c r="AL184" t="str">
        <f>IF($B184="","",SUM('entri hasil dari isian siswa'!FW184:GJ184))</f>
        <v/>
      </c>
      <c r="AM184" t="str">
        <f>IF($B184="","",SUM('entri hasil dari isian siswa'!GK184:GX184))</f>
        <v/>
      </c>
      <c r="AN184" t="str">
        <f>IF($B184="","",SUM('entri hasil dari isian siswa'!GY184:HL184))</f>
        <v/>
      </c>
      <c r="AO184" t="str">
        <f>IF($B184="","",'entri hasil dari isian siswa'!HM184+'entri hasil dari isian siswa'!HS184)</f>
        <v/>
      </c>
      <c r="AP184" t="str">
        <f>IF($B184="","",'entri hasil dari isian siswa'!HN184+'entri hasil dari isian siswa'!HT184)</f>
        <v/>
      </c>
      <c r="AQ184" t="str">
        <f>IF($B184="","",'entri hasil dari isian siswa'!HO184+'entri hasil dari isian siswa'!HU184)</f>
        <v/>
      </c>
      <c r="AR184" t="str">
        <f>IF($B184="","",'entri hasil dari isian siswa'!HP184+'entri hasil dari isian siswa'!HV184)</f>
        <v/>
      </c>
      <c r="AS184" t="str">
        <f>IF($B184="","",'entri hasil dari isian siswa'!HQ184+'entri hasil dari isian siswa'!HW184)</f>
        <v/>
      </c>
      <c r="AT184" t="str">
        <f>IF($B184="","",'entri hasil dari isian siswa'!HR184+'entri hasil dari isian siswa'!HX184)</f>
        <v/>
      </c>
      <c r="AU184" s="69" t="str">
        <f t="shared" si="71"/>
        <v/>
      </c>
      <c r="AV184" s="69" t="str">
        <f>IF($AU184="","",IFERROR(VLOOKUP($AU184,'Kunci dari RIASEC'!$J$4:$K$33,2,FALSE),""))</f>
        <v/>
      </c>
    </row>
    <row r="185" spans="1:48">
      <c r="A185">
        <f t="shared" si="60"/>
        <v>181</v>
      </c>
      <c r="B185" t="str">
        <f>IF('entri hasil dari isian siswa'!B185="","",'entri hasil dari isian siswa'!B185)</f>
        <v/>
      </c>
      <c r="C185" t="str">
        <f>IF('entri hasil dari isian siswa'!C185="","",'entri hasil dari isian siswa'!C185)</f>
        <v/>
      </c>
      <c r="D185" t="str">
        <f>IF('entri hasil dari isian siswa'!D185="","",'entri hasil dari isian siswa'!D185)</f>
        <v/>
      </c>
      <c r="E185" t="str">
        <f t="shared" si="61"/>
        <v/>
      </c>
      <c r="F185" t="str">
        <f t="shared" si="62"/>
        <v/>
      </c>
      <c r="G185" t="str">
        <f t="shared" si="63"/>
        <v/>
      </c>
      <c r="H185" t="str">
        <f t="shared" si="64"/>
        <v/>
      </c>
      <c r="I185" t="str">
        <f t="shared" si="65"/>
        <v/>
      </c>
      <c r="J185" t="str">
        <f t="shared" si="66"/>
        <v/>
      </c>
      <c r="K185" t="str">
        <f>IF($V185&lt;&gt;"OK","",RANK(E185,$E185:$J185,0)+COUNTIF($E185:E185,E185)-1)</f>
        <v/>
      </c>
      <c r="L185" t="str">
        <f>IF($V185&lt;&gt;"OK","",RANK(F185,$E185:$J185,0)+COUNTIF($E185:F185,F185)-1)</f>
        <v/>
      </c>
      <c r="M185" t="str">
        <f>IF($V185&lt;&gt;"OK","",RANK(G185,$E185:$J185,0)+COUNTIF($E185:G185,G185)-1)</f>
        <v/>
      </c>
      <c r="N185" t="str">
        <f>IF($V185&lt;&gt;"OK","",RANK(H185,$E185:$J185,0)+COUNTIF($E185:H185,H185)-1)</f>
        <v/>
      </c>
      <c r="O185" t="str">
        <f>IF($V185&lt;&gt;"OK","",RANK(I185,$E185:$J185,0)+COUNTIF($E185:I185,I185)-1)</f>
        <v/>
      </c>
      <c r="P185" t="str">
        <f>IF($V185&lt;&gt;"OK","",RANK(J185,$E185:$J185,0)+COUNTIF($E185:J185,J185)-1)</f>
        <v/>
      </c>
      <c r="Q185" t="str">
        <f t="shared" si="67"/>
        <v/>
      </c>
      <c r="R185" t="str">
        <f t="shared" si="68"/>
        <v/>
      </c>
      <c r="S185" t="str">
        <f t="shared" si="69"/>
        <v/>
      </c>
      <c r="T185" t="str">
        <f t="shared" si="70"/>
        <v/>
      </c>
      <c r="U185" s="1" t="str">
        <f>IF($T185="","",IFERROR(VLOOKUP($T185,'Kunci dari RIASEC'!$A$4:$B$123,2,FALSE),"Rekomendasi belum tersedia"))</f>
        <v/>
      </c>
      <c r="V185" t="str">
        <f>IF('entri hasil dari isian siswa'!B185="","",'entri hasil dari isian siswa'!HY185)</f>
        <v/>
      </c>
      <c r="W185" t="str">
        <f>IF($B185="","",SUM('entri hasil dari isian siswa'!E185:O185))</f>
        <v/>
      </c>
      <c r="X185" t="str">
        <f>IF($B185="","",SUM('entri hasil dari isian siswa'!P185:Z185))</f>
        <v/>
      </c>
      <c r="Y185" t="str">
        <f>IF($B185="","",SUM('entri hasil dari isian siswa'!AA185:AK185))</f>
        <v/>
      </c>
      <c r="Z185" t="str">
        <f>IF($B185="","",SUM('entri hasil dari isian siswa'!AL185:AV185))</f>
        <v/>
      </c>
      <c r="AA185" t="str">
        <f>IF($B185="","",SUM('entri hasil dari isian siswa'!AW185:BG185))</f>
        <v/>
      </c>
      <c r="AB185" t="str">
        <f>IF($B185="","",SUM('entri hasil dari isian siswa'!BH185:BR185))</f>
        <v/>
      </c>
      <c r="AC185" t="str">
        <f>IF($B185="","",SUM('entri hasil dari isian siswa'!BS185:CC185))</f>
        <v/>
      </c>
      <c r="AD185" t="str">
        <f>IF($B185="","",SUM('entri hasil dari isian siswa'!CD185:CN185))</f>
        <v/>
      </c>
      <c r="AE185" t="str">
        <f>IF($B185="","",SUM('entri hasil dari isian siswa'!CO185:CY185))</f>
        <v/>
      </c>
      <c r="AF185" t="str">
        <f>IF($B185="","",SUM('entri hasil dari isian siswa'!CZ185:DJ185))</f>
        <v/>
      </c>
      <c r="AG185" t="str">
        <f>IF($B185="","",SUM('entri hasil dari isian siswa'!DK185:DU185))</f>
        <v/>
      </c>
      <c r="AH185" t="str">
        <f>IF($B185="","",SUM('entri hasil dari isian siswa'!DV185:EF185))</f>
        <v/>
      </c>
      <c r="AI185" t="str">
        <f>IF($B185="","",SUM('entri hasil dari isian siswa'!EG185:ET185))</f>
        <v/>
      </c>
      <c r="AJ185" t="str">
        <f>IF($B185="","",SUM('entri hasil dari isian siswa'!EU185:FH185))</f>
        <v/>
      </c>
      <c r="AK185" t="str">
        <f>IF($B185="","",SUM('entri hasil dari isian siswa'!FI185:FV185))</f>
        <v/>
      </c>
      <c r="AL185" t="str">
        <f>IF($B185="","",SUM('entri hasil dari isian siswa'!FW185:GJ185))</f>
        <v/>
      </c>
      <c r="AM185" t="str">
        <f>IF($B185="","",SUM('entri hasil dari isian siswa'!GK185:GX185))</f>
        <v/>
      </c>
      <c r="AN185" t="str">
        <f>IF($B185="","",SUM('entri hasil dari isian siswa'!GY185:HL185))</f>
        <v/>
      </c>
      <c r="AO185" t="str">
        <f>IF($B185="","",'entri hasil dari isian siswa'!HM185+'entri hasil dari isian siswa'!HS185)</f>
        <v/>
      </c>
      <c r="AP185" t="str">
        <f>IF($B185="","",'entri hasil dari isian siswa'!HN185+'entri hasil dari isian siswa'!HT185)</f>
        <v/>
      </c>
      <c r="AQ185" t="str">
        <f>IF($B185="","",'entri hasil dari isian siswa'!HO185+'entri hasil dari isian siswa'!HU185)</f>
        <v/>
      </c>
      <c r="AR185" t="str">
        <f>IF($B185="","",'entri hasil dari isian siswa'!HP185+'entri hasil dari isian siswa'!HV185)</f>
        <v/>
      </c>
      <c r="AS185" t="str">
        <f>IF($B185="","",'entri hasil dari isian siswa'!HQ185+'entri hasil dari isian siswa'!HW185)</f>
        <v/>
      </c>
      <c r="AT185" t="str">
        <f>IF($B185="","",'entri hasil dari isian siswa'!HR185+'entri hasil dari isian siswa'!HX185)</f>
        <v/>
      </c>
      <c r="AU185" s="69" t="str">
        <f t="shared" si="71"/>
        <v/>
      </c>
      <c r="AV185" s="69" t="str">
        <f>IF($AU185="","",IFERROR(VLOOKUP($AU185,'Kunci dari RIASEC'!$J$4:$K$33,2,FALSE),""))</f>
        <v/>
      </c>
    </row>
    <row r="186" spans="1:48">
      <c r="A186">
        <f t="shared" si="60"/>
        <v>182</v>
      </c>
      <c r="B186" t="str">
        <f>IF('entri hasil dari isian siswa'!B186="","",'entri hasil dari isian siswa'!B186)</f>
        <v/>
      </c>
      <c r="C186" t="str">
        <f>IF('entri hasil dari isian siswa'!C186="","",'entri hasil dari isian siswa'!C186)</f>
        <v/>
      </c>
      <c r="D186" t="str">
        <f>IF('entri hasil dari isian siswa'!D186="","",'entri hasil dari isian siswa'!D186)</f>
        <v/>
      </c>
      <c r="E186" t="str">
        <f t="shared" si="61"/>
        <v/>
      </c>
      <c r="F186" t="str">
        <f t="shared" si="62"/>
        <v/>
      </c>
      <c r="G186" t="str">
        <f t="shared" si="63"/>
        <v/>
      </c>
      <c r="H186" t="str">
        <f t="shared" si="64"/>
        <v/>
      </c>
      <c r="I186" t="str">
        <f t="shared" si="65"/>
        <v/>
      </c>
      <c r="J186" t="str">
        <f t="shared" si="66"/>
        <v/>
      </c>
      <c r="K186" t="str">
        <f>IF($V186&lt;&gt;"OK","",RANK(E186,$E186:$J186,0)+COUNTIF($E186:E186,E186)-1)</f>
        <v/>
      </c>
      <c r="L186" t="str">
        <f>IF($V186&lt;&gt;"OK","",RANK(F186,$E186:$J186,0)+COUNTIF($E186:F186,F186)-1)</f>
        <v/>
      </c>
      <c r="M186" t="str">
        <f>IF($V186&lt;&gt;"OK","",RANK(G186,$E186:$J186,0)+COUNTIF($E186:G186,G186)-1)</f>
        <v/>
      </c>
      <c r="N186" t="str">
        <f>IF($V186&lt;&gt;"OK","",RANK(H186,$E186:$J186,0)+COUNTIF($E186:H186,H186)-1)</f>
        <v/>
      </c>
      <c r="O186" t="str">
        <f>IF($V186&lt;&gt;"OK","",RANK(I186,$E186:$J186,0)+COUNTIF($E186:I186,I186)-1)</f>
        <v/>
      </c>
      <c r="P186" t="str">
        <f>IF($V186&lt;&gt;"OK","",RANK(J186,$E186:$J186,0)+COUNTIF($E186:J186,J186)-1)</f>
        <v/>
      </c>
      <c r="Q186" t="str">
        <f t="shared" si="67"/>
        <v/>
      </c>
      <c r="R186" t="str">
        <f t="shared" si="68"/>
        <v/>
      </c>
      <c r="S186" t="str">
        <f t="shared" si="69"/>
        <v/>
      </c>
      <c r="T186" t="str">
        <f t="shared" si="70"/>
        <v/>
      </c>
      <c r="U186" s="1" t="str">
        <f>IF($T186="","",IFERROR(VLOOKUP($T186,'Kunci dari RIASEC'!$A$4:$B$123,2,FALSE),"Rekomendasi belum tersedia"))</f>
        <v/>
      </c>
      <c r="V186" t="str">
        <f>IF('entri hasil dari isian siswa'!B186="","",'entri hasil dari isian siswa'!HY186)</f>
        <v/>
      </c>
      <c r="W186" t="str">
        <f>IF($B186="","",SUM('entri hasil dari isian siswa'!E186:O186))</f>
        <v/>
      </c>
      <c r="X186" t="str">
        <f>IF($B186="","",SUM('entri hasil dari isian siswa'!P186:Z186))</f>
        <v/>
      </c>
      <c r="Y186" t="str">
        <f>IF($B186="","",SUM('entri hasil dari isian siswa'!AA186:AK186))</f>
        <v/>
      </c>
      <c r="Z186" t="str">
        <f>IF($B186="","",SUM('entri hasil dari isian siswa'!AL186:AV186))</f>
        <v/>
      </c>
      <c r="AA186" t="str">
        <f>IF($B186="","",SUM('entri hasil dari isian siswa'!AW186:BG186))</f>
        <v/>
      </c>
      <c r="AB186" t="str">
        <f>IF($B186="","",SUM('entri hasil dari isian siswa'!BH186:BR186))</f>
        <v/>
      </c>
      <c r="AC186" t="str">
        <f>IF($B186="","",SUM('entri hasil dari isian siswa'!BS186:CC186))</f>
        <v/>
      </c>
      <c r="AD186" t="str">
        <f>IF($B186="","",SUM('entri hasil dari isian siswa'!CD186:CN186))</f>
        <v/>
      </c>
      <c r="AE186" t="str">
        <f>IF($B186="","",SUM('entri hasil dari isian siswa'!CO186:CY186))</f>
        <v/>
      </c>
      <c r="AF186" t="str">
        <f>IF($B186="","",SUM('entri hasil dari isian siswa'!CZ186:DJ186))</f>
        <v/>
      </c>
      <c r="AG186" t="str">
        <f>IF($B186="","",SUM('entri hasil dari isian siswa'!DK186:DU186))</f>
        <v/>
      </c>
      <c r="AH186" t="str">
        <f>IF($B186="","",SUM('entri hasil dari isian siswa'!DV186:EF186))</f>
        <v/>
      </c>
      <c r="AI186" t="str">
        <f>IF($B186="","",SUM('entri hasil dari isian siswa'!EG186:ET186))</f>
        <v/>
      </c>
      <c r="AJ186" t="str">
        <f>IF($B186="","",SUM('entri hasil dari isian siswa'!EU186:FH186))</f>
        <v/>
      </c>
      <c r="AK186" t="str">
        <f>IF($B186="","",SUM('entri hasil dari isian siswa'!FI186:FV186))</f>
        <v/>
      </c>
      <c r="AL186" t="str">
        <f>IF($B186="","",SUM('entri hasil dari isian siswa'!FW186:GJ186))</f>
        <v/>
      </c>
      <c r="AM186" t="str">
        <f>IF($B186="","",SUM('entri hasil dari isian siswa'!GK186:GX186))</f>
        <v/>
      </c>
      <c r="AN186" t="str">
        <f>IF($B186="","",SUM('entri hasil dari isian siswa'!GY186:HL186))</f>
        <v/>
      </c>
      <c r="AO186" t="str">
        <f>IF($B186="","",'entri hasil dari isian siswa'!HM186+'entri hasil dari isian siswa'!HS186)</f>
        <v/>
      </c>
      <c r="AP186" t="str">
        <f>IF($B186="","",'entri hasil dari isian siswa'!HN186+'entri hasil dari isian siswa'!HT186)</f>
        <v/>
      </c>
      <c r="AQ186" t="str">
        <f>IF($B186="","",'entri hasil dari isian siswa'!HO186+'entri hasil dari isian siswa'!HU186)</f>
        <v/>
      </c>
      <c r="AR186" t="str">
        <f>IF($B186="","",'entri hasil dari isian siswa'!HP186+'entri hasil dari isian siswa'!HV186)</f>
        <v/>
      </c>
      <c r="AS186" t="str">
        <f>IF($B186="","",'entri hasil dari isian siswa'!HQ186+'entri hasil dari isian siswa'!HW186)</f>
        <v/>
      </c>
      <c r="AT186" t="str">
        <f>IF($B186="","",'entri hasil dari isian siswa'!HR186+'entri hasil dari isian siswa'!HX186)</f>
        <v/>
      </c>
      <c r="AU186" s="69" t="str">
        <f t="shared" si="71"/>
        <v/>
      </c>
      <c r="AV186" s="69" t="str">
        <f>IF($AU186="","",IFERROR(VLOOKUP($AU186,'Kunci dari RIASEC'!$J$4:$K$33,2,FALSE),""))</f>
        <v/>
      </c>
    </row>
    <row r="187" spans="1:48">
      <c r="A187">
        <f t="shared" si="60"/>
        <v>183</v>
      </c>
      <c r="B187" t="str">
        <f>IF('entri hasil dari isian siswa'!B187="","",'entri hasil dari isian siswa'!B187)</f>
        <v/>
      </c>
      <c r="C187" t="str">
        <f>IF('entri hasil dari isian siswa'!C187="","",'entri hasil dari isian siswa'!C187)</f>
        <v/>
      </c>
      <c r="D187" t="str">
        <f>IF('entri hasil dari isian siswa'!D187="","",'entri hasil dari isian siswa'!D187)</f>
        <v/>
      </c>
      <c r="E187" t="str">
        <f t="shared" si="61"/>
        <v/>
      </c>
      <c r="F187" t="str">
        <f t="shared" si="62"/>
        <v/>
      </c>
      <c r="G187" t="str">
        <f t="shared" si="63"/>
        <v/>
      </c>
      <c r="H187" t="str">
        <f t="shared" si="64"/>
        <v/>
      </c>
      <c r="I187" t="str">
        <f t="shared" si="65"/>
        <v/>
      </c>
      <c r="J187" t="str">
        <f t="shared" si="66"/>
        <v/>
      </c>
      <c r="K187" t="str">
        <f>IF($V187&lt;&gt;"OK","",RANK(E187,$E187:$J187,0)+COUNTIF($E187:E187,E187)-1)</f>
        <v/>
      </c>
      <c r="L187" t="str">
        <f>IF($V187&lt;&gt;"OK","",RANK(F187,$E187:$J187,0)+COUNTIF($E187:F187,F187)-1)</f>
        <v/>
      </c>
      <c r="M187" t="str">
        <f>IF($V187&lt;&gt;"OK","",RANK(G187,$E187:$J187,0)+COUNTIF($E187:G187,G187)-1)</f>
        <v/>
      </c>
      <c r="N187" t="str">
        <f>IF($V187&lt;&gt;"OK","",RANK(H187,$E187:$J187,0)+COUNTIF($E187:H187,H187)-1)</f>
        <v/>
      </c>
      <c r="O187" t="str">
        <f>IF($V187&lt;&gt;"OK","",RANK(I187,$E187:$J187,0)+COUNTIF($E187:I187,I187)-1)</f>
        <v/>
      </c>
      <c r="P187" t="str">
        <f>IF($V187&lt;&gt;"OK","",RANK(J187,$E187:$J187,0)+COUNTIF($E187:J187,J187)-1)</f>
        <v/>
      </c>
      <c r="Q187" t="str">
        <f t="shared" si="67"/>
        <v/>
      </c>
      <c r="R187" t="str">
        <f t="shared" si="68"/>
        <v/>
      </c>
      <c r="S187" t="str">
        <f t="shared" si="69"/>
        <v/>
      </c>
      <c r="T187" t="str">
        <f t="shared" si="70"/>
        <v/>
      </c>
      <c r="U187" s="1" t="str">
        <f>IF($T187="","",IFERROR(VLOOKUP($T187,'Kunci dari RIASEC'!$A$4:$B$123,2,FALSE),"Rekomendasi belum tersedia"))</f>
        <v/>
      </c>
      <c r="V187" t="str">
        <f>IF('entri hasil dari isian siswa'!B187="","",'entri hasil dari isian siswa'!HY187)</f>
        <v/>
      </c>
      <c r="W187" t="str">
        <f>IF($B187="","",SUM('entri hasil dari isian siswa'!E187:O187))</f>
        <v/>
      </c>
      <c r="X187" t="str">
        <f>IF($B187="","",SUM('entri hasil dari isian siswa'!P187:Z187))</f>
        <v/>
      </c>
      <c r="Y187" t="str">
        <f>IF($B187="","",SUM('entri hasil dari isian siswa'!AA187:AK187))</f>
        <v/>
      </c>
      <c r="Z187" t="str">
        <f>IF($B187="","",SUM('entri hasil dari isian siswa'!AL187:AV187))</f>
        <v/>
      </c>
      <c r="AA187" t="str">
        <f>IF($B187="","",SUM('entri hasil dari isian siswa'!AW187:BG187))</f>
        <v/>
      </c>
      <c r="AB187" t="str">
        <f>IF($B187="","",SUM('entri hasil dari isian siswa'!BH187:BR187))</f>
        <v/>
      </c>
      <c r="AC187" t="str">
        <f>IF($B187="","",SUM('entri hasil dari isian siswa'!BS187:CC187))</f>
        <v/>
      </c>
      <c r="AD187" t="str">
        <f>IF($B187="","",SUM('entri hasil dari isian siswa'!CD187:CN187))</f>
        <v/>
      </c>
      <c r="AE187" t="str">
        <f>IF($B187="","",SUM('entri hasil dari isian siswa'!CO187:CY187))</f>
        <v/>
      </c>
      <c r="AF187" t="str">
        <f>IF($B187="","",SUM('entri hasil dari isian siswa'!CZ187:DJ187))</f>
        <v/>
      </c>
      <c r="AG187" t="str">
        <f>IF($B187="","",SUM('entri hasil dari isian siswa'!DK187:DU187))</f>
        <v/>
      </c>
      <c r="AH187" t="str">
        <f>IF($B187="","",SUM('entri hasil dari isian siswa'!DV187:EF187))</f>
        <v/>
      </c>
      <c r="AI187" t="str">
        <f>IF($B187="","",SUM('entri hasil dari isian siswa'!EG187:ET187))</f>
        <v/>
      </c>
      <c r="AJ187" t="str">
        <f>IF($B187="","",SUM('entri hasil dari isian siswa'!EU187:FH187))</f>
        <v/>
      </c>
      <c r="AK187" t="str">
        <f>IF($B187="","",SUM('entri hasil dari isian siswa'!FI187:FV187))</f>
        <v/>
      </c>
      <c r="AL187" t="str">
        <f>IF($B187="","",SUM('entri hasil dari isian siswa'!FW187:GJ187))</f>
        <v/>
      </c>
      <c r="AM187" t="str">
        <f>IF($B187="","",SUM('entri hasil dari isian siswa'!GK187:GX187))</f>
        <v/>
      </c>
      <c r="AN187" t="str">
        <f>IF($B187="","",SUM('entri hasil dari isian siswa'!GY187:HL187))</f>
        <v/>
      </c>
      <c r="AO187" t="str">
        <f>IF($B187="","",'entri hasil dari isian siswa'!HM187+'entri hasil dari isian siswa'!HS187)</f>
        <v/>
      </c>
      <c r="AP187" t="str">
        <f>IF($B187="","",'entri hasil dari isian siswa'!HN187+'entri hasil dari isian siswa'!HT187)</f>
        <v/>
      </c>
      <c r="AQ187" t="str">
        <f>IF($B187="","",'entri hasil dari isian siswa'!HO187+'entri hasil dari isian siswa'!HU187)</f>
        <v/>
      </c>
      <c r="AR187" t="str">
        <f>IF($B187="","",'entri hasil dari isian siswa'!HP187+'entri hasil dari isian siswa'!HV187)</f>
        <v/>
      </c>
      <c r="AS187" t="str">
        <f>IF($B187="","",'entri hasil dari isian siswa'!HQ187+'entri hasil dari isian siswa'!HW187)</f>
        <v/>
      </c>
      <c r="AT187" t="str">
        <f>IF($B187="","",'entri hasil dari isian siswa'!HR187+'entri hasil dari isian siswa'!HX187)</f>
        <v/>
      </c>
      <c r="AU187" s="69" t="str">
        <f t="shared" si="71"/>
        <v/>
      </c>
      <c r="AV187" s="69" t="str">
        <f>IF($AU187="","",IFERROR(VLOOKUP($AU187,'Kunci dari RIASEC'!$J$4:$K$33,2,FALSE),""))</f>
        <v/>
      </c>
    </row>
    <row r="188" spans="1:48">
      <c r="A188">
        <f t="shared" si="60"/>
        <v>184</v>
      </c>
      <c r="B188" t="str">
        <f>IF('entri hasil dari isian siswa'!B188="","",'entri hasil dari isian siswa'!B188)</f>
        <v/>
      </c>
      <c r="C188" t="str">
        <f>IF('entri hasil dari isian siswa'!C188="","",'entri hasil dari isian siswa'!C188)</f>
        <v/>
      </c>
      <c r="D188" t="str">
        <f>IF('entri hasil dari isian siswa'!D188="","",'entri hasil dari isian siswa'!D188)</f>
        <v/>
      </c>
      <c r="E188" t="str">
        <f t="shared" si="61"/>
        <v/>
      </c>
      <c r="F188" t="str">
        <f t="shared" si="62"/>
        <v/>
      </c>
      <c r="G188" t="str">
        <f t="shared" si="63"/>
        <v/>
      </c>
      <c r="H188" t="str">
        <f t="shared" si="64"/>
        <v/>
      </c>
      <c r="I188" t="str">
        <f t="shared" si="65"/>
        <v/>
      </c>
      <c r="J188" t="str">
        <f t="shared" si="66"/>
        <v/>
      </c>
      <c r="K188" t="str">
        <f>IF($V188&lt;&gt;"OK","",RANK(E188,$E188:$J188,0)+COUNTIF($E188:E188,E188)-1)</f>
        <v/>
      </c>
      <c r="L188" t="str">
        <f>IF($V188&lt;&gt;"OK","",RANK(F188,$E188:$J188,0)+COUNTIF($E188:F188,F188)-1)</f>
        <v/>
      </c>
      <c r="M188" t="str">
        <f>IF($V188&lt;&gt;"OK","",RANK(G188,$E188:$J188,0)+COUNTIF($E188:G188,G188)-1)</f>
        <v/>
      </c>
      <c r="N188" t="str">
        <f>IF($V188&lt;&gt;"OK","",RANK(H188,$E188:$J188,0)+COUNTIF($E188:H188,H188)-1)</f>
        <v/>
      </c>
      <c r="O188" t="str">
        <f>IF($V188&lt;&gt;"OK","",RANK(I188,$E188:$J188,0)+COUNTIF($E188:I188,I188)-1)</f>
        <v/>
      </c>
      <c r="P188" t="str">
        <f>IF($V188&lt;&gt;"OK","",RANK(J188,$E188:$J188,0)+COUNTIF($E188:J188,J188)-1)</f>
        <v/>
      </c>
      <c r="Q188" t="str">
        <f t="shared" si="67"/>
        <v/>
      </c>
      <c r="R188" t="str">
        <f t="shared" si="68"/>
        <v/>
      </c>
      <c r="S188" t="str">
        <f t="shared" si="69"/>
        <v/>
      </c>
      <c r="T188" t="str">
        <f t="shared" si="70"/>
        <v/>
      </c>
      <c r="U188" s="1" t="str">
        <f>IF($T188="","",IFERROR(VLOOKUP($T188,'Kunci dari RIASEC'!$A$4:$B$123,2,FALSE),"Rekomendasi belum tersedia"))</f>
        <v/>
      </c>
      <c r="V188" t="str">
        <f>IF('entri hasil dari isian siswa'!B188="","",'entri hasil dari isian siswa'!HY188)</f>
        <v/>
      </c>
      <c r="W188" t="str">
        <f>IF($B188="","",SUM('entri hasil dari isian siswa'!E188:O188))</f>
        <v/>
      </c>
      <c r="X188" t="str">
        <f>IF($B188="","",SUM('entri hasil dari isian siswa'!P188:Z188))</f>
        <v/>
      </c>
      <c r="Y188" t="str">
        <f>IF($B188="","",SUM('entri hasil dari isian siswa'!AA188:AK188))</f>
        <v/>
      </c>
      <c r="Z188" t="str">
        <f>IF($B188="","",SUM('entri hasil dari isian siswa'!AL188:AV188))</f>
        <v/>
      </c>
      <c r="AA188" t="str">
        <f>IF($B188="","",SUM('entri hasil dari isian siswa'!AW188:BG188))</f>
        <v/>
      </c>
      <c r="AB188" t="str">
        <f>IF($B188="","",SUM('entri hasil dari isian siswa'!BH188:BR188))</f>
        <v/>
      </c>
      <c r="AC188" t="str">
        <f>IF($B188="","",SUM('entri hasil dari isian siswa'!BS188:CC188))</f>
        <v/>
      </c>
      <c r="AD188" t="str">
        <f>IF($B188="","",SUM('entri hasil dari isian siswa'!CD188:CN188))</f>
        <v/>
      </c>
      <c r="AE188" t="str">
        <f>IF($B188="","",SUM('entri hasil dari isian siswa'!CO188:CY188))</f>
        <v/>
      </c>
      <c r="AF188" t="str">
        <f>IF($B188="","",SUM('entri hasil dari isian siswa'!CZ188:DJ188))</f>
        <v/>
      </c>
      <c r="AG188" t="str">
        <f>IF($B188="","",SUM('entri hasil dari isian siswa'!DK188:DU188))</f>
        <v/>
      </c>
      <c r="AH188" t="str">
        <f>IF($B188="","",SUM('entri hasil dari isian siswa'!DV188:EF188))</f>
        <v/>
      </c>
      <c r="AI188" t="str">
        <f>IF($B188="","",SUM('entri hasil dari isian siswa'!EG188:ET188))</f>
        <v/>
      </c>
      <c r="AJ188" t="str">
        <f>IF($B188="","",SUM('entri hasil dari isian siswa'!EU188:FH188))</f>
        <v/>
      </c>
      <c r="AK188" t="str">
        <f>IF($B188="","",SUM('entri hasil dari isian siswa'!FI188:FV188))</f>
        <v/>
      </c>
      <c r="AL188" t="str">
        <f>IF($B188="","",SUM('entri hasil dari isian siswa'!FW188:GJ188))</f>
        <v/>
      </c>
      <c r="AM188" t="str">
        <f>IF($B188="","",SUM('entri hasil dari isian siswa'!GK188:GX188))</f>
        <v/>
      </c>
      <c r="AN188" t="str">
        <f>IF($B188="","",SUM('entri hasil dari isian siswa'!GY188:HL188))</f>
        <v/>
      </c>
      <c r="AO188" t="str">
        <f>IF($B188="","",'entri hasil dari isian siswa'!HM188+'entri hasil dari isian siswa'!HS188)</f>
        <v/>
      </c>
      <c r="AP188" t="str">
        <f>IF($B188="","",'entri hasil dari isian siswa'!HN188+'entri hasil dari isian siswa'!HT188)</f>
        <v/>
      </c>
      <c r="AQ188" t="str">
        <f>IF($B188="","",'entri hasil dari isian siswa'!HO188+'entri hasil dari isian siswa'!HU188)</f>
        <v/>
      </c>
      <c r="AR188" t="str">
        <f>IF($B188="","",'entri hasil dari isian siswa'!HP188+'entri hasil dari isian siswa'!HV188)</f>
        <v/>
      </c>
      <c r="AS188" t="str">
        <f>IF($B188="","",'entri hasil dari isian siswa'!HQ188+'entri hasil dari isian siswa'!HW188)</f>
        <v/>
      </c>
      <c r="AT188" t="str">
        <f>IF($B188="","",'entri hasil dari isian siswa'!HR188+'entri hasil dari isian siswa'!HX188)</f>
        <v/>
      </c>
      <c r="AU188" s="69" t="str">
        <f t="shared" si="71"/>
        <v/>
      </c>
      <c r="AV188" s="69" t="str">
        <f>IF($AU188="","",IFERROR(VLOOKUP($AU188,'Kunci dari RIASEC'!$J$4:$K$33,2,FALSE),""))</f>
        <v/>
      </c>
    </row>
    <row r="189" spans="1:48">
      <c r="A189">
        <f t="shared" si="60"/>
        <v>185</v>
      </c>
      <c r="B189" t="str">
        <f>IF('entri hasil dari isian siswa'!B189="","",'entri hasil dari isian siswa'!B189)</f>
        <v/>
      </c>
      <c r="C189" t="str">
        <f>IF('entri hasil dari isian siswa'!C189="","",'entri hasil dari isian siswa'!C189)</f>
        <v/>
      </c>
      <c r="D189" t="str">
        <f>IF('entri hasil dari isian siswa'!D189="","",'entri hasil dari isian siswa'!D189)</f>
        <v/>
      </c>
      <c r="E189" t="str">
        <f t="shared" si="61"/>
        <v/>
      </c>
      <c r="F189" t="str">
        <f t="shared" si="62"/>
        <v/>
      </c>
      <c r="G189" t="str">
        <f t="shared" si="63"/>
        <v/>
      </c>
      <c r="H189" t="str">
        <f t="shared" si="64"/>
        <v/>
      </c>
      <c r="I189" t="str">
        <f t="shared" si="65"/>
        <v/>
      </c>
      <c r="J189" t="str">
        <f t="shared" si="66"/>
        <v/>
      </c>
      <c r="K189" t="str">
        <f>IF($V189&lt;&gt;"OK","",RANK(E189,$E189:$J189,0)+COUNTIF($E189:E189,E189)-1)</f>
        <v/>
      </c>
      <c r="L189" t="str">
        <f>IF($V189&lt;&gt;"OK","",RANK(F189,$E189:$J189,0)+COUNTIF($E189:F189,F189)-1)</f>
        <v/>
      </c>
      <c r="M189" t="str">
        <f>IF($V189&lt;&gt;"OK","",RANK(G189,$E189:$J189,0)+COUNTIF($E189:G189,G189)-1)</f>
        <v/>
      </c>
      <c r="N189" t="str">
        <f>IF($V189&lt;&gt;"OK","",RANK(H189,$E189:$J189,0)+COUNTIF($E189:H189,H189)-1)</f>
        <v/>
      </c>
      <c r="O189" t="str">
        <f>IF($V189&lt;&gt;"OK","",RANK(I189,$E189:$J189,0)+COUNTIF($E189:I189,I189)-1)</f>
        <v/>
      </c>
      <c r="P189" t="str">
        <f>IF($V189&lt;&gt;"OK","",RANK(J189,$E189:$J189,0)+COUNTIF($E189:J189,J189)-1)</f>
        <v/>
      </c>
      <c r="Q189" t="str">
        <f t="shared" si="67"/>
        <v/>
      </c>
      <c r="R189" t="str">
        <f t="shared" si="68"/>
        <v/>
      </c>
      <c r="S189" t="str">
        <f t="shared" si="69"/>
        <v/>
      </c>
      <c r="T189" t="str">
        <f t="shared" si="70"/>
        <v/>
      </c>
      <c r="U189" s="1" t="str">
        <f>IF($T189="","",IFERROR(VLOOKUP($T189,'Kunci dari RIASEC'!$A$4:$B$123,2,FALSE),"Rekomendasi belum tersedia"))</f>
        <v/>
      </c>
      <c r="V189" t="str">
        <f>IF('entri hasil dari isian siswa'!B189="","",'entri hasil dari isian siswa'!HY189)</f>
        <v/>
      </c>
      <c r="W189" t="str">
        <f>IF($B189="","",SUM('entri hasil dari isian siswa'!E189:O189))</f>
        <v/>
      </c>
      <c r="X189" t="str">
        <f>IF($B189="","",SUM('entri hasil dari isian siswa'!P189:Z189))</f>
        <v/>
      </c>
      <c r="Y189" t="str">
        <f>IF($B189="","",SUM('entri hasil dari isian siswa'!AA189:AK189))</f>
        <v/>
      </c>
      <c r="Z189" t="str">
        <f>IF($B189="","",SUM('entri hasil dari isian siswa'!AL189:AV189))</f>
        <v/>
      </c>
      <c r="AA189" t="str">
        <f>IF($B189="","",SUM('entri hasil dari isian siswa'!AW189:BG189))</f>
        <v/>
      </c>
      <c r="AB189" t="str">
        <f>IF($B189="","",SUM('entri hasil dari isian siswa'!BH189:BR189))</f>
        <v/>
      </c>
      <c r="AC189" t="str">
        <f>IF($B189="","",SUM('entri hasil dari isian siswa'!BS189:CC189))</f>
        <v/>
      </c>
      <c r="AD189" t="str">
        <f>IF($B189="","",SUM('entri hasil dari isian siswa'!CD189:CN189))</f>
        <v/>
      </c>
      <c r="AE189" t="str">
        <f>IF($B189="","",SUM('entri hasil dari isian siswa'!CO189:CY189))</f>
        <v/>
      </c>
      <c r="AF189" t="str">
        <f>IF($B189="","",SUM('entri hasil dari isian siswa'!CZ189:DJ189))</f>
        <v/>
      </c>
      <c r="AG189" t="str">
        <f>IF($B189="","",SUM('entri hasil dari isian siswa'!DK189:DU189))</f>
        <v/>
      </c>
      <c r="AH189" t="str">
        <f>IF($B189="","",SUM('entri hasil dari isian siswa'!DV189:EF189))</f>
        <v/>
      </c>
      <c r="AI189" t="str">
        <f>IF($B189="","",SUM('entri hasil dari isian siswa'!EG189:ET189))</f>
        <v/>
      </c>
      <c r="AJ189" t="str">
        <f>IF($B189="","",SUM('entri hasil dari isian siswa'!EU189:FH189))</f>
        <v/>
      </c>
      <c r="AK189" t="str">
        <f>IF($B189="","",SUM('entri hasil dari isian siswa'!FI189:FV189))</f>
        <v/>
      </c>
      <c r="AL189" t="str">
        <f>IF($B189="","",SUM('entri hasil dari isian siswa'!FW189:GJ189))</f>
        <v/>
      </c>
      <c r="AM189" t="str">
        <f>IF($B189="","",SUM('entri hasil dari isian siswa'!GK189:GX189))</f>
        <v/>
      </c>
      <c r="AN189" t="str">
        <f>IF($B189="","",SUM('entri hasil dari isian siswa'!GY189:HL189))</f>
        <v/>
      </c>
      <c r="AO189" t="str">
        <f>IF($B189="","",'entri hasil dari isian siswa'!HM189+'entri hasil dari isian siswa'!HS189)</f>
        <v/>
      </c>
      <c r="AP189" t="str">
        <f>IF($B189="","",'entri hasil dari isian siswa'!HN189+'entri hasil dari isian siswa'!HT189)</f>
        <v/>
      </c>
      <c r="AQ189" t="str">
        <f>IF($B189="","",'entri hasil dari isian siswa'!HO189+'entri hasil dari isian siswa'!HU189)</f>
        <v/>
      </c>
      <c r="AR189" t="str">
        <f>IF($B189="","",'entri hasil dari isian siswa'!HP189+'entri hasil dari isian siswa'!HV189)</f>
        <v/>
      </c>
      <c r="AS189" t="str">
        <f>IF($B189="","",'entri hasil dari isian siswa'!HQ189+'entri hasil dari isian siswa'!HW189)</f>
        <v/>
      </c>
      <c r="AT189" t="str">
        <f>IF($B189="","",'entri hasil dari isian siswa'!HR189+'entri hasil dari isian siswa'!HX189)</f>
        <v/>
      </c>
      <c r="AU189" s="69" t="str">
        <f t="shared" si="71"/>
        <v/>
      </c>
      <c r="AV189" s="69" t="str">
        <f>IF($AU189="","",IFERROR(VLOOKUP($AU189,'Kunci dari RIASEC'!$J$4:$K$33,2,FALSE),""))</f>
        <v/>
      </c>
    </row>
    <row r="190" spans="1:48">
      <c r="A190">
        <f t="shared" si="60"/>
        <v>186</v>
      </c>
      <c r="B190" t="str">
        <f>IF('entri hasil dari isian siswa'!B190="","",'entri hasil dari isian siswa'!B190)</f>
        <v/>
      </c>
      <c r="C190" t="str">
        <f>IF('entri hasil dari isian siswa'!C190="","",'entri hasil dari isian siswa'!C190)</f>
        <v/>
      </c>
      <c r="D190" t="str">
        <f>IF('entri hasil dari isian siswa'!D190="","",'entri hasil dari isian siswa'!D190)</f>
        <v/>
      </c>
      <c r="E190" t="str">
        <f t="shared" si="61"/>
        <v/>
      </c>
      <c r="F190" t="str">
        <f t="shared" si="62"/>
        <v/>
      </c>
      <c r="G190" t="str">
        <f t="shared" si="63"/>
        <v/>
      </c>
      <c r="H190" t="str">
        <f t="shared" si="64"/>
        <v/>
      </c>
      <c r="I190" t="str">
        <f t="shared" si="65"/>
        <v/>
      </c>
      <c r="J190" t="str">
        <f t="shared" si="66"/>
        <v/>
      </c>
      <c r="K190" t="str">
        <f>IF($V190&lt;&gt;"OK","",RANK(E190,$E190:$J190,0)+COUNTIF($E190:E190,E190)-1)</f>
        <v/>
      </c>
      <c r="L190" t="str">
        <f>IF($V190&lt;&gt;"OK","",RANK(F190,$E190:$J190,0)+COUNTIF($E190:F190,F190)-1)</f>
        <v/>
      </c>
      <c r="M190" t="str">
        <f>IF($V190&lt;&gt;"OK","",RANK(G190,$E190:$J190,0)+COUNTIF($E190:G190,G190)-1)</f>
        <v/>
      </c>
      <c r="N190" t="str">
        <f>IF($V190&lt;&gt;"OK","",RANK(H190,$E190:$J190,0)+COUNTIF($E190:H190,H190)-1)</f>
        <v/>
      </c>
      <c r="O190" t="str">
        <f>IF($V190&lt;&gt;"OK","",RANK(I190,$E190:$J190,0)+COUNTIF($E190:I190,I190)-1)</f>
        <v/>
      </c>
      <c r="P190" t="str">
        <f>IF($V190&lt;&gt;"OK","",RANK(J190,$E190:$J190,0)+COUNTIF($E190:J190,J190)-1)</f>
        <v/>
      </c>
      <c r="Q190" t="str">
        <f t="shared" si="67"/>
        <v/>
      </c>
      <c r="R190" t="str">
        <f t="shared" si="68"/>
        <v/>
      </c>
      <c r="S190" t="str">
        <f t="shared" si="69"/>
        <v/>
      </c>
      <c r="T190" t="str">
        <f t="shared" si="70"/>
        <v/>
      </c>
      <c r="U190" s="1" t="str">
        <f>IF($T190="","",IFERROR(VLOOKUP($T190,'Kunci dari RIASEC'!$A$4:$B$123,2,FALSE),"Rekomendasi belum tersedia"))</f>
        <v/>
      </c>
      <c r="V190" t="str">
        <f>IF('entri hasil dari isian siswa'!B190="","",'entri hasil dari isian siswa'!HY190)</f>
        <v/>
      </c>
      <c r="W190" t="str">
        <f>IF($B190="","",SUM('entri hasil dari isian siswa'!E190:O190))</f>
        <v/>
      </c>
      <c r="X190" t="str">
        <f>IF($B190="","",SUM('entri hasil dari isian siswa'!P190:Z190))</f>
        <v/>
      </c>
      <c r="Y190" t="str">
        <f>IF($B190="","",SUM('entri hasil dari isian siswa'!AA190:AK190))</f>
        <v/>
      </c>
      <c r="Z190" t="str">
        <f>IF($B190="","",SUM('entri hasil dari isian siswa'!AL190:AV190))</f>
        <v/>
      </c>
      <c r="AA190" t="str">
        <f>IF($B190="","",SUM('entri hasil dari isian siswa'!AW190:BG190))</f>
        <v/>
      </c>
      <c r="AB190" t="str">
        <f>IF($B190="","",SUM('entri hasil dari isian siswa'!BH190:BR190))</f>
        <v/>
      </c>
      <c r="AC190" t="str">
        <f>IF($B190="","",SUM('entri hasil dari isian siswa'!BS190:CC190))</f>
        <v/>
      </c>
      <c r="AD190" t="str">
        <f>IF($B190="","",SUM('entri hasil dari isian siswa'!CD190:CN190))</f>
        <v/>
      </c>
      <c r="AE190" t="str">
        <f>IF($B190="","",SUM('entri hasil dari isian siswa'!CO190:CY190))</f>
        <v/>
      </c>
      <c r="AF190" t="str">
        <f>IF($B190="","",SUM('entri hasil dari isian siswa'!CZ190:DJ190))</f>
        <v/>
      </c>
      <c r="AG190" t="str">
        <f>IF($B190="","",SUM('entri hasil dari isian siswa'!DK190:DU190))</f>
        <v/>
      </c>
      <c r="AH190" t="str">
        <f>IF($B190="","",SUM('entri hasil dari isian siswa'!DV190:EF190))</f>
        <v/>
      </c>
      <c r="AI190" t="str">
        <f>IF($B190="","",SUM('entri hasil dari isian siswa'!EG190:ET190))</f>
        <v/>
      </c>
      <c r="AJ190" t="str">
        <f>IF($B190="","",SUM('entri hasil dari isian siswa'!EU190:FH190))</f>
        <v/>
      </c>
      <c r="AK190" t="str">
        <f>IF($B190="","",SUM('entri hasil dari isian siswa'!FI190:FV190))</f>
        <v/>
      </c>
      <c r="AL190" t="str">
        <f>IF($B190="","",SUM('entri hasil dari isian siswa'!FW190:GJ190))</f>
        <v/>
      </c>
      <c r="AM190" t="str">
        <f>IF($B190="","",SUM('entri hasil dari isian siswa'!GK190:GX190))</f>
        <v/>
      </c>
      <c r="AN190" t="str">
        <f>IF($B190="","",SUM('entri hasil dari isian siswa'!GY190:HL190))</f>
        <v/>
      </c>
      <c r="AO190" t="str">
        <f>IF($B190="","",'entri hasil dari isian siswa'!HM190+'entri hasil dari isian siswa'!HS190)</f>
        <v/>
      </c>
      <c r="AP190" t="str">
        <f>IF($B190="","",'entri hasil dari isian siswa'!HN190+'entri hasil dari isian siswa'!HT190)</f>
        <v/>
      </c>
      <c r="AQ190" t="str">
        <f>IF($B190="","",'entri hasil dari isian siswa'!HO190+'entri hasil dari isian siswa'!HU190)</f>
        <v/>
      </c>
      <c r="AR190" t="str">
        <f>IF($B190="","",'entri hasil dari isian siswa'!HP190+'entri hasil dari isian siswa'!HV190)</f>
        <v/>
      </c>
      <c r="AS190" t="str">
        <f>IF($B190="","",'entri hasil dari isian siswa'!HQ190+'entri hasil dari isian siswa'!HW190)</f>
        <v/>
      </c>
      <c r="AT190" t="str">
        <f>IF($B190="","",'entri hasil dari isian siswa'!HR190+'entri hasil dari isian siswa'!HX190)</f>
        <v/>
      </c>
      <c r="AU190" s="69" t="str">
        <f t="shared" si="71"/>
        <v/>
      </c>
      <c r="AV190" s="69" t="str">
        <f>IF($AU190="","",IFERROR(VLOOKUP($AU190,'Kunci dari RIASEC'!$J$4:$K$33,2,FALSE),""))</f>
        <v/>
      </c>
    </row>
    <row r="191" spans="1:48">
      <c r="A191">
        <f t="shared" si="60"/>
        <v>187</v>
      </c>
      <c r="B191" t="str">
        <f>IF('entri hasil dari isian siswa'!B191="","",'entri hasil dari isian siswa'!B191)</f>
        <v/>
      </c>
      <c r="C191" t="str">
        <f>IF('entri hasil dari isian siswa'!C191="","",'entri hasil dari isian siswa'!C191)</f>
        <v/>
      </c>
      <c r="D191" t="str">
        <f>IF('entri hasil dari isian siswa'!D191="","",'entri hasil dari isian siswa'!D191)</f>
        <v/>
      </c>
      <c r="E191" t="str">
        <f t="shared" si="61"/>
        <v/>
      </c>
      <c r="F191" t="str">
        <f t="shared" si="62"/>
        <v/>
      </c>
      <c r="G191" t="str">
        <f t="shared" si="63"/>
        <v/>
      </c>
      <c r="H191" t="str">
        <f t="shared" si="64"/>
        <v/>
      </c>
      <c r="I191" t="str">
        <f t="shared" si="65"/>
        <v/>
      </c>
      <c r="J191" t="str">
        <f t="shared" si="66"/>
        <v/>
      </c>
      <c r="K191" t="str">
        <f>IF($V191&lt;&gt;"OK","",RANK(E191,$E191:$J191,0)+COUNTIF($E191:E191,E191)-1)</f>
        <v/>
      </c>
      <c r="L191" t="str">
        <f>IF($V191&lt;&gt;"OK","",RANK(F191,$E191:$J191,0)+COUNTIF($E191:F191,F191)-1)</f>
        <v/>
      </c>
      <c r="M191" t="str">
        <f>IF($V191&lt;&gt;"OK","",RANK(G191,$E191:$J191,0)+COUNTIF($E191:G191,G191)-1)</f>
        <v/>
      </c>
      <c r="N191" t="str">
        <f>IF($V191&lt;&gt;"OK","",RANK(H191,$E191:$J191,0)+COUNTIF($E191:H191,H191)-1)</f>
        <v/>
      </c>
      <c r="O191" t="str">
        <f>IF($V191&lt;&gt;"OK","",RANK(I191,$E191:$J191,0)+COUNTIF($E191:I191,I191)-1)</f>
        <v/>
      </c>
      <c r="P191" t="str">
        <f>IF($V191&lt;&gt;"OK","",RANK(J191,$E191:$J191,0)+COUNTIF($E191:J191,J191)-1)</f>
        <v/>
      </c>
      <c r="Q191" t="str">
        <f t="shared" si="67"/>
        <v/>
      </c>
      <c r="R191" t="str">
        <f t="shared" si="68"/>
        <v/>
      </c>
      <c r="S191" t="str">
        <f t="shared" si="69"/>
        <v/>
      </c>
      <c r="T191" t="str">
        <f t="shared" si="70"/>
        <v/>
      </c>
      <c r="U191" s="1" t="str">
        <f>IF($T191="","",IFERROR(VLOOKUP($T191,'Kunci dari RIASEC'!$A$4:$B$123,2,FALSE),"Rekomendasi belum tersedia"))</f>
        <v/>
      </c>
      <c r="V191" t="str">
        <f>IF('entri hasil dari isian siswa'!B191="","",'entri hasil dari isian siswa'!HY191)</f>
        <v/>
      </c>
      <c r="W191" t="str">
        <f>IF($B191="","",SUM('entri hasil dari isian siswa'!E191:O191))</f>
        <v/>
      </c>
      <c r="X191" t="str">
        <f>IF($B191="","",SUM('entri hasil dari isian siswa'!P191:Z191))</f>
        <v/>
      </c>
      <c r="Y191" t="str">
        <f>IF($B191="","",SUM('entri hasil dari isian siswa'!AA191:AK191))</f>
        <v/>
      </c>
      <c r="Z191" t="str">
        <f>IF($B191="","",SUM('entri hasil dari isian siswa'!AL191:AV191))</f>
        <v/>
      </c>
      <c r="AA191" t="str">
        <f>IF($B191="","",SUM('entri hasil dari isian siswa'!AW191:BG191))</f>
        <v/>
      </c>
      <c r="AB191" t="str">
        <f>IF($B191="","",SUM('entri hasil dari isian siswa'!BH191:BR191))</f>
        <v/>
      </c>
      <c r="AC191" t="str">
        <f>IF($B191="","",SUM('entri hasil dari isian siswa'!BS191:CC191))</f>
        <v/>
      </c>
      <c r="AD191" t="str">
        <f>IF($B191="","",SUM('entri hasil dari isian siswa'!CD191:CN191))</f>
        <v/>
      </c>
      <c r="AE191" t="str">
        <f>IF($B191="","",SUM('entri hasil dari isian siswa'!CO191:CY191))</f>
        <v/>
      </c>
      <c r="AF191" t="str">
        <f>IF($B191="","",SUM('entri hasil dari isian siswa'!CZ191:DJ191))</f>
        <v/>
      </c>
      <c r="AG191" t="str">
        <f>IF($B191="","",SUM('entri hasil dari isian siswa'!DK191:DU191))</f>
        <v/>
      </c>
      <c r="AH191" t="str">
        <f>IF($B191="","",SUM('entri hasil dari isian siswa'!DV191:EF191))</f>
        <v/>
      </c>
      <c r="AI191" t="str">
        <f>IF($B191="","",SUM('entri hasil dari isian siswa'!EG191:ET191))</f>
        <v/>
      </c>
      <c r="AJ191" t="str">
        <f>IF($B191="","",SUM('entri hasil dari isian siswa'!EU191:FH191))</f>
        <v/>
      </c>
      <c r="AK191" t="str">
        <f>IF($B191="","",SUM('entri hasil dari isian siswa'!FI191:FV191))</f>
        <v/>
      </c>
      <c r="AL191" t="str">
        <f>IF($B191="","",SUM('entri hasil dari isian siswa'!FW191:GJ191))</f>
        <v/>
      </c>
      <c r="AM191" t="str">
        <f>IF($B191="","",SUM('entri hasil dari isian siswa'!GK191:GX191))</f>
        <v/>
      </c>
      <c r="AN191" t="str">
        <f>IF($B191="","",SUM('entri hasil dari isian siswa'!GY191:HL191))</f>
        <v/>
      </c>
      <c r="AO191" t="str">
        <f>IF($B191="","",'entri hasil dari isian siswa'!HM191+'entri hasil dari isian siswa'!HS191)</f>
        <v/>
      </c>
      <c r="AP191" t="str">
        <f>IF($B191="","",'entri hasil dari isian siswa'!HN191+'entri hasil dari isian siswa'!HT191)</f>
        <v/>
      </c>
      <c r="AQ191" t="str">
        <f>IF($B191="","",'entri hasil dari isian siswa'!HO191+'entri hasil dari isian siswa'!HU191)</f>
        <v/>
      </c>
      <c r="AR191" t="str">
        <f>IF($B191="","",'entri hasil dari isian siswa'!HP191+'entri hasil dari isian siswa'!HV191)</f>
        <v/>
      </c>
      <c r="AS191" t="str">
        <f>IF($B191="","",'entri hasil dari isian siswa'!HQ191+'entri hasil dari isian siswa'!HW191)</f>
        <v/>
      </c>
      <c r="AT191" t="str">
        <f>IF($B191="","",'entri hasil dari isian siswa'!HR191+'entri hasil dari isian siswa'!HX191)</f>
        <v/>
      </c>
      <c r="AU191" s="69" t="str">
        <f t="shared" si="71"/>
        <v/>
      </c>
      <c r="AV191" s="69" t="str">
        <f>IF($AU191="","",IFERROR(VLOOKUP($AU191,'Kunci dari RIASEC'!$J$4:$K$33,2,FALSE),""))</f>
        <v/>
      </c>
    </row>
    <row r="192" spans="1:48">
      <c r="A192">
        <f t="shared" si="60"/>
        <v>188</v>
      </c>
      <c r="B192" t="str">
        <f>IF('entri hasil dari isian siswa'!B192="","",'entri hasil dari isian siswa'!B192)</f>
        <v/>
      </c>
      <c r="C192" t="str">
        <f>IF('entri hasil dari isian siswa'!C192="","",'entri hasil dari isian siswa'!C192)</f>
        <v/>
      </c>
      <c r="D192" t="str">
        <f>IF('entri hasil dari isian siswa'!D192="","",'entri hasil dari isian siswa'!D192)</f>
        <v/>
      </c>
      <c r="E192" t="str">
        <f t="shared" si="61"/>
        <v/>
      </c>
      <c r="F192" t="str">
        <f t="shared" si="62"/>
        <v/>
      </c>
      <c r="G192" t="str">
        <f t="shared" si="63"/>
        <v/>
      </c>
      <c r="H192" t="str">
        <f t="shared" si="64"/>
        <v/>
      </c>
      <c r="I192" t="str">
        <f t="shared" si="65"/>
        <v/>
      </c>
      <c r="J192" t="str">
        <f t="shared" si="66"/>
        <v/>
      </c>
      <c r="K192" t="str">
        <f>IF($V192&lt;&gt;"OK","",RANK(E192,$E192:$J192,0)+COUNTIF($E192:E192,E192)-1)</f>
        <v/>
      </c>
      <c r="L192" t="str">
        <f>IF($V192&lt;&gt;"OK","",RANK(F192,$E192:$J192,0)+COUNTIF($E192:F192,F192)-1)</f>
        <v/>
      </c>
      <c r="M192" t="str">
        <f>IF($V192&lt;&gt;"OK","",RANK(G192,$E192:$J192,0)+COUNTIF($E192:G192,G192)-1)</f>
        <v/>
      </c>
      <c r="N192" t="str">
        <f>IF($V192&lt;&gt;"OK","",RANK(H192,$E192:$J192,0)+COUNTIF($E192:H192,H192)-1)</f>
        <v/>
      </c>
      <c r="O192" t="str">
        <f>IF($V192&lt;&gt;"OK","",RANK(I192,$E192:$J192,0)+COUNTIF($E192:I192,I192)-1)</f>
        <v/>
      </c>
      <c r="P192" t="str">
        <f>IF($V192&lt;&gt;"OK","",RANK(J192,$E192:$J192,0)+COUNTIF($E192:J192,J192)-1)</f>
        <v/>
      </c>
      <c r="Q192" t="str">
        <f t="shared" si="67"/>
        <v/>
      </c>
      <c r="R192" t="str">
        <f t="shared" si="68"/>
        <v/>
      </c>
      <c r="S192" t="str">
        <f t="shared" si="69"/>
        <v/>
      </c>
      <c r="T192" t="str">
        <f t="shared" si="70"/>
        <v/>
      </c>
      <c r="U192" s="1" t="str">
        <f>IF($T192="","",IFERROR(VLOOKUP($T192,'Kunci dari RIASEC'!$A$4:$B$123,2,FALSE),"Rekomendasi belum tersedia"))</f>
        <v/>
      </c>
      <c r="V192" t="str">
        <f>IF('entri hasil dari isian siswa'!B192="","",'entri hasil dari isian siswa'!HY192)</f>
        <v/>
      </c>
      <c r="W192" t="str">
        <f>IF($B192="","",SUM('entri hasil dari isian siswa'!E192:O192))</f>
        <v/>
      </c>
      <c r="X192" t="str">
        <f>IF($B192="","",SUM('entri hasil dari isian siswa'!P192:Z192))</f>
        <v/>
      </c>
      <c r="Y192" t="str">
        <f>IF($B192="","",SUM('entri hasil dari isian siswa'!AA192:AK192))</f>
        <v/>
      </c>
      <c r="Z192" t="str">
        <f>IF($B192="","",SUM('entri hasil dari isian siswa'!AL192:AV192))</f>
        <v/>
      </c>
      <c r="AA192" t="str">
        <f>IF($B192="","",SUM('entri hasil dari isian siswa'!AW192:BG192))</f>
        <v/>
      </c>
      <c r="AB192" t="str">
        <f>IF($B192="","",SUM('entri hasil dari isian siswa'!BH192:BR192))</f>
        <v/>
      </c>
      <c r="AC192" t="str">
        <f>IF($B192="","",SUM('entri hasil dari isian siswa'!BS192:CC192))</f>
        <v/>
      </c>
      <c r="AD192" t="str">
        <f>IF($B192="","",SUM('entri hasil dari isian siswa'!CD192:CN192))</f>
        <v/>
      </c>
      <c r="AE192" t="str">
        <f>IF($B192="","",SUM('entri hasil dari isian siswa'!CO192:CY192))</f>
        <v/>
      </c>
      <c r="AF192" t="str">
        <f>IF($B192="","",SUM('entri hasil dari isian siswa'!CZ192:DJ192))</f>
        <v/>
      </c>
      <c r="AG192" t="str">
        <f>IF($B192="","",SUM('entri hasil dari isian siswa'!DK192:DU192))</f>
        <v/>
      </c>
      <c r="AH192" t="str">
        <f>IF($B192="","",SUM('entri hasil dari isian siswa'!DV192:EF192))</f>
        <v/>
      </c>
      <c r="AI192" t="str">
        <f>IF($B192="","",SUM('entri hasil dari isian siswa'!EG192:ET192))</f>
        <v/>
      </c>
      <c r="AJ192" t="str">
        <f>IF($B192="","",SUM('entri hasil dari isian siswa'!EU192:FH192))</f>
        <v/>
      </c>
      <c r="AK192" t="str">
        <f>IF($B192="","",SUM('entri hasil dari isian siswa'!FI192:FV192))</f>
        <v/>
      </c>
      <c r="AL192" t="str">
        <f>IF($B192="","",SUM('entri hasil dari isian siswa'!FW192:GJ192))</f>
        <v/>
      </c>
      <c r="AM192" t="str">
        <f>IF($B192="","",SUM('entri hasil dari isian siswa'!GK192:GX192))</f>
        <v/>
      </c>
      <c r="AN192" t="str">
        <f>IF($B192="","",SUM('entri hasil dari isian siswa'!GY192:HL192))</f>
        <v/>
      </c>
      <c r="AO192" t="str">
        <f>IF($B192="","",'entri hasil dari isian siswa'!HM192+'entri hasil dari isian siswa'!HS192)</f>
        <v/>
      </c>
      <c r="AP192" t="str">
        <f>IF($B192="","",'entri hasil dari isian siswa'!HN192+'entri hasil dari isian siswa'!HT192)</f>
        <v/>
      </c>
      <c r="AQ192" t="str">
        <f>IF($B192="","",'entri hasil dari isian siswa'!HO192+'entri hasil dari isian siswa'!HU192)</f>
        <v/>
      </c>
      <c r="AR192" t="str">
        <f>IF($B192="","",'entri hasil dari isian siswa'!HP192+'entri hasil dari isian siswa'!HV192)</f>
        <v/>
      </c>
      <c r="AS192" t="str">
        <f>IF($B192="","",'entri hasil dari isian siswa'!HQ192+'entri hasil dari isian siswa'!HW192)</f>
        <v/>
      </c>
      <c r="AT192" t="str">
        <f>IF($B192="","",'entri hasil dari isian siswa'!HR192+'entri hasil dari isian siswa'!HX192)</f>
        <v/>
      </c>
      <c r="AU192" s="69" t="str">
        <f t="shared" si="71"/>
        <v/>
      </c>
      <c r="AV192" s="69" t="str">
        <f>IF($AU192="","",IFERROR(VLOOKUP($AU192,'Kunci dari RIASEC'!$J$4:$K$33,2,FALSE),""))</f>
        <v/>
      </c>
    </row>
    <row r="193" spans="1:48">
      <c r="A193">
        <f t="shared" si="60"/>
        <v>189</v>
      </c>
      <c r="B193" t="str">
        <f>IF('entri hasil dari isian siswa'!B193="","",'entri hasil dari isian siswa'!B193)</f>
        <v/>
      </c>
      <c r="C193" t="str">
        <f>IF('entri hasil dari isian siswa'!C193="","",'entri hasil dari isian siswa'!C193)</f>
        <v/>
      </c>
      <c r="D193" t="str">
        <f>IF('entri hasil dari isian siswa'!D193="","",'entri hasil dari isian siswa'!D193)</f>
        <v/>
      </c>
      <c r="E193" t="str">
        <f t="shared" si="61"/>
        <v/>
      </c>
      <c r="F193" t="str">
        <f t="shared" si="62"/>
        <v/>
      </c>
      <c r="G193" t="str">
        <f t="shared" si="63"/>
        <v/>
      </c>
      <c r="H193" t="str">
        <f t="shared" si="64"/>
        <v/>
      </c>
      <c r="I193" t="str">
        <f t="shared" si="65"/>
        <v/>
      </c>
      <c r="J193" t="str">
        <f t="shared" si="66"/>
        <v/>
      </c>
      <c r="K193" t="str">
        <f>IF($V193&lt;&gt;"OK","",RANK(E193,$E193:$J193,0)+COUNTIF($E193:E193,E193)-1)</f>
        <v/>
      </c>
      <c r="L193" t="str">
        <f>IF($V193&lt;&gt;"OK","",RANK(F193,$E193:$J193,0)+COUNTIF($E193:F193,F193)-1)</f>
        <v/>
      </c>
      <c r="M193" t="str">
        <f>IF($V193&lt;&gt;"OK","",RANK(G193,$E193:$J193,0)+COUNTIF($E193:G193,G193)-1)</f>
        <v/>
      </c>
      <c r="N193" t="str">
        <f>IF($V193&lt;&gt;"OK","",RANK(H193,$E193:$J193,0)+COUNTIF($E193:H193,H193)-1)</f>
        <v/>
      </c>
      <c r="O193" t="str">
        <f>IF($V193&lt;&gt;"OK","",RANK(I193,$E193:$J193,0)+COUNTIF($E193:I193,I193)-1)</f>
        <v/>
      </c>
      <c r="P193" t="str">
        <f>IF($V193&lt;&gt;"OK","",RANK(J193,$E193:$J193,0)+COUNTIF($E193:J193,J193)-1)</f>
        <v/>
      </c>
      <c r="Q193" t="str">
        <f t="shared" si="67"/>
        <v/>
      </c>
      <c r="R193" t="str">
        <f t="shared" si="68"/>
        <v/>
      </c>
      <c r="S193" t="str">
        <f t="shared" si="69"/>
        <v/>
      </c>
      <c r="T193" t="str">
        <f t="shared" si="70"/>
        <v/>
      </c>
      <c r="U193" s="1" t="str">
        <f>IF($T193="","",IFERROR(VLOOKUP($T193,'Kunci dari RIASEC'!$A$4:$B$123,2,FALSE),"Rekomendasi belum tersedia"))</f>
        <v/>
      </c>
      <c r="V193" t="str">
        <f>IF('entri hasil dari isian siswa'!B193="","",'entri hasil dari isian siswa'!HY193)</f>
        <v/>
      </c>
      <c r="W193" t="str">
        <f>IF($B193="","",SUM('entri hasil dari isian siswa'!E193:O193))</f>
        <v/>
      </c>
      <c r="X193" t="str">
        <f>IF($B193="","",SUM('entri hasil dari isian siswa'!P193:Z193))</f>
        <v/>
      </c>
      <c r="Y193" t="str">
        <f>IF($B193="","",SUM('entri hasil dari isian siswa'!AA193:AK193))</f>
        <v/>
      </c>
      <c r="Z193" t="str">
        <f>IF($B193="","",SUM('entri hasil dari isian siswa'!AL193:AV193))</f>
        <v/>
      </c>
      <c r="AA193" t="str">
        <f>IF($B193="","",SUM('entri hasil dari isian siswa'!AW193:BG193))</f>
        <v/>
      </c>
      <c r="AB193" t="str">
        <f>IF($B193="","",SUM('entri hasil dari isian siswa'!BH193:BR193))</f>
        <v/>
      </c>
      <c r="AC193" t="str">
        <f>IF($B193="","",SUM('entri hasil dari isian siswa'!BS193:CC193))</f>
        <v/>
      </c>
      <c r="AD193" t="str">
        <f>IF($B193="","",SUM('entri hasil dari isian siswa'!CD193:CN193))</f>
        <v/>
      </c>
      <c r="AE193" t="str">
        <f>IF($B193="","",SUM('entri hasil dari isian siswa'!CO193:CY193))</f>
        <v/>
      </c>
      <c r="AF193" t="str">
        <f>IF($B193="","",SUM('entri hasil dari isian siswa'!CZ193:DJ193))</f>
        <v/>
      </c>
      <c r="AG193" t="str">
        <f>IF($B193="","",SUM('entri hasil dari isian siswa'!DK193:DU193))</f>
        <v/>
      </c>
      <c r="AH193" t="str">
        <f>IF($B193="","",SUM('entri hasil dari isian siswa'!DV193:EF193))</f>
        <v/>
      </c>
      <c r="AI193" t="str">
        <f>IF($B193="","",SUM('entri hasil dari isian siswa'!EG193:ET193))</f>
        <v/>
      </c>
      <c r="AJ193" t="str">
        <f>IF($B193="","",SUM('entri hasil dari isian siswa'!EU193:FH193))</f>
        <v/>
      </c>
      <c r="AK193" t="str">
        <f>IF($B193="","",SUM('entri hasil dari isian siswa'!FI193:FV193))</f>
        <v/>
      </c>
      <c r="AL193" t="str">
        <f>IF($B193="","",SUM('entri hasil dari isian siswa'!FW193:GJ193))</f>
        <v/>
      </c>
      <c r="AM193" t="str">
        <f>IF($B193="","",SUM('entri hasil dari isian siswa'!GK193:GX193))</f>
        <v/>
      </c>
      <c r="AN193" t="str">
        <f>IF($B193="","",SUM('entri hasil dari isian siswa'!GY193:HL193))</f>
        <v/>
      </c>
      <c r="AO193" t="str">
        <f>IF($B193="","",'entri hasil dari isian siswa'!HM193+'entri hasil dari isian siswa'!HS193)</f>
        <v/>
      </c>
      <c r="AP193" t="str">
        <f>IF($B193="","",'entri hasil dari isian siswa'!HN193+'entri hasil dari isian siswa'!HT193)</f>
        <v/>
      </c>
      <c r="AQ193" t="str">
        <f>IF($B193="","",'entri hasil dari isian siswa'!HO193+'entri hasil dari isian siswa'!HU193)</f>
        <v/>
      </c>
      <c r="AR193" t="str">
        <f>IF($B193="","",'entri hasil dari isian siswa'!HP193+'entri hasil dari isian siswa'!HV193)</f>
        <v/>
      </c>
      <c r="AS193" t="str">
        <f>IF($B193="","",'entri hasil dari isian siswa'!HQ193+'entri hasil dari isian siswa'!HW193)</f>
        <v/>
      </c>
      <c r="AT193" t="str">
        <f>IF($B193="","",'entri hasil dari isian siswa'!HR193+'entri hasil dari isian siswa'!HX193)</f>
        <v/>
      </c>
      <c r="AU193" s="69" t="str">
        <f t="shared" si="71"/>
        <v/>
      </c>
      <c r="AV193" s="69" t="str">
        <f>IF($AU193="","",IFERROR(VLOOKUP($AU193,'Kunci dari RIASEC'!$J$4:$K$33,2,FALSE),""))</f>
        <v/>
      </c>
    </row>
    <row r="194" spans="1:48">
      <c r="A194">
        <f t="shared" si="60"/>
        <v>190</v>
      </c>
      <c r="B194" t="str">
        <f>IF('entri hasil dari isian siswa'!B194="","",'entri hasil dari isian siswa'!B194)</f>
        <v/>
      </c>
      <c r="C194" t="str">
        <f>IF('entri hasil dari isian siswa'!C194="","",'entri hasil dari isian siswa'!C194)</f>
        <v/>
      </c>
      <c r="D194" t="str">
        <f>IF('entri hasil dari isian siswa'!D194="","",'entri hasil dari isian siswa'!D194)</f>
        <v/>
      </c>
      <c r="E194" t="str">
        <f t="shared" si="61"/>
        <v/>
      </c>
      <c r="F194" t="str">
        <f t="shared" si="62"/>
        <v/>
      </c>
      <c r="G194" t="str">
        <f t="shared" si="63"/>
        <v/>
      </c>
      <c r="H194" t="str">
        <f t="shared" si="64"/>
        <v/>
      </c>
      <c r="I194" t="str">
        <f t="shared" si="65"/>
        <v/>
      </c>
      <c r="J194" t="str">
        <f t="shared" si="66"/>
        <v/>
      </c>
      <c r="K194" t="str">
        <f>IF($V194&lt;&gt;"OK","",RANK(E194,$E194:$J194,0)+COUNTIF($E194:E194,E194)-1)</f>
        <v/>
      </c>
      <c r="L194" t="str">
        <f>IF($V194&lt;&gt;"OK","",RANK(F194,$E194:$J194,0)+COUNTIF($E194:F194,F194)-1)</f>
        <v/>
      </c>
      <c r="M194" t="str">
        <f>IF($V194&lt;&gt;"OK","",RANK(G194,$E194:$J194,0)+COUNTIF($E194:G194,G194)-1)</f>
        <v/>
      </c>
      <c r="N194" t="str">
        <f>IF($V194&lt;&gt;"OK","",RANK(H194,$E194:$J194,0)+COUNTIF($E194:H194,H194)-1)</f>
        <v/>
      </c>
      <c r="O194" t="str">
        <f>IF($V194&lt;&gt;"OK","",RANK(I194,$E194:$J194,0)+COUNTIF($E194:I194,I194)-1)</f>
        <v/>
      </c>
      <c r="P194" t="str">
        <f>IF($V194&lt;&gt;"OK","",RANK(J194,$E194:$J194,0)+COUNTIF($E194:J194,J194)-1)</f>
        <v/>
      </c>
      <c r="Q194" t="str">
        <f t="shared" si="67"/>
        <v/>
      </c>
      <c r="R194" t="str">
        <f t="shared" si="68"/>
        <v/>
      </c>
      <c r="S194" t="str">
        <f t="shared" si="69"/>
        <v/>
      </c>
      <c r="T194" t="str">
        <f t="shared" si="70"/>
        <v/>
      </c>
      <c r="U194" s="1" t="str">
        <f>IF($T194="","",IFERROR(VLOOKUP($T194,'Kunci dari RIASEC'!$A$4:$B$123,2,FALSE),"Rekomendasi belum tersedia"))</f>
        <v/>
      </c>
      <c r="V194" t="str">
        <f>IF('entri hasil dari isian siswa'!B194="","",'entri hasil dari isian siswa'!HY194)</f>
        <v/>
      </c>
      <c r="W194" t="str">
        <f>IF($B194="","",SUM('entri hasil dari isian siswa'!E194:O194))</f>
        <v/>
      </c>
      <c r="X194" t="str">
        <f>IF($B194="","",SUM('entri hasil dari isian siswa'!P194:Z194))</f>
        <v/>
      </c>
      <c r="Y194" t="str">
        <f>IF($B194="","",SUM('entri hasil dari isian siswa'!AA194:AK194))</f>
        <v/>
      </c>
      <c r="Z194" t="str">
        <f>IF($B194="","",SUM('entri hasil dari isian siswa'!AL194:AV194))</f>
        <v/>
      </c>
      <c r="AA194" t="str">
        <f>IF($B194="","",SUM('entri hasil dari isian siswa'!AW194:BG194))</f>
        <v/>
      </c>
      <c r="AB194" t="str">
        <f>IF($B194="","",SUM('entri hasil dari isian siswa'!BH194:BR194))</f>
        <v/>
      </c>
      <c r="AC194" t="str">
        <f>IF($B194="","",SUM('entri hasil dari isian siswa'!BS194:CC194))</f>
        <v/>
      </c>
      <c r="AD194" t="str">
        <f>IF($B194="","",SUM('entri hasil dari isian siswa'!CD194:CN194))</f>
        <v/>
      </c>
      <c r="AE194" t="str">
        <f>IF($B194="","",SUM('entri hasil dari isian siswa'!CO194:CY194))</f>
        <v/>
      </c>
      <c r="AF194" t="str">
        <f>IF($B194="","",SUM('entri hasil dari isian siswa'!CZ194:DJ194))</f>
        <v/>
      </c>
      <c r="AG194" t="str">
        <f>IF($B194="","",SUM('entri hasil dari isian siswa'!DK194:DU194))</f>
        <v/>
      </c>
      <c r="AH194" t="str">
        <f>IF($B194="","",SUM('entri hasil dari isian siswa'!DV194:EF194))</f>
        <v/>
      </c>
      <c r="AI194" t="str">
        <f>IF($B194="","",SUM('entri hasil dari isian siswa'!EG194:ET194))</f>
        <v/>
      </c>
      <c r="AJ194" t="str">
        <f>IF($B194="","",SUM('entri hasil dari isian siswa'!EU194:FH194))</f>
        <v/>
      </c>
      <c r="AK194" t="str">
        <f>IF($B194="","",SUM('entri hasil dari isian siswa'!FI194:FV194))</f>
        <v/>
      </c>
      <c r="AL194" t="str">
        <f>IF($B194="","",SUM('entri hasil dari isian siswa'!FW194:GJ194))</f>
        <v/>
      </c>
      <c r="AM194" t="str">
        <f>IF($B194="","",SUM('entri hasil dari isian siswa'!GK194:GX194))</f>
        <v/>
      </c>
      <c r="AN194" t="str">
        <f>IF($B194="","",SUM('entri hasil dari isian siswa'!GY194:HL194))</f>
        <v/>
      </c>
      <c r="AO194" t="str">
        <f>IF($B194="","",'entri hasil dari isian siswa'!HM194+'entri hasil dari isian siswa'!HS194)</f>
        <v/>
      </c>
      <c r="AP194" t="str">
        <f>IF($B194="","",'entri hasil dari isian siswa'!HN194+'entri hasil dari isian siswa'!HT194)</f>
        <v/>
      </c>
      <c r="AQ194" t="str">
        <f>IF($B194="","",'entri hasil dari isian siswa'!HO194+'entri hasil dari isian siswa'!HU194)</f>
        <v/>
      </c>
      <c r="AR194" t="str">
        <f>IF($B194="","",'entri hasil dari isian siswa'!HP194+'entri hasil dari isian siswa'!HV194)</f>
        <v/>
      </c>
      <c r="AS194" t="str">
        <f>IF($B194="","",'entri hasil dari isian siswa'!HQ194+'entri hasil dari isian siswa'!HW194)</f>
        <v/>
      </c>
      <c r="AT194" t="str">
        <f>IF($B194="","",'entri hasil dari isian siswa'!HR194+'entri hasil dari isian siswa'!HX194)</f>
        <v/>
      </c>
      <c r="AU194" s="69" t="str">
        <f t="shared" si="71"/>
        <v/>
      </c>
      <c r="AV194" s="69" t="str">
        <f>IF($AU194="","",IFERROR(VLOOKUP($AU194,'Kunci dari RIASEC'!$J$4:$K$33,2,FALSE),""))</f>
        <v/>
      </c>
    </row>
    <row r="195" spans="1:48">
      <c r="A195">
        <f t="shared" si="60"/>
        <v>191</v>
      </c>
      <c r="B195" t="str">
        <f>IF('entri hasil dari isian siswa'!B195="","",'entri hasil dari isian siswa'!B195)</f>
        <v/>
      </c>
      <c r="C195" t="str">
        <f>IF('entri hasil dari isian siswa'!C195="","",'entri hasil dari isian siswa'!C195)</f>
        <v/>
      </c>
      <c r="D195" t="str">
        <f>IF('entri hasil dari isian siswa'!D195="","",'entri hasil dari isian siswa'!D195)</f>
        <v/>
      </c>
      <c r="E195" t="str">
        <f t="shared" si="61"/>
        <v/>
      </c>
      <c r="F195" t="str">
        <f t="shared" si="62"/>
        <v/>
      </c>
      <c r="G195" t="str">
        <f t="shared" si="63"/>
        <v/>
      </c>
      <c r="H195" t="str">
        <f t="shared" si="64"/>
        <v/>
      </c>
      <c r="I195" t="str">
        <f t="shared" si="65"/>
        <v/>
      </c>
      <c r="J195" t="str">
        <f t="shared" si="66"/>
        <v/>
      </c>
      <c r="K195" t="str">
        <f>IF($V195&lt;&gt;"OK","",RANK(E195,$E195:$J195,0)+COUNTIF($E195:E195,E195)-1)</f>
        <v/>
      </c>
      <c r="L195" t="str">
        <f>IF($V195&lt;&gt;"OK","",RANK(F195,$E195:$J195,0)+COUNTIF($E195:F195,F195)-1)</f>
        <v/>
      </c>
      <c r="M195" t="str">
        <f>IF($V195&lt;&gt;"OK","",RANK(G195,$E195:$J195,0)+COUNTIF($E195:G195,G195)-1)</f>
        <v/>
      </c>
      <c r="N195" t="str">
        <f>IF($V195&lt;&gt;"OK","",RANK(H195,$E195:$J195,0)+COUNTIF($E195:H195,H195)-1)</f>
        <v/>
      </c>
      <c r="O195" t="str">
        <f>IF($V195&lt;&gt;"OK","",RANK(I195,$E195:$J195,0)+COUNTIF($E195:I195,I195)-1)</f>
        <v/>
      </c>
      <c r="P195" t="str">
        <f>IF($V195&lt;&gt;"OK","",RANK(J195,$E195:$J195,0)+COUNTIF($E195:J195,J195)-1)</f>
        <v/>
      </c>
      <c r="Q195" t="str">
        <f t="shared" si="67"/>
        <v/>
      </c>
      <c r="R195" t="str">
        <f t="shared" si="68"/>
        <v/>
      </c>
      <c r="S195" t="str">
        <f t="shared" si="69"/>
        <v/>
      </c>
      <c r="T195" t="str">
        <f t="shared" si="70"/>
        <v/>
      </c>
      <c r="U195" s="1" t="str">
        <f>IF($T195="","",IFERROR(VLOOKUP($T195,'Kunci dari RIASEC'!$A$4:$B$123,2,FALSE),"Rekomendasi belum tersedia"))</f>
        <v/>
      </c>
      <c r="V195" t="str">
        <f>IF('entri hasil dari isian siswa'!B195="","",'entri hasil dari isian siswa'!HY195)</f>
        <v/>
      </c>
      <c r="W195" t="str">
        <f>IF($B195="","",SUM('entri hasil dari isian siswa'!E195:O195))</f>
        <v/>
      </c>
      <c r="X195" t="str">
        <f>IF($B195="","",SUM('entri hasil dari isian siswa'!P195:Z195))</f>
        <v/>
      </c>
      <c r="Y195" t="str">
        <f>IF($B195="","",SUM('entri hasil dari isian siswa'!AA195:AK195))</f>
        <v/>
      </c>
      <c r="Z195" t="str">
        <f>IF($B195="","",SUM('entri hasil dari isian siswa'!AL195:AV195))</f>
        <v/>
      </c>
      <c r="AA195" t="str">
        <f>IF($B195="","",SUM('entri hasil dari isian siswa'!AW195:BG195))</f>
        <v/>
      </c>
      <c r="AB195" t="str">
        <f>IF($B195="","",SUM('entri hasil dari isian siswa'!BH195:BR195))</f>
        <v/>
      </c>
      <c r="AC195" t="str">
        <f>IF($B195="","",SUM('entri hasil dari isian siswa'!BS195:CC195))</f>
        <v/>
      </c>
      <c r="AD195" t="str">
        <f>IF($B195="","",SUM('entri hasil dari isian siswa'!CD195:CN195))</f>
        <v/>
      </c>
      <c r="AE195" t="str">
        <f>IF($B195="","",SUM('entri hasil dari isian siswa'!CO195:CY195))</f>
        <v/>
      </c>
      <c r="AF195" t="str">
        <f>IF($B195="","",SUM('entri hasil dari isian siswa'!CZ195:DJ195))</f>
        <v/>
      </c>
      <c r="AG195" t="str">
        <f>IF($B195="","",SUM('entri hasil dari isian siswa'!DK195:DU195))</f>
        <v/>
      </c>
      <c r="AH195" t="str">
        <f>IF($B195="","",SUM('entri hasil dari isian siswa'!DV195:EF195))</f>
        <v/>
      </c>
      <c r="AI195" t="str">
        <f>IF($B195="","",SUM('entri hasil dari isian siswa'!EG195:ET195))</f>
        <v/>
      </c>
      <c r="AJ195" t="str">
        <f>IF($B195="","",SUM('entri hasil dari isian siswa'!EU195:FH195))</f>
        <v/>
      </c>
      <c r="AK195" t="str">
        <f>IF($B195="","",SUM('entri hasil dari isian siswa'!FI195:FV195))</f>
        <v/>
      </c>
      <c r="AL195" t="str">
        <f>IF($B195="","",SUM('entri hasil dari isian siswa'!FW195:GJ195))</f>
        <v/>
      </c>
      <c r="AM195" t="str">
        <f>IF($B195="","",SUM('entri hasil dari isian siswa'!GK195:GX195))</f>
        <v/>
      </c>
      <c r="AN195" t="str">
        <f>IF($B195="","",SUM('entri hasil dari isian siswa'!GY195:HL195))</f>
        <v/>
      </c>
      <c r="AO195" t="str">
        <f>IF($B195="","",'entri hasil dari isian siswa'!HM195+'entri hasil dari isian siswa'!HS195)</f>
        <v/>
      </c>
      <c r="AP195" t="str">
        <f>IF($B195="","",'entri hasil dari isian siswa'!HN195+'entri hasil dari isian siswa'!HT195)</f>
        <v/>
      </c>
      <c r="AQ195" t="str">
        <f>IF($B195="","",'entri hasil dari isian siswa'!HO195+'entri hasil dari isian siswa'!HU195)</f>
        <v/>
      </c>
      <c r="AR195" t="str">
        <f>IF($B195="","",'entri hasil dari isian siswa'!HP195+'entri hasil dari isian siswa'!HV195)</f>
        <v/>
      </c>
      <c r="AS195" t="str">
        <f>IF($B195="","",'entri hasil dari isian siswa'!HQ195+'entri hasil dari isian siswa'!HW195)</f>
        <v/>
      </c>
      <c r="AT195" t="str">
        <f>IF($B195="","",'entri hasil dari isian siswa'!HR195+'entri hasil dari isian siswa'!HX195)</f>
        <v/>
      </c>
      <c r="AU195" s="69" t="str">
        <f t="shared" si="71"/>
        <v/>
      </c>
      <c r="AV195" s="69" t="str">
        <f>IF($AU195="","",IFERROR(VLOOKUP($AU195,'Kunci dari RIASEC'!$J$4:$K$33,2,FALSE),""))</f>
        <v/>
      </c>
    </row>
    <row r="196" spans="1:48">
      <c r="A196">
        <f t="shared" si="60"/>
        <v>192</v>
      </c>
      <c r="B196" t="str">
        <f>IF('entri hasil dari isian siswa'!B196="","",'entri hasil dari isian siswa'!B196)</f>
        <v/>
      </c>
      <c r="C196" t="str">
        <f>IF('entri hasil dari isian siswa'!C196="","",'entri hasil dari isian siswa'!C196)</f>
        <v/>
      </c>
      <c r="D196" t="str">
        <f>IF('entri hasil dari isian siswa'!D196="","",'entri hasil dari isian siswa'!D196)</f>
        <v/>
      </c>
      <c r="E196" t="str">
        <f t="shared" si="61"/>
        <v/>
      </c>
      <c r="F196" t="str">
        <f t="shared" si="62"/>
        <v/>
      </c>
      <c r="G196" t="str">
        <f t="shared" si="63"/>
        <v/>
      </c>
      <c r="H196" t="str">
        <f t="shared" si="64"/>
        <v/>
      </c>
      <c r="I196" t="str">
        <f t="shared" si="65"/>
        <v/>
      </c>
      <c r="J196" t="str">
        <f t="shared" si="66"/>
        <v/>
      </c>
      <c r="K196" t="str">
        <f>IF($V196&lt;&gt;"OK","",RANK(E196,$E196:$J196,0)+COUNTIF($E196:E196,E196)-1)</f>
        <v/>
      </c>
      <c r="L196" t="str">
        <f>IF($V196&lt;&gt;"OK","",RANK(F196,$E196:$J196,0)+COUNTIF($E196:F196,F196)-1)</f>
        <v/>
      </c>
      <c r="M196" t="str">
        <f>IF($V196&lt;&gt;"OK","",RANK(G196,$E196:$J196,0)+COUNTIF($E196:G196,G196)-1)</f>
        <v/>
      </c>
      <c r="N196" t="str">
        <f>IF($V196&lt;&gt;"OK","",RANK(H196,$E196:$J196,0)+COUNTIF($E196:H196,H196)-1)</f>
        <v/>
      </c>
      <c r="O196" t="str">
        <f>IF($V196&lt;&gt;"OK","",RANK(I196,$E196:$J196,0)+COUNTIF($E196:I196,I196)-1)</f>
        <v/>
      </c>
      <c r="P196" t="str">
        <f>IF($V196&lt;&gt;"OK","",RANK(J196,$E196:$J196,0)+COUNTIF($E196:J196,J196)-1)</f>
        <v/>
      </c>
      <c r="Q196" t="str">
        <f t="shared" si="67"/>
        <v/>
      </c>
      <c r="R196" t="str">
        <f t="shared" si="68"/>
        <v/>
      </c>
      <c r="S196" t="str">
        <f t="shared" si="69"/>
        <v/>
      </c>
      <c r="T196" t="str">
        <f t="shared" si="70"/>
        <v/>
      </c>
      <c r="U196" s="1" t="str">
        <f>IF($T196="","",IFERROR(VLOOKUP($T196,'Kunci dari RIASEC'!$A$4:$B$123,2,FALSE),"Rekomendasi belum tersedia"))</f>
        <v/>
      </c>
      <c r="V196" t="str">
        <f>IF('entri hasil dari isian siswa'!B196="","",'entri hasil dari isian siswa'!HY196)</f>
        <v/>
      </c>
      <c r="W196" t="str">
        <f>IF($B196="","",SUM('entri hasil dari isian siswa'!E196:O196))</f>
        <v/>
      </c>
      <c r="X196" t="str">
        <f>IF($B196="","",SUM('entri hasil dari isian siswa'!P196:Z196))</f>
        <v/>
      </c>
      <c r="Y196" t="str">
        <f>IF($B196="","",SUM('entri hasil dari isian siswa'!AA196:AK196))</f>
        <v/>
      </c>
      <c r="Z196" t="str">
        <f>IF($B196="","",SUM('entri hasil dari isian siswa'!AL196:AV196))</f>
        <v/>
      </c>
      <c r="AA196" t="str">
        <f>IF($B196="","",SUM('entri hasil dari isian siswa'!AW196:BG196))</f>
        <v/>
      </c>
      <c r="AB196" t="str">
        <f>IF($B196="","",SUM('entri hasil dari isian siswa'!BH196:BR196))</f>
        <v/>
      </c>
      <c r="AC196" t="str">
        <f>IF($B196="","",SUM('entri hasil dari isian siswa'!BS196:CC196))</f>
        <v/>
      </c>
      <c r="AD196" t="str">
        <f>IF($B196="","",SUM('entri hasil dari isian siswa'!CD196:CN196))</f>
        <v/>
      </c>
      <c r="AE196" t="str">
        <f>IF($B196="","",SUM('entri hasil dari isian siswa'!CO196:CY196))</f>
        <v/>
      </c>
      <c r="AF196" t="str">
        <f>IF($B196="","",SUM('entri hasil dari isian siswa'!CZ196:DJ196))</f>
        <v/>
      </c>
      <c r="AG196" t="str">
        <f>IF($B196="","",SUM('entri hasil dari isian siswa'!DK196:DU196))</f>
        <v/>
      </c>
      <c r="AH196" t="str">
        <f>IF($B196="","",SUM('entri hasil dari isian siswa'!DV196:EF196))</f>
        <v/>
      </c>
      <c r="AI196" t="str">
        <f>IF($B196="","",SUM('entri hasil dari isian siswa'!EG196:ET196))</f>
        <v/>
      </c>
      <c r="AJ196" t="str">
        <f>IF($B196="","",SUM('entri hasil dari isian siswa'!EU196:FH196))</f>
        <v/>
      </c>
      <c r="AK196" t="str">
        <f>IF($B196="","",SUM('entri hasil dari isian siswa'!FI196:FV196))</f>
        <v/>
      </c>
      <c r="AL196" t="str">
        <f>IF($B196="","",SUM('entri hasil dari isian siswa'!FW196:GJ196))</f>
        <v/>
      </c>
      <c r="AM196" t="str">
        <f>IF($B196="","",SUM('entri hasil dari isian siswa'!GK196:GX196))</f>
        <v/>
      </c>
      <c r="AN196" t="str">
        <f>IF($B196="","",SUM('entri hasil dari isian siswa'!GY196:HL196))</f>
        <v/>
      </c>
      <c r="AO196" t="str">
        <f>IF($B196="","",'entri hasil dari isian siswa'!HM196+'entri hasil dari isian siswa'!HS196)</f>
        <v/>
      </c>
      <c r="AP196" t="str">
        <f>IF($B196="","",'entri hasil dari isian siswa'!HN196+'entri hasil dari isian siswa'!HT196)</f>
        <v/>
      </c>
      <c r="AQ196" t="str">
        <f>IF($B196="","",'entri hasil dari isian siswa'!HO196+'entri hasil dari isian siswa'!HU196)</f>
        <v/>
      </c>
      <c r="AR196" t="str">
        <f>IF($B196="","",'entri hasil dari isian siswa'!HP196+'entri hasil dari isian siswa'!HV196)</f>
        <v/>
      </c>
      <c r="AS196" t="str">
        <f>IF($B196="","",'entri hasil dari isian siswa'!HQ196+'entri hasil dari isian siswa'!HW196)</f>
        <v/>
      </c>
      <c r="AT196" t="str">
        <f>IF($B196="","",'entri hasil dari isian siswa'!HR196+'entri hasil dari isian siswa'!HX196)</f>
        <v/>
      </c>
      <c r="AU196" s="69" t="str">
        <f t="shared" si="71"/>
        <v/>
      </c>
      <c r="AV196" s="69" t="str">
        <f>IF($AU196="","",IFERROR(VLOOKUP($AU196,'Kunci dari RIASEC'!$J$4:$K$33,2,FALSE),""))</f>
        <v/>
      </c>
    </row>
    <row r="197" spans="1:48">
      <c r="A197">
        <f t="shared" ref="A197:A204" si="72">ROW()-4</f>
        <v>193</v>
      </c>
      <c r="B197" t="str">
        <f>IF('entri hasil dari isian siswa'!B197="","",'entri hasil dari isian siswa'!B197)</f>
        <v/>
      </c>
      <c r="C197" t="str">
        <f>IF('entri hasil dari isian siswa'!C197="","",'entri hasil dari isian siswa'!C197)</f>
        <v/>
      </c>
      <c r="D197" t="str">
        <f>IF('entri hasil dari isian siswa'!D197="","",'entri hasil dari isian siswa'!D197)</f>
        <v/>
      </c>
      <c r="E197" t="str">
        <f t="shared" ref="E197:E204" si="73">IF($B197="","",W197+AC197+AI197+AO197)</f>
        <v/>
      </c>
      <c r="F197" t="str">
        <f t="shared" ref="F197:F204" si="74">IF($B197="","",X197+AD197+AJ197+AP197)</f>
        <v/>
      </c>
      <c r="G197" t="str">
        <f t="shared" ref="G197:G204" si="75">IF($B197="","",Y197+AE197+AK197+AQ197)</f>
        <v/>
      </c>
      <c r="H197" t="str">
        <f t="shared" ref="H197:H204" si="76">IF($B197="","",Z197+AF197+AL197+AR197)</f>
        <v/>
      </c>
      <c r="I197" t="str">
        <f t="shared" ref="I197:I204" si="77">IF($B197="","",AA197+AG197+AM197+AS197)</f>
        <v/>
      </c>
      <c r="J197" t="str">
        <f t="shared" ref="J197:J204" si="78">IF($B197="","",AB197+AH197+AN197+AT197)</f>
        <v/>
      </c>
      <c r="K197" t="str">
        <f>IF($V197&lt;&gt;"OK","",RANK(E197,$E197:$J197,0)+COUNTIF($E197:E197,E197)-1)</f>
        <v/>
      </c>
      <c r="L197" t="str">
        <f>IF($V197&lt;&gt;"OK","",RANK(F197,$E197:$J197,0)+COUNTIF($E197:F197,F197)-1)</f>
        <v/>
      </c>
      <c r="M197" t="str">
        <f>IF($V197&lt;&gt;"OK","",RANK(G197,$E197:$J197,0)+COUNTIF($E197:G197,G197)-1)</f>
        <v/>
      </c>
      <c r="N197" t="str">
        <f>IF($V197&lt;&gt;"OK","",RANK(H197,$E197:$J197,0)+COUNTIF($E197:H197,H197)-1)</f>
        <v/>
      </c>
      <c r="O197" t="str">
        <f>IF($V197&lt;&gt;"OK","",RANK(I197,$E197:$J197,0)+COUNTIF($E197:I197,I197)-1)</f>
        <v/>
      </c>
      <c r="P197" t="str">
        <f>IF($V197&lt;&gt;"OK","",RANK(J197,$E197:$J197,0)+COUNTIF($E197:J197,J197)-1)</f>
        <v/>
      </c>
      <c r="Q197" t="str">
        <f t="shared" ref="Q197:Q204" si="79">IF($V197&lt;&gt;"OK","",INDEX($E$4:$J$4,1,MATCH(1,$K197:$P197,0)))</f>
        <v/>
      </c>
      <c r="R197" t="str">
        <f t="shared" ref="R197:R204" si="80">IF($V197&lt;&gt;"OK","",INDEX($E$4:$J$4,1,MATCH(2,$K197:$P197,0)))</f>
        <v/>
      </c>
      <c r="S197" t="str">
        <f t="shared" ref="S197:S204" si="81">IF($V197&lt;&gt;"OK","",INDEX($E$4:$J$4,1,MATCH(3,$K197:$P197,0)))</f>
        <v/>
      </c>
      <c r="T197" t="str">
        <f t="shared" ref="T197:T228" si="82">IF($V197&lt;&gt;"OK","",Q197&amp;R197&amp;S197)</f>
        <v/>
      </c>
      <c r="U197" s="1" t="str">
        <f>IF($T197="","",IFERROR(VLOOKUP($T197,'Kunci dari RIASEC'!$A$4:$B$123,2,FALSE),"Rekomendasi belum tersedia"))</f>
        <v/>
      </c>
      <c r="V197" t="str">
        <f>IF('entri hasil dari isian siswa'!B197="","",'entri hasil dari isian siswa'!HY197)</f>
        <v/>
      </c>
      <c r="W197" t="str">
        <f>IF($B197="","",SUM('entri hasil dari isian siswa'!E197:O197))</f>
        <v/>
      </c>
      <c r="X197" t="str">
        <f>IF($B197="","",SUM('entri hasil dari isian siswa'!P197:Z197))</f>
        <v/>
      </c>
      <c r="Y197" t="str">
        <f>IF($B197="","",SUM('entri hasil dari isian siswa'!AA197:AK197))</f>
        <v/>
      </c>
      <c r="Z197" t="str">
        <f>IF($B197="","",SUM('entri hasil dari isian siswa'!AL197:AV197))</f>
        <v/>
      </c>
      <c r="AA197" t="str">
        <f>IF($B197="","",SUM('entri hasil dari isian siswa'!AW197:BG197))</f>
        <v/>
      </c>
      <c r="AB197" t="str">
        <f>IF($B197="","",SUM('entri hasil dari isian siswa'!BH197:BR197))</f>
        <v/>
      </c>
      <c r="AC197" t="str">
        <f>IF($B197="","",SUM('entri hasil dari isian siswa'!BS197:CC197))</f>
        <v/>
      </c>
      <c r="AD197" t="str">
        <f>IF($B197="","",SUM('entri hasil dari isian siswa'!CD197:CN197))</f>
        <v/>
      </c>
      <c r="AE197" t="str">
        <f>IF($B197="","",SUM('entri hasil dari isian siswa'!CO197:CY197))</f>
        <v/>
      </c>
      <c r="AF197" t="str">
        <f>IF($B197="","",SUM('entri hasil dari isian siswa'!CZ197:DJ197))</f>
        <v/>
      </c>
      <c r="AG197" t="str">
        <f>IF($B197="","",SUM('entri hasil dari isian siswa'!DK197:DU197))</f>
        <v/>
      </c>
      <c r="AH197" t="str">
        <f>IF($B197="","",SUM('entri hasil dari isian siswa'!DV197:EF197))</f>
        <v/>
      </c>
      <c r="AI197" t="str">
        <f>IF($B197="","",SUM('entri hasil dari isian siswa'!EG197:ET197))</f>
        <v/>
      </c>
      <c r="AJ197" t="str">
        <f>IF($B197="","",SUM('entri hasil dari isian siswa'!EU197:FH197))</f>
        <v/>
      </c>
      <c r="AK197" t="str">
        <f>IF($B197="","",SUM('entri hasil dari isian siswa'!FI197:FV197))</f>
        <v/>
      </c>
      <c r="AL197" t="str">
        <f>IF($B197="","",SUM('entri hasil dari isian siswa'!FW197:GJ197))</f>
        <v/>
      </c>
      <c r="AM197" t="str">
        <f>IF($B197="","",SUM('entri hasil dari isian siswa'!GK197:GX197))</f>
        <v/>
      </c>
      <c r="AN197" t="str">
        <f>IF($B197="","",SUM('entri hasil dari isian siswa'!GY197:HL197))</f>
        <v/>
      </c>
      <c r="AO197" t="str">
        <f>IF($B197="","",'entri hasil dari isian siswa'!HM197+'entri hasil dari isian siswa'!HS197)</f>
        <v/>
      </c>
      <c r="AP197" t="str">
        <f>IF($B197="","",'entri hasil dari isian siswa'!HN197+'entri hasil dari isian siswa'!HT197)</f>
        <v/>
      </c>
      <c r="AQ197" t="str">
        <f>IF($B197="","",'entri hasil dari isian siswa'!HO197+'entri hasil dari isian siswa'!HU197)</f>
        <v/>
      </c>
      <c r="AR197" t="str">
        <f>IF($B197="","",'entri hasil dari isian siswa'!HP197+'entri hasil dari isian siswa'!HV197)</f>
        <v/>
      </c>
      <c r="AS197" t="str">
        <f>IF($B197="","",'entri hasil dari isian siswa'!HQ197+'entri hasil dari isian siswa'!HW197)</f>
        <v/>
      </c>
      <c r="AT197" t="str">
        <f>IF($B197="","",'entri hasil dari isian siswa'!HR197+'entri hasil dari isian siswa'!HX197)</f>
        <v/>
      </c>
      <c r="AU197" s="69" t="str">
        <f t="shared" ref="AU197:AU204" si="83">IF($T197="","",LEFT($T197,2))</f>
        <v/>
      </c>
      <c r="AV197" s="69" t="str">
        <f>IF($AU197="","",IFERROR(VLOOKUP($AU197,'Kunci dari RIASEC'!$J$4:$K$33,2,FALSE),""))</f>
        <v/>
      </c>
    </row>
    <row r="198" spans="1:48">
      <c r="A198">
        <f t="shared" si="72"/>
        <v>194</v>
      </c>
      <c r="B198" t="str">
        <f>IF('entri hasil dari isian siswa'!B198="","",'entri hasil dari isian siswa'!B198)</f>
        <v/>
      </c>
      <c r="C198" t="str">
        <f>IF('entri hasil dari isian siswa'!C198="","",'entri hasil dari isian siswa'!C198)</f>
        <v/>
      </c>
      <c r="D198" t="str">
        <f>IF('entri hasil dari isian siswa'!D198="","",'entri hasil dari isian siswa'!D198)</f>
        <v/>
      </c>
      <c r="E198" t="str">
        <f t="shared" si="73"/>
        <v/>
      </c>
      <c r="F198" t="str">
        <f t="shared" si="74"/>
        <v/>
      </c>
      <c r="G198" t="str">
        <f t="shared" si="75"/>
        <v/>
      </c>
      <c r="H198" t="str">
        <f t="shared" si="76"/>
        <v/>
      </c>
      <c r="I198" t="str">
        <f t="shared" si="77"/>
        <v/>
      </c>
      <c r="J198" t="str">
        <f t="shared" si="78"/>
        <v/>
      </c>
      <c r="K198" t="str">
        <f>IF($V198&lt;&gt;"OK","",RANK(E198,$E198:$J198,0)+COUNTIF($E198:E198,E198)-1)</f>
        <v/>
      </c>
      <c r="L198" t="str">
        <f>IF($V198&lt;&gt;"OK","",RANK(F198,$E198:$J198,0)+COUNTIF($E198:F198,F198)-1)</f>
        <v/>
      </c>
      <c r="M198" t="str">
        <f>IF($V198&lt;&gt;"OK","",RANK(G198,$E198:$J198,0)+COUNTIF($E198:G198,G198)-1)</f>
        <v/>
      </c>
      <c r="N198" t="str">
        <f>IF($V198&lt;&gt;"OK","",RANK(H198,$E198:$J198,0)+COUNTIF($E198:H198,H198)-1)</f>
        <v/>
      </c>
      <c r="O198" t="str">
        <f>IF($V198&lt;&gt;"OK","",RANK(I198,$E198:$J198,0)+COUNTIF($E198:I198,I198)-1)</f>
        <v/>
      </c>
      <c r="P198" t="str">
        <f>IF($V198&lt;&gt;"OK","",RANK(J198,$E198:$J198,0)+COUNTIF($E198:J198,J198)-1)</f>
        <v/>
      </c>
      <c r="Q198" t="str">
        <f t="shared" si="79"/>
        <v/>
      </c>
      <c r="R198" t="str">
        <f t="shared" si="80"/>
        <v/>
      </c>
      <c r="S198" t="str">
        <f t="shared" si="81"/>
        <v/>
      </c>
      <c r="T198" t="str">
        <f t="shared" si="82"/>
        <v/>
      </c>
      <c r="U198" s="1" t="str">
        <f>IF($T198="","",IFERROR(VLOOKUP($T198,'Kunci dari RIASEC'!$A$4:$B$123,2,FALSE),"Rekomendasi belum tersedia"))</f>
        <v/>
      </c>
      <c r="V198" t="str">
        <f>IF('entri hasil dari isian siswa'!B198="","",'entri hasil dari isian siswa'!HY198)</f>
        <v/>
      </c>
      <c r="W198" t="str">
        <f>IF($B198="","",SUM('entri hasil dari isian siswa'!E198:O198))</f>
        <v/>
      </c>
      <c r="X198" t="str">
        <f>IF($B198="","",SUM('entri hasil dari isian siswa'!P198:Z198))</f>
        <v/>
      </c>
      <c r="Y198" t="str">
        <f>IF($B198="","",SUM('entri hasil dari isian siswa'!AA198:AK198))</f>
        <v/>
      </c>
      <c r="Z198" t="str">
        <f>IF($B198="","",SUM('entri hasil dari isian siswa'!AL198:AV198))</f>
        <v/>
      </c>
      <c r="AA198" t="str">
        <f>IF($B198="","",SUM('entri hasil dari isian siswa'!AW198:BG198))</f>
        <v/>
      </c>
      <c r="AB198" t="str">
        <f>IF($B198="","",SUM('entri hasil dari isian siswa'!BH198:BR198))</f>
        <v/>
      </c>
      <c r="AC198" t="str">
        <f>IF($B198="","",SUM('entri hasil dari isian siswa'!BS198:CC198))</f>
        <v/>
      </c>
      <c r="AD198" t="str">
        <f>IF($B198="","",SUM('entri hasil dari isian siswa'!CD198:CN198))</f>
        <v/>
      </c>
      <c r="AE198" t="str">
        <f>IF($B198="","",SUM('entri hasil dari isian siswa'!CO198:CY198))</f>
        <v/>
      </c>
      <c r="AF198" t="str">
        <f>IF($B198="","",SUM('entri hasil dari isian siswa'!CZ198:DJ198))</f>
        <v/>
      </c>
      <c r="AG198" t="str">
        <f>IF($B198="","",SUM('entri hasil dari isian siswa'!DK198:DU198))</f>
        <v/>
      </c>
      <c r="AH198" t="str">
        <f>IF($B198="","",SUM('entri hasil dari isian siswa'!DV198:EF198))</f>
        <v/>
      </c>
      <c r="AI198" t="str">
        <f>IF($B198="","",SUM('entri hasil dari isian siswa'!EG198:ET198))</f>
        <v/>
      </c>
      <c r="AJ198" t="str">
        <f>IF($B198="","",SUM('entri hasil dari isian siswa'!EU198:FH198))</f>
        <v/>
      </c>
      <c r="AK198" t="str">
        <f>IF($B198="","",SUM('entri hasil dari isian siswa'!FI198:FV198))</f>
        <v/>
      </c>
      <c r="AL198" t="str">
        <f>IF($B198="","",SUM('entri hasil dari isian siswa'!FW198:GJ198))</f>
        <v/>
      </c>
      <c r="AM198" t="str">
        <f>IF($B198="","",SUM('entri hasil dari isian siswa'!GK198:GX198))</f>
        <v/>
      </c>
      <c r="AN198" t="str">
        <f>IF($B198="","",SUM('entri hasil dari isian siswa'!GY198:HL198))</f>
        <v/>
      </c>
      <c r="AO198" t="str">
        <f>IF($B198="","",'entri hasil dari isian siswa'!HM198+'entri hasil dari isian siswa'!HS198)</f>
        <v/>
      </c>
      <c r="AP198" t="str">
        <f>IF($B198="","",'entri hasil dari isian siswa'!HN198+'entri hasil dari isian siswa'!HT198)</f>
        <v/>
      </c>
      <c r="AQ198" t="str">
        <f>IF($B198="","",'entri hasil dari isian siswa'!HO198+'entri hasil dari isian siswa'!HU198)</f>
        <v/>
      </c>
      <c r="AR198" t="str">
        <f>IF($B198="","",'entri hasil dari isian siswa'!HP198+'entri hasil dari isian siswa'!HV198)</f>
        <v/>
      </c>
      <c r="AS198" t="str">
        <f>IF($B198="","",'entri hasil dari isian siswa'!HQ198+'entri hasil dari isian siswa'!HW198)</f>
        <v/>
      </c>
      <c r="AT198" t="str">
        <f>IF($B198="","",'entri hasil dari isian siswa'!HR198+'entri hasil dari isian siswa'!HX198)</f>
        <v/>
      </c>
      <c r="AU198" s="69" t="str">
        <f t="shared" si="83"/>
        <v/>
      </c>
      <c r="AV198" s="69" t="str">
        <f>IF($AU198="","",IFERROR(VLOOKUP($AU198,'Kunci dari RIASEC'!$J$4:$K$33,2,FALSE),""))</f>
        <v/>
      </c>
    </row>
    <row r="199" spans="1:48">
      <c r="A199">
        <f t="shared" si="72"/>
        <v>195</v>
      </c>
      <c r="B199" t="str">
        <f>IF('entri hasil dari isian siswa'!B199="","",'entri hasil dari isian siswa'!B199)</f>
        <v/>
      </c>
      <c r="C199" t="str">
        <f>IF('entri hasil dari isian siswa'!C199="","",'entri hasil dari isian siswa'!C199)</f>
        <v/>
      </c>
      <c r="D199" t="str">
        <f>IF('entri hasil dari isian siswa'!D199="","",'entri hasil dari isian siswa'!D199)</f>
        <v/>
      </c>
      <c r="E199" t="str">
        <f t="shared" si="73"/>
        <v/>
      </c>
      <c r="F199" t="str">
        <f t="shared" si="74"/>
        <v/>
      </c>
      <c r="G199" t="str">
        <f t="shared" si="75"/>
        <v/>
      </c>
      <c r="H199" t="str">
        <f t="shared" si="76"/>
        <v/>
      </c>
      <c r="I199" t="str">
        <f t="shared" si="77"/>
        <v/>
      </c>
      <c r="J199" t="str">
        <f t="shared" si="78"/>
        <v/>
      </c>
      <c r="K199" t="str">
        <f>IF($V199&lt;&gt;"OK","",RANK(E199,$E199:$J199,0)+COUNTIF($E199:E199,E199)-1)</f>
        <v/>
      </c>
      <c r="L199" t="str">
        <f>IF($V199&lt;&gt;"OK","",RANK(F199,$E199:$J199,0)+COUNTIF($E199:F199,F199)-1)</f>
        <v/>
      </c>
      <c r="M199" t="str">
        <f>IF($V199&lt;&gt;"OK","",RANK(G199,$E199:$J199,0)+COUNTIF($E199:G199,G199)-1)</f>
        <v/>
      </c>
      <c r="N199" t="str">
        <f>IF($V199&lt;&gt;"OK","",RANK(H199,$E199:$J199,0)+COUNTIF($E199:H199,H199)-1)</f>
        <v/>
      </c>
      <c r="O199" t="str">
        <f>IF($V199&lt;&gt;"OK","",RANK(I199,$E199:$J199,0)+COUNTIF($E199:I199,I199)-1)</f>
        <v/>
      </c>
      <c r="P199" t="str">
        <f>IF($V199&lt;&gt;"OK","",RANK(J199,$E199:$J199,0)+COUNTIF($E199:J199,J199)-1)</f>
        <v/>
      </c>
      <c r="Q199" t="str">
        <f t="shared" si="79"/>
        <v/>
      </c>
      <c r="R199" t="str">
        <f t="shared" si="80"/>
        <v/>
      </c>
      <c r="S199" t="str">
        <f t="shared" si="81"/>
        <v/>
      </c>
      <c r="T199" t="str">
        <f t="shared" si="82"/>
        <v/>
      </c>
      <c r="U199" s="1" t="str">
        <f>IF($T199="","",IFERROR(VLOOKUP($T199,'Kunci dari RIASEC'!$A$4:$B$123,2,FALSE),"Rekomendasi belum tersedia"))</f>
        <v/>
      </c>
      <c r="V199" t="str">
        <f>IF('entri hasil dari isian siswa'!B199="","",'entri hasil dari isian siswa'!HY199)</f>
        <v/>
      </c>
      <c r="W199" t="str">
        <f>IF($B199="","",SUM('entri hasil dari isian siswa'!E199:O199))</f>
        <v/>
      </c>
      <c r="X199" t="str">
        <f>IF($B199="","",SUM('entri hasil dari isian siswa'!P199:Z199))</f>
        <v/>
      </c>
      <c r="Y199" t="str">
        <f>IF($B199="","",SUM('entri hasil dari isian siswa'!AA199:AK199))</f>
        <v/>
      </c>
      <c r="Z199" t="str">
        <f>IF($B199="","",SUM('entri hasil dari isian siswa'!AL199:AV199))</f>
        <v/>
      </c>
      <c r="AA199" t="str">
        <f>IF($B199="","",SUM('entri hasil dari isian siswa'!AW199:BG199))</f>
        <v/>
      </c>
      <c r="AB199" t="str">
        <f>IF($B199="","",SUM('entri hasil dari isian siswa'!BH199:BR199))</f>
        <v/>
      </c>
      <c r="AC199" t="str">
        <f>IF($B199="","",SUM('entri hasil dari isian siswa'!BS199:CC199))</f>
        <v/>
      </c>
      <c r="AD199" t="str">
        <f>IF($B199="","",SUM('entri hasil dari isian siswa'!CD199:CN199))</f>
        <v/>
      </c>
      <c r="AE199" t="str">
        <f>IF($B199="","",SUM('entri hasil dari isian siswa'!CO199:CY199))</f>
        <v/>
      </c>
      <c r="AF199" t="str">
        <f>IF($B199="","",SUM('entri hasil dari isian siswa'!CZ199:DJ199))</f>
        <v/>
      </c>
      <c r="AG199" t="str">
        <f>IF($B199="","",SUM('entri hasil dari isian siswa'!DK199:DU199))</f>
        <v/>
      </c>
      <c r="AH199" t="str">
        <f>IF($B199="","",SUM('entri hasil dari isian siswa'!DV199:EF199))</f>
        <v/>
      </c>
      <c r="AI199" t="str">
        <f>IF($B199="","",SUM('entri hasil dari isian siswa'!EG199:ET199))</f>
        <v/>
      </c>
      <c r="AJ199" t="str">
        <f>IF($B199="","",SUM('entri hasil dari isian siswa'!EU199:FH199))</f>
        <v/>
      </c>
      <c r="AK199" t="str">
        <f>IF($B199="","",SUM('entri hasil dari isian siswa'!FI199:FV199))</f>
        <v/>
      </c>
      <c r="AL199" t="str">
        <f>IF($B199="","",SUM('entri hasil dari isian siswa'!FW199:GJ199))</f>
        <v/>
      </c>
      <c r="AM199" t="str">
        <f>IF($B199="","",SUM('entri hasil dari isian siswa'!GK199:GX199))</f>
        <v/>
      </c>
      <c r="AN199" t="str">
        <f>IF($B199="","",SUM('entri hasil dari isian siswa'!GY199:HL199))</f>
        <v/>
      </c>
      <c r="AO199" t="str">
        <f>IF($B199="","",'entri hasil dari isian siswa'!HM199+'entri hasil dari isian siswa'!HS199)</f>
        <v/>
      </c>
      <c r="AP199" t="str">
        <f>IF($B199="","",'entri hasil dari isian siswa'!HN199+'entri hasil dari isian siswa'!HT199)</f>
        <v/>
      </c>
      <c r="AQ199" t="str">
        <f>IF($B199="","",'entri hasil dari isian siswa'!HO199+'entri hasil dari isian siswa'!HU199)</f>
        <v/>
      </c>
      <c r="AR199" t="str">
        <f>IF($B199="","",'entri hasil dari isian siswa'!HP199+'entri hasil dari isian siswa'!HV199)</f>
        <v/>
      </c>
      <c r="AS199" t="str">
        <f>IF($B199="","",'entri hasil dari isian siswa'!HQ199+'entri hasil dari isian siswa'!HW199)</f>
        <v/>
      </c>
      <c r="AT199" t="str">
        <f>IF($B199="","",'entri hasil dari isian siswa'!HR199+'entri hasil dari isian siswa'!HX199)</f>
        <v/>
      </c>
      <c r="AU199" s="69" t="str">
        <f t="shared" si="83"/>
        <v/>
      </c>
      <c r="AV199" s="69" t="str">
        <f>IF($AU199="","",IFERROR(VLOOKUP($AU199,'Kunci dari RIASEC'!$J$4:$K$33,2,FALSE),""))</f>
        <v/>
      </c>
    </row>
    <row r="200" spans="1:48">
      <c r="A200">
        <f t="shared" si="72"/>
        <v>196</v>
      </c>
      <c r="B200" t="str">
        <f>IF('entri hasil dari isian siswa'!B200="","",'entri hasil dari isian siswa'!B200)</f>
        <v/>
      </c>
      <c r="C200" t="str">
        <f>IF('entri hasil dari isian siswa'!C200="","",'entri hasil dari isian siswa'!C200)</f>
        <v/>
      </c>
      <c r="D200" t="str">
        <f>IF('entri hasil dari isian siswa'!D200="","",'entri hasil dari isian siswa'!D200)</f>
        <v/>
      </c>
      <c r="E200" t="str">
        <f t="shared" si="73"/>
        <v/>
      </c>
      <c r="F200" t="str">
        <f t="shared" si="74"/>
        <v/>
      </c>
      <c r="G200" t="str">
        <f t="shared" si="75"/>
        <v/>
      </c>
      <c r="H200" t="str">
        <f t="shared" si="76"/>
        <v/>
      </c>
      <c r="I200" t="str">
        <f t="shared" si="77"/>
        <v/>
      </c>
      <c r="J200" t="str">
        <f t="shared" si="78"/>
        <v/>
      </c>
      <c r="K200" t="str">
        <f>IF($V200&lt;&gt;"OK","",RANK(E200,$E200:$J200,0)+COUNTIF($E200:E200,E200)-1)</f>
        <v/>
      </c>
      <c r="L200" t="str">
        <f>IF($V200&lt;&gt;"OK","",RANK(F200,$E200:$J200,0)+COUNTIF($E200:F200,F200)-1)</f>
        <v/>
      </c>
      <c r="M200" t="str">
        <f>IF($V200&lt;&gt;"OK","",RANK(G200,$E200:$J200,0)+COUNTIF($E200:G200,G200)-1)</f>
        <v/>
      </c>
      <c r="N200" t="str">
        <f>IF($V200&lt;&gt;"OK","",RANK(H200,$E200:$J200,0)+COUNTIF($E200:H200,H200)-1)</f>
        <v/>
      </c>
      <c r="O200" t="str">
        <f>IF($V200&lt;&gt;"OK","",RANK(I200,$E200:$J200,0)+COUNTIF($E200:I200,I200)-1)</f>
        <v/>
      </c>
      <c r="P200" t="str">
        <f>IF($V200&lt;&gt;"OK","",RANK(J200,$E200:$J200,0)+COUNTIF($E200:J200,J200)-1)</f>
        <v/>
      </c>
      <c r="Q200" t="str">
        <f t="shared" si="79"/>
        <v/>
      </c>
      <c r="R200" t="str">
        <f t="shared" si="80"/>
        <v/>
      </c>
      <c r="S200" t="str">
        <f t="shared" si="81"/>
        <v/>
      </c>
      <c r="T200" t="str">
        <f t="shared" si="82"/>
        <v/>
      </c>
      <c r="U200" s="1" t="str">
        <f>IF($T200="","",IFERROR(VLOOKUP($T200,'Kunci dari RIASEC'!$A$4:$B$123,2,FALSE),"Rekomendasi belum tersedia"))</f>
        <v/>
      </c>
      <c r="V200" t="str">
        <f>IF('entri hasil dari isian siswa'!B200="","",'entri hasil dari isian siswa'!HY200)</f>
        <v/>
      </c>
      <c r="W200" t="str">
        <f>IF($B200="","",SUM('entri hasil dari isian siswa'!E200:O200))</f>
        <v/>
      </c>
      <c r="X200" t="str">
        <f>IF($B200="","",SUM('entri hasil dari isian siswa'!P200:Z200))</f>
        <v/>
      </c>
      <c r="Y200" t="str">
        <f>IF($B200="","",SUM('entri hasil dari isian siswa'!AA200:AK200))</f>
        <v/>
      </c>
      <c r="Z200" t="str">
        <f>IF($B200="","",SUM('entri hasil dari isian siswa'!AL200:AV200))</f>
        <v/>
      </c>
      <c r="AA200" t="str">
        <f>IF($B200="","",SUM('entri hasil dari isian siswa'!AW200:BG200))</f>
        <v/>
      </c>
      <c r="AB200" t="str">
        <f>IF($B200="","",SUM('entri hasil dari isian siswa'!BH200:BR200))</f>
        <v/>
      </c>
      <c r="AC200" t="str">
        <f>IF($B200="","",SUM('entri hasil dari isian siswa'!BS200:CC200))</f>
        <v/>
      </c>
      <c r="AD200" t="str">
        <f>IF($B200="","",SUM('entri hasil dari isian siswa'!CD200:CN200))</f>
        <v/>
      </c>
      <c r="AE200" t="str">
        <f>IF($B200="","",SUM('entri hasil dari isian siswa'!CO200:CY200))</f>
        <v/>
      </c>
      <c r="AF200" t="str">
        <f>IF($B200="","",SUM('entri hasil dari isian siswa'!CZ200:DJ200))</f>
        <v/>
      </c>
      <c r="AG200" t="str">
        <f>IF($B200="","",SUM('entri hasil dari isian siswa'!DK200:DU200))</f>
        <v/>
      </c>
      <c r="AH200" t="str">
        <f>IF($B200="","",SUM('entri hasil dari isian siswa'!DV200:EF200))</f>
        <v/>
      </c>
      <c r="AI200" t="str">
        <f>IF($B200="","",SUM('entri hasil dari isian siswa'!EG200:ET200))</f>
        <v/>
      </c>
      <c r="AJ200" t="str">
        <f>IF($B200="","",SUM('entri hasil dari isian siswa'!EU200:FH200))</f>
        <v/>
      </c>
      <c r="AK200" t="str">
        <f>IF($B200="","",SUM('entri hasil dari isian siswa'!FI200:FV200))</f>
        <v/>
      </c>
      <c r="AL200" t="str">
        <f>IF($B200="","",SUM('entri hasil dari isian siswa'!FW200:GJ200))</f>
        <v/>
      </c>
      <c r="AM200" t="str">
        <f>IF($B200="","",SUM('entri hasil dari isian siswa'!GK200:GX200))</f>
        <v/>
      </c>
      <c r="AN200" t="str">
        <f>IF($B200="","",SUM('entri hasil dari isian siswa'!GY200:HL200))</f>
        <v/>
      </c>
      <c r="AO200" t="str">
        <f>IF($B200="","",'entri hasil dari isian siswa'!HM200+'entri hasil dari isian siswa'!HS200)</f>
        <v/>
      </c>
      <c r="AP200" t="str">
        <f>IF($B200="","",'entri hasil dari isian siswa'!HN200+'entri hasil dari isian siswa'!HT200)</f>
        <v/>
      </c>
      <c r="AQ200" t="str">
        <f>IF($B200="","",'entri hasil dari isian siswa'!HO200+'entri hasil dari isian siswa'!HU200)</f>
        <v/>
      </c>
      <c r="AR200" t="str">
        <f>IF($B200="","",'entri hasil dari isian siswa'!HP200+'entri hasil dari isian siswa'!HV200)</f>
        <v/>
      </c>
      <c r="AS200" t="str">
        <f>IF($B200="","",'entri hasil dari isian siswa'!HQ200+'entri hasil dari isian siswa'!HW200)</f>
        <v/>
      </c>
      <c r="AT200" t="str">
        <f>IF($B200="","",'entri hasil dari isian siswa'!HR200+'entri hasil dari isian siswa'!HX200)</f>
        <v/>
      </c>
      <c r="AU200" s="69" t="str">
        <f t="shared" si="83"/>
        <v/>
      </c>
      <c r="AV200" s="69" t="str">
        <f>IF($AU200="","",IFERROR(VLOOKUP($AU200,'Kunci dari RIASEC'!$J$4:$K$33,2,FALSE),""))</f>
        <v/>
      </c>
    </row>
    <row r="201" spans="1:48">
      <c r="A201">
        <f t="shared" si="72"/>
        <v>197</v>
      </c>
      <c r="B201" t="str">
        <f>IF('entri hasil dari isian siswa'!B201="","",'entri hasil dari isian siswa'!B201)</f>
        <v/>
      </c>
      <c r="C201" t="str">
        <f>IF('entri hasil dari isian siswa'!C201="","",'entri hasil dari isian siswa'!C201)</f>
        <v/>
      </c>
      <c r="D201" t="str">
        <f>IF('entri hasil dari isian siswa'!D201="","",'entri hasil dari isian siswa'!D201)</f>
        <v/>
      </c>
      <c r="E201" t="str">
        <f t="shared" si="73"/>
        <v/>
      </c>
      <c r="F201" t="str">
        <f t="shared" si="74"/>
        <v/>
      </c>
      <c r="G201" t="str">
        <f t="shared" si="75"/>
        <v/>
      </c>
      <c r="H201" t="str">
        <f t="shared" si="76"/>
        <v/>
      </c>
      <c r="I201" t="str">
        <f t="shared" si="77"/>
        <v/>
      </c>
      <c r="J201" t="str">
        <f t="shared" si="78"/>
        <v/>
      </c>
      <c r="K201" t="str">
        <f>IF($V201&lt;&gt;"OK","",RANK(E201,$E201:$J201,0)+COUNTIF($E201:E201,E201)-1)</f>
        <v/>
      </c>
      <c r="L201" t="str">
        <f>IF($V201&lt;&gt;"OK","",RANK(F201,$E201:$J201,0)+COUNTIF($E201:F201,F201)-1)</f>
        <v/>
      </c>
      <c r="M201" t="str">
        <f>IF($V201&lt;&gt;"OK","",RANK(G201,$E201:$J201,0)+COUNTIF($E201:G201,G201)-1)</f>
        <v/>
      </c>
      <c r="N201" t="str">
        <f>IF($V201&lt;&gt;"OK","",RANK(H201,$E201:$J201,0)+COUNTIF($E201:H201,H201)-1)</f>
        <v/>
      </c>
      <c r="O201" t="str">
        <f>IF($V201&lt;&gt;"OK","",RANK(I201,$E201:$J201,0)+COUNTIF($E201:I201,I201)-1)</f>
        <v/>
      </c>
      <c r="P201" t="str">
        <f>IF($V201&lt;&gt;"OK","",RANK(J201,$E201:$J201,0)+COUNTIF($E201:J201,J201)-1)</f>
        <v/>
      </c>
      <c r="Q201" t="str">
        <f t="shared" si="79"/>
        <v/>
      </c>
      <c r="R201" t="str">
        <f t="shared" si="80"/>
        <v/>
      </c>
      <c r="S201" t="str">
        <f t="shared" si="81"/>
        <v/>
      </c>
      <c r="T201" t="str">
        <f t="shared" si="82"/>
        <v/>
      </c>
      <c r="U201" s="1" t="str">
        <f>IF($T201="","",IFERROR(VLOOKUP($T201,'Kunci dari RIASEC'!$A$4:$B$123,2,FALSE),"Rekomendasi belum tersedia"))</f>
        <v/>
      </c>
      <c r="V201" t="str">
        <f>IF('entri hasil dari isian siswa'!B201="","",'entri hasil dari isian siswa'!HY201)</f>
        <v/>
      </c>
      <c r="W201" t="str">
        <f>IF($B201="","",SUM('entri hasil dari isian siswa'!E201:O201))</f>
        <v/>
      </c>
      <c r="X201" t="str">
        <f>IF($B201="","",SUM('entri hasil dari isian siswa'!P201:Z201))</f>
        <v/>
      </c>
      <c r="Y201" t="str">
        <f>IF($B201="","",SUM('entri hasil dari isian siswa'!AA201:AK201))</f>
        <v/>
      </c>
      <c r="Z201" t="str">
        <f>IF($B201="","",SUM('entri hasil dari isian siswa'!AL201:AV201))</f>
        <v/>
      </c>
      <c r="AA201" t="str">
        <f>IF($B201="","",SUM('entri hasil dari isian siswa'!AW201:BG201))</f>
        <v/>
      </c>
      <c r="AB201" t="str">
        <f>IF($B201="","",SUM('entri hasil dari isian siswa'!BH201:BR201))</f>
        <v/>
      </c>
      <c r="AC201" t="str">
        <f>IF($B201="","",SUM('entri hasil dari isian siswa'!BS201:CC201))</f>
        <v/>
      </c>
      <c r="AD201" t="str">
        <f>IF($B201="","",SUM('entri hasil dari isian siswa'!CD201:CN201))</f>
        <v/>
      </c>
      <c r="AE201" t="str">
        <f>IF($B201="","",SUM('entri hasil dari isian siswa'!CO201:CY201))</f>
        <v/>
      </c>
      <c r="AF201" t="str">
        <f>IF($B201="","",SUM('entri hasil dari isian siswa'!CZ201:DJ201))</f>
        <v/>
      </c>
      <c r="AG201" t="str">
        <f>IF($B201="","",SUM('entri hasil dari isian siswa'!DK201:DU201))</f>
        <v/>
      </c>
      <c r="AH201" t="str">
        <f>IF($B201="","",SUM('entri hasil dari isian siswa'!DV201:EF201))</f>
        <v/>
      </c>
      <c r="AI201" t="str">
        <f>IF($B201="","",SUM('entri hasil dari isian siswa'!EG201:ET201))</f>
        <v/>
      </c>
      <c r="AJ201" t="str">
        <f>IF($B201="","",SUM('entri hasil dari isian siswa'!EU201:FH201))</f>
        <v/>
      </c>
      <c r="AK201" t="str">
        <f>IF($B201="","",SUM('entri hasil dari isian siswa'!FI201:FV201))</f>
        <v/>
      </c>
      <c r="AL201" t="str">
        <f>IF($B201="","",SUM('entri hasil dari isian siswa'!FW201:GJ201))</f>
        <v/>
      </c>
      <c r="AM201" t="str">
        <f>IF($B201="","",SUM('entri hasil dari isian siswa'!GK201:GX201))</f>
        <v/>
      </c>
      <c r="AN201" t="str">
        <f>IF($B201="","",SUM('entri hasil dari isian siswa'!GY201:HL201))</f>
        <v/>
      </c>
      <c r="AO201" t="str">
        <f>IF($B201="","",'entri hasil dari isian siswa'!HM201+'entri hasil dari isian siswa'!HS201)</f>
        <v/>
      </c>
      <c r="AP201" t="str">
        <f>IF($B201="","",'entri hasil dari isian siswa'!HN201+'entri hasil dari isian siswa'!HT201)</f>
        <v/>
      </c>
      <c r="AQ201" t="str">
        <f>IF($B201="","",'entri hasil dari isian siswa'!HO201+'entri hasil dari isian siswa'!HU201)</f>
        <v/>
      </c>
      <c r="AR201" t="str">
        <f>IF($B201="","",'entri hasil dari isian siswa'!HP201+'entri hasil dari isian siswa'!HV201)</f>
        <v/>
      </c>
      <c r="AS201" t="str">
        <f>IF($B201="","",'entri hasil dari isian siswa'!HQ201+'entri hasil dari isian siswa'!HW201)</f>
        <v/>
      </c>
      <c r="AT201" t="str">
        <f>IF($B201="","",'entri hasil dari isian siswa'!HR201+'entri hasil dari isian siswa'!HX201)</f>
        <v/>
      </c>
      <c r="AU201" s="69" t="str">
        <f t="shared" si="83"/>
        <v/>
      </c>
      <c r="AV201" s="69" t="str">
        <f>IF($AU201="","",IFERROR(VLOOKUP($AU201,'Kunci dari RIASEC'!$J$4:$K$33,2,FALSE),""))</f>
        <v/>
      </c>
    </row>
    <row r="202" spans="1:48">
      <c r="A202">
        <f t="shared" si="72"/>
        <v>198</v>
      </c>
      <c r="B202" t="str">
        <f>IF('entri hasil dari isian siswa'!B202="","",'entri hasil dari isian siswa'!B202)</f>
        <v/>
      </c>
      <c r="C202" t="str">
        <f>IF('entri hasil dari isian siswa'!C202="","",'entri hasil dari isian siswa'!C202)</f>
        <v/>
      </c>
      <c r="D202" t="str">
        <f>IF('entri hasil dari isian siswa'!D202="","",'entri hasil dari isian siswa'!D202)</f>
        <v/>
      </c>
      <c r="E202" t="str">
        <f t="shared" si="73"/>
        <v/>
      </c>
      <c r="F202" t="str">
        <f t="shared" si="74"/>
        <v/>
      </c>
      <c r="G202" t="str">
        <f t="shared" si="75"/>
        <v/>
      </c>
      <c r="H202" t="str">
        <f t="shared" si="76"/>
        <v/>
      </c>
      <c r="I202" t="str">
        <f t="shared" si="77"/>
        <v/>
      </c>
      <c r="J202" t="str">
        <f t="shared" si="78"/>
        <v/>
      </c>
      <c r="K202" t="str">
        <f>IF($V202&lt;&gt;"OK","",RANK(E202,$E202:$J202,0)+COUNTIF($E202:E202,E202)-1)</f>
        <v/>
      </c>
      <c r="L202" t="str">
        <f>IF($V202&lt;&gt;"OK","",RANK(F202,$E202:$J202,0)+COUNTIF($E202:F202,F202)-1)</f>
        <v/>
      </c>
      <c r="M202" t="str">
        <f>IF($V202&lt;&gt;"OK","",RANK(G202,$E202:$J202,0)+COUNTIF($E202:G202,G202)-1)</f>
        <v/>
      </c>
      <c r="N202" t="str">
        <f>IF($V202&lt;&gt;"OK","",RANK(H202,$E202:$J202,0)+COUNTIF($E202:H202,H202)-1)</f>
        <v/>
      </c>
      <c r="O202" t="str">
        <f>IF($V202&lt;&gt;"OK","",RANK(I202,$E202:$J202,0)+COUNTIF($E202:I202,I202)-1)</f>
        <v/>
      </c>
      <c r="P202" t="str">
        <f>IF($V202&lt;&gt;"OK","",RANK(J202,$E202:$J202,0)+COUNTIF($E202:J202,J202)-1)</f>
        <v/>
      </c>
      <c r="Q202" t="str">
        <f t="shared" si="79"/>
        <v/>
      </c>
      <c r="R202" t="str">
        <f t="shared" si="80"/>
        <v/>
      </c>
      <c r="S202" t="str">
        <f t="shared" si="81"/>
        <v/>
      </c>
      <c r="T202" t="str">
        <f t="shared" si="82"/>
        <v/>
      </c>
      <c r="U202" s="1" t="str">
        <f>IF($T202="","",IFERROR(VLOOKUP($T202,'Kunci dari RIASEC'!$A$4:$B$123,2,FALSE),"Rekomendasi belum tersedia"))</f>
        <v/>
      </c>
      <c r="V202" t="str">
        <f>IF('entri hasil dari isian siswa'!B202="","",'entri hasil dari isian siswa'!HY202)</f>
        <v/>
      </c>
      <c r="W202" t="str">
        <f>IF($B202="","",SUM('entri hasil dari isian siswa'!E202:O202))</f>
        <v/>
      </c>
      <c r="X202" t="str">
        <f>IF($B202="","",SUM('entri hasil dari isian siswa'!P202:Z202))</f>
        <v/>
      </c>
      <c r="Y202" t="str">
        <f>IF($B202="","",SUM('entri hasil dari isian siswa'!AA202:AK202))</f>
        <v/>
      </c>
      <c r="Z202" t="str">
        <f>IF($B202="","",SUM('entri hasil dari isian siswa'!AL202:AV202))</f>
        <v/>
      </c>
      <c r="AA202" t="str">
        <f>IF($B202="","",SUM('entri hasil dari isian siswa'!AW202:BG202))</f>
        <v/>
      </c>
      <c r="AB202" t="str">
        <f>IF($B202="","",SUM('entri hasil dari isian siswa'!BH202:BR202))</f>
        <v/>
      </c>
      <c r="AC202" t="str">
        <f>IF($B202="","",SUM('entri hasil dari isian siswa'!BS202:CC202))</f>
        <v/>
      </c>
      <c r="AD202" t="str">
        <f>IF($B202="","",SUM('entri hasil dari isian siswa'!CD202:CN202))</f>
        <v/>
      </c>
      <c r="AE202" t="str">
        <f>IF($B202="","",SUM('entri hasil dari isian siswa'!CO202:CY202))</f>
        <v/>
      </c>
      <c r="AF202" t="str">
        <f>IF($B202="","",SUM('entri hasil dari isian siswa'!CZ202:DJ202))</f>
        <v/>
      </c>
      <c r="AG202" t="str">
        <f>IF($B202="","",SUM('entri hasil dari isian siswa'!DK202:DU202))</f>
        <v/>
      </c>
      <c r="AH202" t="str">
        <f>IF($B202="","",SUM('entri hasil dari isian siswa'!DV202:EF202))</f>
        <v/>
      </c>
      <c r="AI202" t="str">
        <f>IF($B202="","",SUM('entri hasil dari isian siswa'!EG202:ET202))</f>
        <v/>
      </c>
      <c r="AJ202" t="str">
        <f>IF($B202="","",SUM('entri hasil dari isian siswa'!EU202:FH202))</f>
        <v/>
      </c>
      <c r="AK202" t="str">
        <f>IF($B202="","",SUM('entri hasil dari isian siswa'!FI202:FV202))</f>
        <v/>
      </c>
      <c r="AL202" t="str">
        <f>IF($B202="","",SUM('entri hasil dari isian siswa'!FW202:GJ202))</f>
        <v/>
      </c>
      <c r="AM202" t="str">
        <f>IF($B202="","",SUM('entri hasil dari isian siswa'!GK202:GX202))</f>
        <v/>
      </c>
      <c r="AN202" t="str">
        <f>IF($B202="","",SUM('entri hasil dari isian siswa'!GY202:HL202))</f>
        <v/>
      </c>
      <c r="AO202" t="str">
        <f>IF($B202="","",'entri hasil dari isian siswa'!HM202+'entri hasil dari isian siswa'!HS202)</f>
        <v/>
      </c>
      <c r="AP202" t="str">
        <f>IF($B202="","",'entri hasil dari isian siswa'!HN202+'entri hasil dari isian siswa'!HT202)</f>
        <v/>
      </c>
      <c r="AQ202" t="str">
        <f>IF($B202="","",'entri hasil dari isian siswa'!HO202+'entri hasil dari isian siswa'!HU202)</f>
        <v/>
      </c>
      <c r="AR202" t="str">
        <f>IF($B202="","",'entri hasil dari isian siswa'!HP202+'entri hasil dari isian siswa'!HV202)</f>
        <v/>
      </c>
      <c r="AS202" t="str">
        <f>IF($B202="","",'entri hasil dari isian siswa'!HQ202+'entri hasil dari isian siswa'!HW202)</f>
        <v/>
      </c>
      <c r="AT202" t="str">
        <f>IF($B202="","",'entri hasil dari isian siswa'!HR202+'entri hasil dari isian siswa'!HX202)</f>
        <v/>
      </c>
      <c r="AU202" s="69" t="str">
        <f t="shared" si="83"/>
        <v/>
      </c>
      <c r="AV202" s="69" t="str">
        <f>IF($AU202="","",IFERROR(VLOOKUP($AU202,'Kunci dari RIASEC'!$J$4:$K$33,2,FALSE),""))</f>
        <v/>
      </c>
    </row>
    <row r="203" spans="1:48">
      <c r="A203">
        <f t="shared" si="72"/>
        <v>199</v>
      </c>
      <c r="B203" t="str">
        <f>IF('entri hasil dari isian siswa'!B203="","",'entri hasil dari isian siswa'!B203)</f>
        <v/>
      </c>
      <c r="C203" t="str">
        <f>IF('entri hasil dari isian siswa'!C203="","",'entri hasil dari isian siswa'!C203)</f>
        <v/>
      </c>
      <c r="D203" t="str">
        <f>IF('entri hasil dari isian siswa'!D203="","",'entri hasil dari isian siswa'!D203)</f>
        <v/>
      </c>
      <c r="E203" t="str">
        <f t="shared" si="73"/>
        <v/>
      </c>
      <c r="F203" t="str">
        <f t="shared" si="74"/>
        <v/>
      </c>
      <c r="G203" t="str">
        <f t="shared" si="75"/>
        <v/>
      </c>
      <c r="H203" t="str">
        <f t="shared" si="76"/>
        <v/>
      </c>
      <c r="I203" t="str">
        <f t="shared" si="77"/>
        <v/>
      </c>
      <c r="J203" t="str">
        <f t="shared" si="78"/>
        <v/>
      </c>
      <c r="K203" t="str">
        <f>IF($V203&lt;&gt;"OK","",RANK(E203,$E203:$J203,0)+COUNTIF($E203:E203,E203)-1)</f>
        <v/>
      </c>
      <c r="L203" t="str">
        <f>IF($V203&lt;&gt;"OK","",RANK(F203,$E203:$J203,0)+COUNTIF($E203:F203,F203)-1)</f>
        <v/>
      </c>
      <c r="M203" t="str">
        <f>IF($V203&lt;&gt;"OK","",RANK(G203,$E203:$J203,0)+COUNTIF($E203:G203,G203)-1)</f>
        <v/>
      </c>
      <c r="N203" t="str">
        <f>IF($V203&lt;&gt;"OK","",RANK(H203,$E203:$J203,0)+COUNTIF($E203:H203,H203)-1)</f>
        <v/>
      </c>
      <c r="O203" t="str">
        <f>IF($V203&lt;&gt;"OK","",RANK(I203,$E203:$J203,0)+COUNTIF($E203:I203,I203)-1)</f>
        <v/>
      </c>
      <c r="P203" t="str">
        <f>IF($V203&lt;&gt;"OK","",RANK(J203,$E203:$J203,0)+COUNTIF($E203:J203,J203)-1)</f>
        <v/>
      </c>
      <c r="Q203" t="str">
        <f t="shared" si="79"/>
        <v/>
      </c>
      <c r="R203" t="str">
        <f t="shared" si="80"/>
        <v/>
      </c>
      <c r="S203" t="str">
        <f t="shared" si="81"/>
        <v/>
      </c>
      <c r="T203" t="str">
        <f t="shared" si="82"/>
        <v/>
      </c>
      <c r="U203" s="1" t="str">
        <f>IF($T203="","",IFERROR(VLOOKUP($T203,'Kunci dari RIASEC'!$A$4:$B$123,2,FALSE),"Rekomendasi belum tersedia"))</f>
        <v/>
      </c>
      <c r="V203" t="str">
        <f>IF('entri hasil dari isian siswa'!B203="","",'entri hasil dari isian siswa'!HY203)</f>
        <v/>
      </c>
      <c r="W203" t="str">
        <f>IF($B203="","",SUM('entri hasil dari isian siswa'!E203:O203))</f>
        <v/>
      </c>
      <c r="X203" t="str">
        <f>IF($B203="","",SUM('entri hasil dari isian siswa'!P203:Z203))</f>
        <v/>
      </c>
      <c r="Y203" t="str">
        <f>IF($B203="","",SUM('entri hasil dari isian siswa'!AA203:AK203))</f>
        <v/>
      </c>
      <c r="Z203" t="str">
        <f>IF($B203="","",SUM('entri hasil dari isian siswa'!AL203:AV203))</f>
        <v/>
      </c>
      <c r="AA203" t="str">
        <f>IF($B203="","",SUM('entri hasil dari isian siswa'!AW203:BG203))</f>
        <v/>
      </c>
      <c r="AB203" t="str">
        <f>IF($B203="","",SUM('entri hasil dari isian siswa'!BH203:BR203))</f>
        <v/>
      </c>
      <c r="AC203" t="str">
        <f>IF($B203="","",SUM('entri hasil dari isian siswa'!BS203:CC203))</f>
        <v/>
      </c>
      <c r="AD203" t="str">
        <f>IF($B203="","",SUM('entri hasil dari isian siswa'!CD203:CN203))</f>
        <v/>
      </c>
      <c r="AE203" t="str">
        <f>IF($B203="","",SUM('entri hasil dari isian siswa'!CO203:CY203))</f>
        <v/>
      </c>
      <c r="AF203" t="str">
        <f>IF($B203="","",SUM('entri hasil dari isian siswa'!CZ203:DJ203))</f>
        <v/>
      </c>
      <c r="AG203" t="str">
        <f>IF($B203="","",SUM('entri hasil dari isian siswa'!DK203:DU203))</f>
        <v/>
      </c>
      <c r="AH203" t="str">
        <f>IF($B203="","",SUM('entri hasil dari isian siswa'!DV203:EF203))</f>
        <v/>
      </c>
      <c r="AI203" t="str">
        <f>IF($B203="","",SUM('entri hasil dari isian siswa'!EG203:ET203))</f>
        <v/>
      </c>
      <c r="AJ203" t="str">
        <f>IF($B203="","",SUM('entri hasil dari isian siswa'!EU203:FH203))</f>
        <v/>
      </c>
      <c r="AK203" t="str">
        <f>IF($B203="","",SUM('entri hasil dari isian siswa'!FI203:FV203))</f>
        <v/>
      </c>
      <c r="AL203" t="str">
        <f>IF($B203="","",SUM('entri hasil dari isian siswa'!FW203:GJ203))</f>
        <v/>
      </c>
      <c r="AM203" t="str">
        <f>IF($B203="","",SUM('entri hasil dari isian siswa'!GK203:GX203))</f>
        <v/>
      </c>
      <c r="AN203" t="str">
        <f>IF($B203="","",SUM('entri hasil dari isian siswa'!GY203:HL203))</f>
        <v/>
      </c>
      <c r="AO203" t="str">
        <f>IF($B203="","",'entri hasil dari isian siswa'!HM203+'entri hasil dari isian siswa'!HS203)</f>
        <v/>
      </c>
      <c r="AP203" t="str">
        <f>IF($B203="","",'entri hasil dari isian siswa'!HN203+'entri hasil dari isian siswa'!HT203)</f>
        <v/>
      </c>
      <c r="AQ203" t="str">
        <f>IF($B203="","",'entri hasil dari isian siswa'!HO203+'entri hasil dari isian siswa'!HU203)</f>
        <v/>
      </c>
      <c r="AR203" t="str">
        <f>IF($B203="","",'entri hasil dari isian siswa'!HP203+'entri hasil dari isian siswa'!HV203)</f>
        <v/>
      </c>
      <c r="AS203" t="str">
        <f>IF($B203="","",'entri hasil dari isian siswa'!HQ203+'entri hasil dari isian siswa'!HW203)</f>
        <v/>
      </c>
      <c r="AT203" t="str">
        <f>IF($B203="","",'entri hasil dari isian siswa'!HR203+'entri hasil dari isian siswa'!HX203)</f>
        <v/>
      </c>
      <c r="AU203" s="69" t="str">
        <f t="shared" si="83"/>
        <v/>
      </c>
      <c r="AV203" s="69" t="str">
        <f>IF($AU203="","",IFERROR(VLOOKUP($AU203,'Kunci dari RIASEC'!$J$4:$K$33,2,FALSE),""))</f>
        <v/>
      </c>
    </row>
    <row r="204" spans="1:48">
      <c r="A204">
        <f t="shared" si="72"/>
        <v>200</v>
      </c>
      <c r="B204" t="str">
        <f>IF('entri hasil dari isian siswa'!B204="","",'entri hasil dari isian siswa'!B204)</f>
        <v/>
      </c>
      <c r="C204" t="str">
        <f>IF('entri hasil dari isian siswa'!C204="","",'entri hasil dari isian siswa'!C204)</f>
        <v/>
      </c>
      <c r="D204" t="str">
        <f>IF('entri hasil dari isian siswa'!D204="","",'entri hasil dari isian siswa'!D204)</f>
        <v/>
      </c>
      <c r="E204" t="str">
        <f t="shared" si="73"/>
        <v/>
      </c>
      <c r="F204" t="str">
        <f t="shared" si="74"/>
        <v/>
      </c>
      <c r="G204" t="str">
        <f t="shared" si="75"/>
        <v/>
      </c>
      <c r="H204" t="str">
        <f t="shared" si="76"/>
        <v/>
      </c>
      <c r="I204" t="str">
        <f t="shared" si="77"/>
        <v/>
      </c>
      <c r="J204" t="str">
        <f t="shared" si="78"/>
        <v/>
      </c>
      <c r="K204" t="str">
        <f>IF($V204&lt;&gt;"OK","",RANK(E204,$E204:$J204,0)+COUNTIF($E204:E204,E204)-1)</f>
        <v/>
      </c>
      <c r="L204" t="str">
        <f>IF($V204&lt;&gt;"OK","",RANK(F204,$E204:$J204,0)+COUNTIF($E204:F204,F204)-1)</f>
        <v/>
      </c>
      <c r="M204" t="str">
        <f>IF($V204&lt;&gt;"OK","",RANK(G204,$E204:$J204,0)+COUNTIF($E204:G204,G204)-1)</f>
        <v/>
      </c>
      <c r="N204" t="str">
        <f>IF($V204&lt;&gt;"OK","",RANK(H204,$E204:$J204,0)+COUNTIF($E204:H204,H204)-1)</f>
        <v/>
      </c>
      <c r="O204" t="str">
        <f>IF($V204&lt;&gt;"OK","",RANK(I204,$E204:$J204,0)+COUNTIF($E204:I204,I204)-1)</f>
        <v/>
      </c>
      <c r="P204" t="str">
        <f>IF($V204&lt;&gt;"OK","",RANK(J204,$E204:$J204,0)+COUNTIF($E204:J204,J204)-1)</f>
        <v/>
      </c>
      <c r="Q204" t="str">
        <f t="shared" si="79"/>
        <v/>
      </c>
      <c r="R204" t="str">
        <f t="shared" si="80"/>
        <v/>
      </c>
      <c r="S204" t="str">
        <f t="shared" si="81"/>
        <v/>
      </c>
      <c r="T204" t="str">
        <f t="shared" si="82"/>
        <v/>
      </c>
      <c r="U204" s="1" t="str">
        <f>IF($T204="","",IFERROR(VLOOKUP($T204,'Kunci dari RIASEC'!$A$4:$B$123,2,FALSE),"Rekomendasi belum tersedia"))</f>
        <v/>
      </c>
      <c r="V204" t="str">
        <f>IF('entri hasil dari isian siswa'!B204="","",'entri hasil dari isian siswa'!HY204)</f>
        <v/>
      </c>
      <c r="W204" t="str">
        <f>IF($B204="","",SUM('entri hasil dari isian siswa'!E204:O204))</f>
        <v/>
      </c>
      <c r="X204" t="str">
        <f>IF($B204="","",SUM('entri hasil dari isian siswa'!P204:Z204))</f>
        <v/>
      </c>
      <c r="Y204" t="str">
        <f>IF($B204="","",SUM('entri hasil dari isian siswa'!AA204:AK204))</f>
        <v/>
      </c>
      <c r="Z204" t="str">
        <f>IF($B204="","",SUM('entri hasil dari isian siswa'!AL204:AV204))</f>
        <v/>
      </c>
      <c r="AA204" t="str">
        <f>IF($B204="","",SUM('entri hasil dari isian siswa'!AW204:BG204))</f>
        <v/>
      </c>
      <c r="AB204" t="str">
        <f>IF($B204="","",SUM('entri hasil dari isian siswa'!BH204:BR204))</f>
        <v/>
      </c>
      <c r="AC204" t="str">
        <f>IF($B204="","",SUM('entri hasil dari isian siswa'!BS204:CC204))</f>
        <v/>
      </c>
      <c r="AD204" t="str">
        <f>IF($B204="","",SUM('entri hasil dari isian siswa'!CD204:CN204))</f>
        <v/>
      </c>
      <c r="AE204" t="str">
        <f>IF($B204="","",SUM('entri hasil dari isian siswa'!CO204:CY204))</f>
        <v/>
      </c>
      <c r="AF204" t="str">
        <f>IF($B204="","",SUM('entri hasil dari isian siswa'!CZ204:DJ204))</f>
        <v/>
      </c>
      <c r="AG204" t="str">
        <f>IF($B204="","",SUM('entri hasil dari isian siswa'!DK204:DU204))</f>
        <v/>
      </c>
      <c r="AH204" t="str">
        <f>IF($B204="","",SUM('entri hasil dari isian siswa'!DV204:EF204))</f>
        <v/>
      </c>
      <c r="AI204" t="str">
        <f>IF($B204="","",SUM('entri hasil dari isian siswa'!EG204:ET204))</f>
        <v/>
      </c>
      <c r="AJ204" t="str">
        <f>IF($B204="","",SUM('entri hasil dari isian siswa'!EU204:FH204))</f>
        <v/>
      </c>
      <c r="AK204" t="str">
        <f>IF($B204="","",SUM('entri hasil dari isian siswa'!FI204:FV204))</f>
        <v/>
      </c>
      <c r="AL204" t="str">
        <f>IF($B204="","",SUM('entri hasil dari isian siswa'!FW204:GJ204))</f>
        <v/>
      </c>
      <c r="AM204" t="str">
        <f>IF($B204="","",SUM('entri hasil dari isian siswa'!GK204:GX204))</f>
        <v/>
      </c>
      <c r="AN204" t="str">
        <f>IF($B204="","",SUM('entri hasil dari isian siswa'!GY204:HL204))</f>
        <v/>
      </c>
      <c r="AO204" t="str">
        <f>IF($B204="","",'entri hasil dari isian siswa'!HM204+'entri hasil dari isian siswa'!HS204)</f>
        <v/>
      </c>
      <c r="AP204" t="str">
        <f>IF($B204="","",'entri hasil dari isian siswa'!HN204+'entri hasil dari isian siswa'!HT204)</f>
        <v/>
      </c>
      <c r="AQ204" t="str">
        <f>IF($B204="","",'entri hasil dari isian siswa'!HO204+'entri hasil dari isian siswa'!HU204)</f>
        <v/>
      </c>
      <c r="AR204" t="str">
        <f>IF($B204="","",'entri hasil dari isian siswa'!HP204+'entri hasil dari isian siswa'!HV204)</f>
        <v/>
      </c>
      <c r="AS204" t="str">
        <f>IF($B204="","",'entri hasil dari isian siswa'!HQ204+'entri hasil dari isian siswa'!HW204)</f>
        <v/>
      </c>
      <c r="AT204" t="str">
        <f>IF($B204="","",'entri hasil dari isian siswa'!HR204+'entri hasil dari isian siswa'!HX204)</f>
        <v/>
      </c>
      <c r="AU204" s="69" t="str">
        <f t="shared" si="83"/>
        <v/>
      </c>
      <c r="AV204" s="69" t="str">
        <f>IF($AU204="","",IFERROR(VLOOKUP($AU204,'Kunci dari RIASEC'!$J$4:$K$33,2,FALSE),""))</f>
        <v/>
      </c>
    </row>
  </sheetData>
  <mergeCells count="2">
    <mergeCell ref="A1:AV1"/>
    <mergeCell ref="A2:AV2"/>
  </mergeCells>
  <conditionalFormatting sqref="T5:T204">
    <cfRule type="expression" dxfId="8" priority="1">
      <formula>AND($T5&lt;&gt;"",LEN($T5)&lt;&gt;3)</formula>
    </cfRule>
  </conditionalFormatting>
  <conditionalFormatting sqref="V5:V204">
    <cfRule type="expression" dxfId="7" priority="2">
      <formula>V5="OK"</formula>
    </cfRule>
    <cfRule type="expression" dxfId="6" priority="3">
      <formula>AND(V5&lt;&gt;"",V5&lt;&gt;"OK")</formula>
    </cfRule>
  </conditionalFormatting>
  <conditionalFormatting sqref="AV5:AV204">
    <cfRule type="expression" dxfId="5" priority="4">
      <formula>AV5="Tinggi"</formula>
    </cfRule>
    <cfRule type="expression" dxfId="4" priority="5">
      <formula>AV5="Sedang"</formula>
    </cfRule>
    <cfRule type="expression" dxfId="3" priority="6">
      <formula>AV5="Rendah"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3"/>
  <sheetViews>
    <sheetView topLeftCell="E1" workbookViewId="0">
      <selection activeCell="G4" sqref="G4"/>
    </sheetView>
  </sheetViews>
  <sheetFormatPr defaultRowHeight="14"/>
  <cols>
    <col min="1" max="1" width="12" customWidth="1"/>
    <col min="2" max="2" width="74" customWidth="1"/>
    <col min="3" max="3" width="33" customWidth="1"/>
    <col min="4" max="4" width="38" customWidth="1"/>
    <col min="5" max="5" width="10" customWidth="1"/>
    <col min="6" max="6" width="18" customWidth="1"/>
    <col min="7" max="8" width="54" customWidth="1"/>
    <col min="10" max="10" width="18" customWidth="1"/>
    <col min="11" max="11" width="28" customWidth="1"/>
  </cols>
  <sheetData>
    <row r="1" spans="1:11" ht="17.399999999999999" customHeight="1">
      <c r="A1" s="148" t="s">
        <v>424</v>
      </c>
      <c r="B1" s="148"/>
      <c r="C1" s="148"/>
      <c r="D1" s="148"/>
      <c r="E1" s="148"/>
      <c r="F1" s="148"/>
      <c r="G1" s="148"/>
      <c r="H1" s="148"/>
      <c r="J1" s="119" t="s">
        <v>425</v>
      </c>
      <c r="K1" s="119"/>
    </row>
    <row r="2" spans="1:11" ht="28" customHeight="1">
      <c r="A2" s="149" t="s">
        <v>426</v>
      </c>
      <c r="B2" s="149"/>
      <c r="C2" s="149"/>
      <c r="D2" s="149"/>
      <c r="E2" s="149" t="s">
        <v>427</v>
      </c>
      <c r="F2" s="149"/>
      <c r="G2" s="149"/>
      <c r="H2" s="149"/>
      <c r="J2" s="87" t="s">
        <v>428</v>
      </c>
      <c r="K2" s="87" t="s">
        <v>429</v>
      </c>
    </row>
    <row r="3" spans="1:11">
      <c r="A3" s="84" t="s">
        <v>359</v>
      </c>
      <c r="B3" s="84" t="s">
        <v>430</v>
      </c>
      <c r="C3" s="84" t="s">
        <v>431</v>
      </c>
      <c r="D3" s="86" t="s">
        <v>432</v>
      </c>
      <c r="E3" s="84" t="s">
        <v>361</v>
      </c>
      <c r="F3" s="84" t="s">
        <v>357</v>
      </c>
      <c r="G3" s="84" t="s">
        <v>433</v>
      </c>
      <c r="H3" s="84" t="s">
        <v>434</v>
      </c>
      <c r="J3" s="88" t="s">
        <v>278</v>
      </c>
      <c r="K3" s="88" t="s">
        <v>279</v>
      </c>
    </row>
    <row r="4" spans="1:11" ht="70">
      <c r="A4" s="165" t="s">
        <v>435</v>
      </c>
      <c r="B4" s="166" t="s">
        <v>985</v>
      </c>
      <c r="C4" s="83" t="s">
        <v>436</v>
      </c>
      <c r="D4" s="83" t="s">
        <v>41</v>
      </c>
      <c r="E4" s="156" t="s">
        <v>271</v>
      </c>
      <c r="F4" s="156" t="s">
        <v>437</v>
      </c>
      <c r="G4" s="51" t="s">
        <v>970</v>
      </c>
      <c r="H4" s="51" t="s">
        <v>971</v>
      </c>
      <c r="J4" s="69" t="s">
        <v>438</v>
      </c>
      <c r="K4" s="69" t="s">
        <v>385</v>
      </c>
    </row>
    <row r="5" spans="1:11" ht="70">
      <c r="A5" s="165" t="s">
        <v>439</v>
      </c>
      <c r="B5" s="166" t="s">
        <v>986</v>
      </c>
      <c r="C5" s="83" t="s">
        <v>440</v>
      </c>
      <c r="D5" s="83" t="s">
        <v>41</v>
      </c>
      <c r="E5" s="156" t="s">
        <v>272</v>
      </c>
      <c r="F5" s="156" t="s">
        <v>441</v>
      </c>
      <c r="G5" s="51" t="s">
        <v>972</v>
      </c>
      <c r="H5" s="51" t="s">
        <v>973</v>
      </c>
      <c r="J5" s="69" t="s">
        <v>442</v>
      </c>
      <c r="K5" s="69" t="s">
        <v>384</v>
      </c>
    </row>
    <row r="6" spans="1:11" ht="70">
      <c r="A6" s="165" t="s">
        <v>443</v>
      </c>
      <c r="B6" s="166" t="s">
        <v>987</v>
      </c>
      <c r="C6" s="83" t="s">
        <v>444</v>
      </c>
      <c r="D6" s="83" t="s">
        <v>41</v>
      </c>
      <c r="E6" s="156" t="s">
        <v>273</v>
      </c>
      <c r="F6" s="156" t="s">
        <v>445</v>
      </c>
      <c r="G6" s="51" t="s">
        <v>974</v>
      </c>
      <c r="H6" s="51" t="s">
        <v>975</v>
      </c>
      <c r="J6" s="69" t="s">
        <v>446</v>
      </c>
      <c r="K6" s="69" t="s">
        <v>383</v>
      </c>
    </row>
    <row r="7" spans="1:11" ht="84">
      <c r="A7" s="165" t="s">
        <v>447</v>
      </c>
      <c r="B7" s="166" t="s">
        <v>988</v>
      </c>
      <c r="C7" s="83" t="s">
        <v>448</v>
      </c>
      <c r="D7" s="83" t="s">
        <v>41</v>
      </c>
      <c r="E7" s="156" t="s">
        <v>274</v>
      </c>
      <c r="F7" s="156" t="s">
        <v>449</v>
      </c>
      <c r="G7" s="51" t="s">
        <v>976</v>
      </c>
      <c r="H7" s="51" t="s">
        <v>977</v>
      </c>
      <c r="J7" s="69" t="s">
        <v>450</v>
      </c>
      <c r="K7" s="69" t="s">
        <v>384</v>
      </c>
    </row>
    <row r="8" spans="1:11" ht="70">
      <c r="A8" s="165" t="s">
        <v>451</v>
      </c>
      <c r="B8" s="166" t="s">
        <v>989</v>
      </c>
      <c r="C8" s="83" t="s">
        <v>452</v>
      </c>
      <c r="D8" s="83" t="s">
        <v>41</v>
      </c>
      <c r="E8" s="156" t="s">
        <v>275</v>
      </c>
      <c r="F8" s="156" t="s">
        <v>453</v>
      </c>
      <c r="G8" s="51" t="s">
        <v>978</v>
      </c>
      <c r="H8" s="51" t="s">
        <v>979</v>
      </c>
      <c r="J8" s="69" t="s">
        <v>454</v>
      </c>
      <c r="K8" s="69" t="s">
        <v>383</v>
      </c>
    </row>
    <row r="9" spans="1:11" ht="70">
      <c r="A9" s="165" t="s">
        <v>455</v>
      </c>
      <c r="B9" s="166" t="s">
        <v>990</v>
      </c>
      <c r="C9" s="83" t="s">
        <v>456</v>
      </c>
      <c r="D9" s="83" t="s">
        <v>41</v>
      </c>
      <c r="E9" s="156" t="s">
        <v>276</v>
      </c>
      <c r="F9" s="156" t="s">
        <v>457</v>
      </c>
      <c r="G9" s="51" t="s">
        <v>980</v>
      </c>
      <c r="H9" s="51" t="s">
        <v>981</v>
      </c>
      <c r="J9" s="69" t="s">
        <v>458</v>
      </c>
      <c r="K9" s="69" t="s">
        <v>385</v>
      </c>
    </row>
    <row r="10" spans="1:11" ht="70">
      <c r="A10" s="165" t="s">
        <v>459</v>
      </c>
      <c r="B10" s="166" t="s">
        <v>991</v>
      </c>
      <c r="C10" s="83" t="s">
        <v>460</v>
      </c>
      <c r="D10" s="83" t="s">
        <v>41</v>
      </c>
      <c r="E10" s="1"/>
      <c r="F10" s="1"/>
      <c r="G10" s="1"/>
      <c r="H10" s="1"/>
      <c r="J10" s="69" t="s">
        <v>461</v>
      </c>
      <c r="K10" s="69" t="s">
        <v>383</v>
      </c>
    </row>
    <row r="11" spans="1:11" ht="70">
      <c r="A11" s="165" t="s">
        <v>462</v>
      </c>
      <c r="B11" s="166" t="s">
        <v>992</v>
      </c>
      <c r="C11" s="83" t="s">
        <v>463</v>
      </c>
      <c r="D11" s="83" t="s">
        <v>41</v>
      </c>
      <c r="E11" s="1"/>
      <c r="F11" s="1"/>
      <c r="G11" s="1"/>
      <c r="H11" s="1"/>
      <c r="J11" s="69" t="s">
        <v>464</v>
      </c>
      <c r="K11" s="69" t="s">
        <v>384</v>
      </c>
    </row>
    <row r="12" spans="1:11" ht="70">
      <c r="A12" s="165" t="s">
        <v>465</v>
      </c>
      <c r="B12" s="166" t="s">
        <v>993</v>
      </c>
      <c r="C12" s="83" t="s">
        <v>466</v>
      </c>
      <c r="D12" s="83" t="s">
        <v>41</v>
      </c>
      <c r="E12" s="1"/>
      <c r="F12" s="1"/>
      <c r="G12" s="1"/>
      <c r="H12" s="1"/>
      <c r="J12" s="69" t="s">
        <v>467</v>
      </c>
      <c r="K12" s="69" t="s">
        <v>383</v>
      </c>
    </row>
    <row r="13" spans="1:11" ht="70">
      <c r="A13" s="165" t="s">
        <v>468</v>
      </c>
      <c r="B13" s="166" t="s">
        <v>994</v>
      </c>
      <c r="C13" s="83" t="s">
        <v>469</v>
      </c>
      <c r="D13" s="83" t="s">
        <v>41</v>
      </c>
      <c r="E13" s="1"/>
      <c r="F13" s="1"/>
      <c r="G13" s="1"/>
      <c r="H13" s="1"/>
      <c r="J13" s="69" t="s">
        <v>470</v>
      </c>
      <c r="K13" s="69" t="s">
        <v>384</v>
      </c>
    </row>
    <row r="14" spans="1:11" ht="70">
      <c r="A14" s="165" t="s">
        <v>471</v>
      </c>
      <c r="B14" s="166" t="s">
        <v>995</v>
      </c>
      <c r="C14" s="83" t="s">
        <v>472</v>
      </c>
      <c r="D14" s="83" t="s">
        <v>41</v>
      </c>
      <c r="E14" s="1"/>
      <c r="F14" s="1"/>
      <c r="G14" s="1"/>
      <c r="H14" s="1"/>
      <c r="J14" s="69" t="s">
        <v>473</v>
      </c>
      <c r="K14" s="69" t="s">
        <v>384</v>
      </c>
    </row>
    <row r="15" spans="1:11" ht="70">
      <c r="A15" s="165" t="s">
        <v>474</v>
      </c>
      <c r="B15" s="166" t="s">
        <v>996</v>
      </c>
      <c r="C15" s="83" t="s">
        <v>475</v>
      </c>
      <c r="D15" s="83" t="s">
        <v>41</v>
      </c>
      <c r="E15" s="1"/>
      <c r="F15" s="1"/>
      <c r="G15" s="1"/>
      <c r="H15" s="1"/>
      <c r="J15" s="69" t="s">
        <v>476</v>
      </c>
      <c r="K15" s="69" t="s">
        <v>383</v>
      </c>
    </row>
    <row r="16" spans="1:11" ht="56">
      <c r="A16" s="165" t="s">
        <v>477</v>
      </c>
      <c r="B16" s="166" t="s">
        <v>997</v>
      </c>
      <c r="C16" s="83" t="s">
        <v>478</v>
      </c>
      <c r="D16" s="83" t="s">
        <v>41</v>
      </c>
      <c r="E16" s="1"/>
      <c r="F16" s="1"/>
      <c r="G16" s="1"/>
      <c r="H16" s="1"/>
      <c r="J16" s="69" t="s">
        <v>479</v>
      </c>
      <c r="K16" s="69" t="s">
        <v>385</v>
      </c>
    </row>
    <row r="17" spans="1:11" ht="56">
      <c r="A17" s="165" t="s">
        <v>480</v>
      </c>
      <c r="B17" s="166" t="s">
        <v>998</v>
      </c>
      <c r="C17" s="83" t="s">
        <v>481</v>
      </c>
      <c r="D17" s="83" t="s">
        <v>41</v>
      </c>
      <c r="E17" s="1"/>
      <c r="F17" s="1"/>
      <c r="G17" s="1"/>
      <c r="H17" s="1"/>
      <c r="J17" s="69" t="s">
        <v>482</v>
      </c>
      <c r="K17" s="69" t="s">
        <v>384</v>
      </c>
    </row>
    <row r="18" spans="1:11" ht="70">
      <c r="A18" s="165" t="s">
        <v>483</v>
      </c>
      <c r="B18" s="166" t="s">
        <v>999</v>
      </c>
      <c r="C18" s="83" t="s">
        <v>484</v>
      </c>
      <c r="D18" s="83" t="s">
        <v>41</v>
      </c>
      <c r="E18" s="1"/>
      <c r="F18" s="1"/>
      <c r="G18" s="1"/>
      <c r="H18" s="1"/>
      <c r="J18" s="69" t="s">
        <v>485</v>
      </c>
      <c r="K18" s="69" t="s">
        <v>383</v>
      </c>
    </row>
    <row r="19" spans="1:11" ht="56">
      <c r="A19" s="165" t="s">
        <v>486</v>
      </c>
      <c r="B19" s="166" t="s">
        <v>1000</v>
      </c>
      <c r="C19" s="83" t="s">
        <v>487</v>
      </c>
      <c r="D19" s="83" t="s">
        <v>41</v>
      </c>
      <c r="E19" s="1"/>
      <c r="F19" s="1"/>
      <c r="G19" s="1"/>
      <c r="H19" s="1"/>
      <c r="J19" s="69" t="s">
        <v>488</v>
      </c>
      <c r="K19" s="69" t="s">
        <v>383</v>
      </c>
    </row>
    <row r="20" spans="1:11" ht="70">
      <c r="A20" s="165" t="s">
        <v>489</v>
      </c>
      <c r="B20" s="166" t="s">
        <v>1001</v>
      </c>
      <c r="C20" s="83" t="s">
        <v>490</v>
      </c>
      <c r="D20" s="83" t="s">
        <v>41</v>
      </c>
      <c r="E20" s="1"/>
      <c r="F20" s="1"/>
      <c r="G20" s="1"/>
      <c r="H20" s="1"/>
      <c r="J20" s="69" t="s">
        <v>491</v>
      </c>
      <c r="K20" s="69" t="s">
        <v>384</v>
      </c>
    </row>
    <row r="21" spans="1:11" ht="56">
      <c r="A21" s="165" t="s">
        <v>492</v>
      </c>
      <c r="B21" s="166" t="s">
        <v>1002</v>
      </c>
      <c r="C21" s="83" t="s">
        <v>493</v>
      </c>
      <c r="D21" s="83" t="s">
        <v>41</v>
      </c>
      <c r="E21" s="1"/>
      <c r="F21" s="1"/>
      <c r="G21" s="1"/>
      <c r="H21" s="1"/>
      <c r="J21" s="69" t="s">
        <v>494</v>
      </c>
      <c r="K21" s="69" t="s">
        <v>385</v>
      </c>
    </row>
    <row r="22" spans="1:11" ht="56">
      <c r="A22" s="165" t="s">
        <v>495</v>
      </c>
      <c r="B22" s="166" t="s">
        <v>1003</v>
      </c>
      <c r="C22" s="83" t="s">
        <v>496</v>
      </c>
      <c r="D22" s="83" t="s">
        <v>41</v>
      </c>
      <c r="E22" s="1"/>
      <c r="F22" s="1"/>
      <c r="G22" s="1"/>
      <c r="H22" s="1"/>
      <c r="J22" s="69" t="s">
        <v>497</v>
      </c>
      <c r="K22" s="69" t="s">
        <v>383</v>
      </c>
    </row>
    <row r="23" spans="1:11" ht="70">
      <c r="A23" s="165" t="s">
        <v>498</v>
      </c>
      <c r="B23" s="166" t="s">
        <v>1004</v>
      </c>
      <c r="C23" s="83" t="s">
        <v>499</v>
      </c>
      <c r="D23" s="83" t="s">
        <v>41</v>
      </c>
      <c r="E23" s="1"/>
      <c r="F23" s="1"/>
      <c r="G23" s="1"/>
      <c r="H23" s="1"/>
      <c r="J23" s="69" t="s">
        <v>500</v>
      </c>
      <c r="K23" s="69" t="s">
        <v>384</v>
      </c>
    </row>
    <row r="24" spans="1:11" ht="56">
      <c r="A24" s="165" t="s">
        <v>501</v>
      </c>
      <c r="B24" s="166" t="s">
        <v>1005</v>
      </c>
      <c r="C24" s="83" t="s">
        <v>502</v>
      </c>
      <c r="D24" s="83" t="s">
        <v>41</v>
      </c>
      <c r="E24" s="1"/>
      <c r="F24" s="1"/>
      <c r="G24" s="1"/>
      <c r="H24" s="1"/>
      <c r="J24" s="69" t="s">
        <v>503</v>
      </c>
      <c r="K24" s="69" t="s">
        <v>384</v>
      </c>
    </row>
    <row r="25" spans="1:11" ht="56">
      <c r="A25" s="165" t="s">
        <v>504</v>
      </c>
      <c r="B25" s="166" t="s">
        <v>1006</v>
      </c>
      <c r="C25" s="83" t="s">
        <v>505</v>
      </c>
      <c r="D25" s="83" t="s">
        <v>41</v>
      </c>
      <c r="E25" s="1"/>
      <c r="F25" s="1"/>
      <c r="G25" s="1"/>
      <c r="H25" s="1"/>
      <c r="J25" s="69" t="s">
        <v>506</v>
      </c>
      <c r="K25" s="69" t="s">
        <v>383</v>
      </c>
    </row>
    <row r="26" spans="1:11" ht="56">
      <c r="A26" s="165" t="s">
        <v>507</v>
      </c>
      <c r="B26" s="166" t="s">
        <v>1007</v>
      </c>
      <c r="C26" s="83" t="s">
        <v>508</v>
      </c>
      <c r="D26" s="83" t="s">
        <v>41</v>
      </c>
      <c r="E26" s="1"/>
      <c r="F26" s="1"/>
      <c r="G26" s="1"/>
      <c r="H26" s="1"/>
      <c r="J26" s="69" t="s">
        <v>509</v>
      </c>
      <c r="K26" s="69" t="s">
        <v>384</v>
      </c>
    </row>
    <row r="27" spans="1:11" ht="56">
      <c r="A27" s="165" t="s">
        <v>510</v>
      </c>
      <c r="B27" s="166" t="s">
        <v>1008</v>
      </c>
      <c r="C27" s="83" t="s">
        <v>511</v>
      </c>
      <c r="D27" s="83" t="s">
        <v>41</v>
      </c>
      <c r="E27" s="1"/>
      <c r="F27" s="1"/>
      <c r="G27" s="1"/>
      <c r="H27" s="1"/>
      <c r="J27" s="69" t="s">
        <v>512</v>
      </c>
      <c r="K27" s="69" t="s">
        <v>383</v>
      </c>
    </row>
    <row r="28" spans="1:11" ht="56">
      <c r="A28" s="165" t="s">
        <v>513</v>
      </c>
      <c r="B28" s="166" t="s">
        <v>1009</v>
      </c>
      <c r="C28" s="83" t="s">
        <v>514</v>
      </c>
      <c r="D28" s="83" t="s">
        <v>41</v>
      </c>
      <c r="E28" s="1"/>
      <c r="F28" s="1"/>
      <c r="G28" s="1"/>
      <c r="H28" s="1"/>
      <c r="J28" s="69" t="s">
        <v>515</v>
      </c>
      <c r="K28" s="69" t="s">
        <v>385</v>
      </c>
    </row>
    <row r="29" spans="1:11" ht="56">
      <c r="A29" s="165" t="s">
        <v>516</v>
      </c>
      <c r="B29" s="166" t="s">
        <v>1010</v>
      </c>
      <c r="C29" s="83" t="s">
        <v>517</v>
      </c>
      <c r="D29" s="83" t="s">
        <v>41</v>
      </c>
      <c r="E29" s="1"/>
      <c r="F29" s="1"/>
      <c r="G29" s="1"/>
      <c r="H29" s="1"/>
      <c r="J29" s="69" t="s">
        <v>518</v>
      </c>
      <c r="K29" s="69" t="s">
        <v>383</v>
      </c>
    </row>
    <row r="30" spans="1:11" ht="56">
      <c r="A30" s="165" t="s">
        <v>519</v>
      </c>
      <c r="B30" s="166" t="s">
        <v>1011</v>
      </c>
      <c r="C30" s="83" t="s">
        <v>520</v>
      </c>
      <c r="D30" s="83" t="s">
        <v>41</v>
      </c>
      <c r="E30" s="1"/>
      <c r="F30" s="1"/>
      <c r="G30" s="1"/>
      <c r="H30" s="1"/>
      <c r="J30" s="69" t="s">
        <v>521</v>
      </c>
      <c r="K30" s="69" t="s">
        <v>384</v>
      </c>
    </row>
    <row r="31" spans="1:11" ht="56">
      <c r="A31" s="165" t="s">
        <v>522</v>
      </c>
      <c r="B31" s="166" t="s">
        <v>1012</v>
      </c>
      <c r="C31" s="83" t="s">
        <v>523</v>
      </c>
      <c r="D31" s="83" t="s">
        <v>41</v>
      </c>
      <c r="E31" s="1"/>
      <c r="F31" s="1"/>
      <c r="G31" s="1"/>
      <c r="H31" s="1"/>
      <c r="J31" s="69" t="s">
        <v>524</v>
      </c>
      <c r="K31" s="69" t="s">
        <v>383</v>
      </c>
    </row>
    <row r="32" spans="1:11" ht="56">
      <c r="A32" s="165" t="s">
        <v>525</v>
      </c>
      <c r="B32" s="166" t="s">
        <v>1013</v>
      </c>
      <c r="C32" s="83" t="s">
        <v>526</v>
      </c>
      <c r="D32" s="83" t="s">
        <v>41</v>
      </c>
      <c r="E32" s="1"/>
      <c r="F32" s="1"/>
      <c r="G32" s="1"/>
      <c r="H32" s="1"/>
      <c r="J32" s="69" t="s">
        <v>527</v>
      </c>
      <c r="K32" s="69" t="s">
        <v>384</v>
      </c>
    </row>
    <row r="33" spans="1:11" ht="56">
      <c r="A33" s="165" t="s">
        <v>528</v>
      </c>
      <c r="B33" s="166" t="s">
        <v>1014</v>
      </c>
      <c r="C33" s="83" t="s">
        <v>529</v>
      </c>
      <c r="D33" s="83" t="s">
        <v>41</v>
      </c>
      <c r="E33" s="1"/>
      <c r="F33" s="1"/>
      <c r="G33" s="1"/>
      <c r="H33" s="1"/>
      <c r="J33" s="69" t="s">
        <v>530</v>
      </c>
      <c r="K33" s="69" t="s">
        <v>385</v>
      </c>
    </row>
    <row r="34" spans="1:11" ht="56">
      <c r="A34" s="165" t="s">
        <v>531</v>
      </c>
      <c r="B34" s="166" t="s">
        <v>1015</v>
      </c>
      <c r="C34" s="83" t="s">
        <v>532</v>
      </c>
      <c r="D34" s="83" t="s">
        <v>41</v>
      </c>
      <c r="E34" s="1"/>
      <c r="F34" s="1"/>
      <c r="G34" s="1"/>
      <c r="H34" s="1"/>
    </row>
    <row r="35" spans="1:11" ht="56">
      <c r="A35" s="165" t="s">
        <v>533</v>
      </c>
      <c r="B35" s="166" t="s">
        <v>1016</v>
      </c>
      <c r="C35" s="83" t="s">
        <v>534</v>
      </c>
      <c r="D35" s="83" t="s">
        <v>41</v>
      </c>
      <c r="E35" s="1"/>
      <c r="F35" s="1"/>
      <c r="G35" s="1"/>
      <c r="H35" s="1"/>
      <c r="J35" s="1" t="s">
        <v>535</v>
      </c>
      <c r="K35" s="1" t="s">
        <v>536</v>
      </c>
    </row>
    <row r="36" spans="1:11" ht="56">
      <c r="A36" s="165" t="s">
        <v>537</v>
      </c>
      <c r="B36" s="166" t="s">
        <v>1017</v>
      </c>
      <c r="C36" s="83" t="s">
        <v>538</v>
      </c>
      <c r="D36" s="83" t="s">
        <v>41</v>
      </c>
      <c r="E36" s="1"/>
      <c r="F36" s="1"/>
      <c r="G36" s="1"/>
      <c r="H36" s="1"/>
      <c r="J36" s="1" t="s">
        <v>539</v>
      </c>
      <c r="K36" s="1" t="s">
        <v>540</v>
      </c>
    </row>
    <row r="37" spans="1:11" ht="56">
      <c r="A37" s="165" t="s">
        <v>541</v>
      </c>
      <c r="B37" s="166" t="s">
        <v>1018</v>
      </c>
      <c r="C37" s="83" t="s">
        <v>542</v>
      </c>
      <c r="D37" s="83" t="s">
        <v>41</v>
      </c>
      <c r="E37" s="1"/>
      <c r="F37" s="1"/>
      <c r="G37" s="1"/>
      <c r="H37" s="1"/>
      <c r="J37" s="1" t="s">
        <v>543</v>
      </c>
      <c r="K37" s="1" t="s">
        <v>39</v>
      </c>
    </row>
    <row r="38" spans="1:11" ht="56">
      <c r="A38" s="165" t="s">
        <v>544</v>
      </c>
      <c r="B38" s="166" t="s">
        <v>1019</v>
      </c>
      <c r="C38" s="83" t="s">
        <v>545</v>
      </c>
      <c r="D38" s="83" t="s">
        <v>41</v>
      </c>
      <c r="E38" s="1"/>
      <c r="F38" s="1"/>
      <c r="G38" s="1"/>
      <c r="H38" s="1"/>
    </row>
    <row r="39" spans="1:11" ht="56">
      <c r="A39" s="165" t="s">
        <v>546</v>
      </c>
      <c r="B39" s="166" t="s">
        <v>1020</v>
      </c>
      <c r="C39" s="83" t="s">
        <v>547</v>
      </c>
      <c r="D39" s="83" t="s">
        <v>41</v>
      </c>
      <c r="E39" s="1"/>
      <c r="F39" s="1"/>
      <c r="G39" s="1"/>
      <c r="H39" s="1"/>
    </row>
    <row r="40" spans="1:11" ht="56">
      <c r="A40" s="165" t="s">
        <v>548</v>
      </c>
      <c r="B40" s="166" t="s">
        <v>1021</v>
      </c>
      <c r="C40" s="83" t="s">
        <v>549</v>
      </c>
      <c r="D40" s="83" t="s">
        <v>41</v>
      </c>
      <c r="E40" s="1"/>
      <c r="F40" s="1"/>
      <c r="G40" s="1"/>
      <c r="H40" s="1"/>
    </row>
    <row r="41" spans="1:11" ht="56">
      <c r="A41" s="165" t="s">
        <v>550</v>
      </c>
      <c r="B41" s="166" t="s">
        <v>1022</v>
      </c>
      <c r="C41" s="83" t="s">
        <v>551</v>
      </c>
      <c r="D41" s="83" t="s">
        <v>41</v>
      </c>
      <c r="E41" s="1"/>
      <c r="F41" s="1"/>
      <c r="G41" s="1"/>
      <c r="H41" s="1"/>
    </row>
    <row r="42" spans="1:11" ht="42">
      <c r="A42" s="165" t="s">
        <v>552</v>
      </c>
      <c r="B42" s="166" t="s">
        <v>1023</v>
      </c>
      <c r="C42" s="83" t="s">
        <v>553</v>
      </c>
      <c r="D42" s="83" t="s">
        <v>41</v>
      </c>
      <c r="E42" s="1"/>
      <c r="F42" s="1"/>
      <c r="G42" s="1"/>
      <c r="H42" s="1"/>
    </row>
    <row r="43" spans="1:11" ht="56">
      <c r="A43" s="165" t="s">
        <v>554</v>
      </c>
      <c r="B43" s="166" t="s">
        <v>1024</v>
      </c>
      <c r="C43" s="83" t="s">
        <v>555</v>
      </c>
      <c r="D43" s="83" t="s">
        <v>41</v>
      </c>
      <c r="E43" s="1"/>
      <c r="F43" s="1"/>
      <c r="G43" s="1"/>
      <c r="H43" s="1"/>
    </row>
    <row r="44" spans="1:11" ht="56">
      <c r="A44" s="165" t="s">
        <v>556</v>
      </c>
      <c r="B44" s="166" t="s">
        <v>1025</v>
      </c>
      <c r="C44" s="83" t="s">
        <v>557</v>
      </c>
      <c r="D44" s="83" t="s">
        <v>41</v>
      </c>
      <c r="E44" s="1"/>
      <c r="F44" s="1"/>
      <c r="G44" s="1"/>
      <c r="H44" s="1"/>
    </row>
    <row r="45" spans="1:11" ht="56">
      <c r="A45" s="165" t="s">
        <v>558</v>
      </c>
      <c r="B45" s="166" t="s">
        <v>1026</v>
      </c>
      <c r="C45" s="83" t="s">
        <v>559</v>
      </c>
      <c r="D45" s="83" t="s">
        <v>41</v>
      </c>
      <c r="E45" s="1"/>
      <c r="F45" s="1"/>
      <c r="G45" s="1"/>
      <c r="H45" s="1"/>
    </row>
    <row r="46" spans="1:11" ht="56">
      <c r="A46" s="165" t="s">
        <v>560</v>
      </c>
      <c r="B46" s="166" t="s">
        <v>1027</v>
      </c>
      <c r="C46" s="83" t="s">
        <v>561</v>
      </c>
      <c r="D46" s="83" t="s">
        <v>41</v>
      </c>
      <c r="E46" s="1"/>
      <c r="F46" s="1"/>
      <c r="G46" s="1"/>
      <c r="H46" s="1"/>
    </row>
    <row r="47" spans="1:11" ht="56">
      <c r="A47" s="165" t="s">
        <v>562</v>
      </c>
      <c r="B47" s="166" t="s">
        <v>1028</v>
      </c>
      <c r="C47" s="83" t="s">
        <v>563</v>
      </c>
      <c r="D47" s="83" t="s">
        <v>41</v>
      </c>
      <c r="E47" s="1"/>
      <c r="F47" s="1"/>
      <c r="G47" s="1"/>
      <c r="H47" s="1"/>
    </row>
    <row r="48" spans="1:11" ht="56">
      <c r="A48" s="165" t="s">
        <v>564</v>
      </c>
      <c r="B48" s="166" t="s">
        <v>1029</v>
      </c>
      <c r="C48" s="83" t="s">
        <v>565</v>
      </c>
      <c r="D48" s="83" t="s">
        <v>41</v>
      </c>
      <c r="E48" s="1"/>
      <c r="F48" s="1"/>
      <c r="G48" s="1"/>
      <c r="H48" s="1"/>
    </row>
    <row r="49" spans="1:8" ht="42">
      <c r="A49" s="165" t="s">
        <v>566</v>
      </c>
      <c r="B49" s="166" t="s">
        <v>1030</v>
      </c>
      <c r="C49" s="83" t="s">
        <v>567</v>
      </c>
      <c r="D49" s="83" t="s">
        <v>41</v>
      </c>
      <c r="E49" s="1"/>
      <c r="F49" s="1"/>
      <c r="G49" s="1"/>
      <c r="H49" s="1"/>
    </row>
    <row r="50" spans="1:8" ht="42">
      <c r="A50" s="165" t="s">
        <v>568</v>
      </c>
      <c r="B50" s="166" t="s">
        <v>1031</v>
      </c>
      <c r="C50" s="83" t="s">
        <v>569</v>
      </c>
      <c r="D50" s="83" t="s">
        <v>41</v>
      </c>
      <c r="E50" s="1"/>
      <c r="F50" s="1"/>
      <c r="G50" s="1"/>
      <c r="H50" s="1"/>
    </row>
    <row r="51" spans="1:8" ht="56">
      <c r="A51" s="165" t="s">
        <v>570</v>
      </c>
      <c r="B51" s="166" t="s">
        <v>1032</v>
      </c>
      <c r="C51" s="83" t="s">
        <v>571</v>
      </c>
      <c r="D51" s="83" t="s">
        <v>41</v>
      </c>
      <c r="E51" s="1"/>
      <c r="F51" s="1"/>
      <c r="G51" s="1"/>
      <c r="H51" s="1"/>
    </row>
    <row r="52" spans="1:8" ht="56">
      <c r="A52" s="165" t="s">
        <v>572</v>
      </c>
      <c r="B52" s="166" t="s">
        <v>1033</v>
      </c>
      <c r="C52" s="83" t="s">
        <v>573</v>
      </c>
      <c r="D52" s="83" t="s">
        <v>41</v>
      </c>
      <c r="E52" s="1"/>
      <c r="F52" s="1"/>
      <c r="G52" s="1"/>
      <c r="H52" s="1"/>
    </row>
    <row r="53" spans="1:8" ht="56">
      <c r="A53" s="165" t="s">
        <v>574</v>
      </c>
      <c r="B53" s="166" t="s">
        <v>1034</v>
      </c>
      <c r="C53" s="83" t="s">
        <v>575</v>
      </c>
      <c r="D53" s="83" t="s">
        <v>41</v>
      </c>
      <c r="E53" s="1"/>
      <c r="F53" s="1"/>
      <c r="G53" s="1"/>
      <c r="H53" s="1"/>
    </row>
    <row r="54" spans="1:8" ht="56">
      <c r="A54" s="165" t="s">
        <v>576</v>
      </c>
      <c r="B54" s="166" t="s">
        <v>1035</v>
      </c>
      <c r="C54" s="83" t="s">
        <v>577</v>
      </c>
      <c r="D54" s="83" t="s">
        <v>41</v>
      </c>
      <c r="E54" s="1"/>
      <c r="F54" s="1"/>
      <c r="G54" s="1"/>
      <c r="H54" s="1"/>
    </row>
    <row r="55" spans="1:8" ht="56">
      <c r="A55" s="165" t="s">
        <v>578</v>
      </c>
      <c r="B55" s="166" t="s">
        <v>1036</v>
      </c>
      <c r="C55" s="83" t="s">
        <v>579</v>
      </c>
      <c r="D55" s="83" t="s">
        <v>41</v>
      </c>
      <c r="E55" s="1"/>
      <c r="F55" s="1"/>
      <c r="G55" s="1"/>
      <c r="H55" s="1"/>
    </row>
    <row r="56" spans="1:8" ht="56">
      <c r="A56" s="165" t="s">
        <v>580</v>
      </c>
      <c r="B56" s="166" t="s">
        <v>1037</v>
      </c>
      <c r="C56" s="83" t="s">
        <v>581</v>
      </c>
      <c r="D56" s="83" t="s">
        <v>41</v>
      </c>
      <c r="E56" s="1"/>
      <c r="F56" s="1"/>
      <c r="G56" s="1"/>
      <c r="H56" s="1"/>
    </row>
    <row r="57" spans="1:8" ht="56">
      <c r="A57" s="165" t="s">
        <v>582</v>
      </c>
      <c r="B57" s="166" t="s">
        <v>1038</v>
      </c>
      <c r="C57" s="83" t="s">
        <v>583</v>
      </c>
      <c r="D57" s="83" t="s">
        <v>41</v>
      </c>
      <c r="E57" s="1"/>
      <c r="F57" s="1"/>
      <c r="G57" s="1"/>
      <c r="H57" s="1"/>
    </row>
    <row r="58" spans="1:8" ht="56">
      <c r="A58" s="165" t="s">
        <v>584</v>
      </c>
      <c r="B58" s="166" t="s">
        <v>1039</v>
      </c>
      <c r="C58" s="83" t="s">
        <v>585</v>
      </c>
      <c r="D58" s="83" t="s">
        <v>41</v>
      </c>
      <c r="E58" s="1"/>
      <c r="F58" s="1"/>
      <c r="G58" s="1"/>
      <c r="H58" s="1"/>
    </row>
    <row r="59" spans="1:8" ht="70">
      <c r="A59" s="165" t="s">
        <v>586</v>
      </c>
      <c r="B59" s="166" t="s">
        <v>1040</v>
      </c>
      <c r="C59" s="83" t="s">
        <v>587</v>
      </c>
      <c r="D59" s="83" t="s">
        <v>41</v>
      </c>
      <c r="E59" s="1"/>
      <c r="F59" s="1"/>
      <c r="G59" s="1"/>
      <c r="H59" s="1"/>
    </row>
    <row r="60" spans="1:8" ht="56">
      <c r="A60" s="165" t="s">
        <v>588</v>
      </c>
      <c r="B60" s="166" t="s">
        <v>1041</v>
      </c>
      <c r="C60" s="83" t="s">
        <v>589</v>
      </c>
      <c r="D60" s="83" t="s">
        <v>41</v>
      </c>
      <c r="E60" s="1"/>
      <c r="F60" s="1"/>
      <c r="G60" s="1"/>
      <c r="H60" s="1"/>
    </row>
    <row r="61" spans="1:8" ht="56">
      <c r="A61" s="165" t="s">
        <v>590</v>
      </c>
      <c r="B61" s="166" t="s">
        <v>1042</v>
      </c>
      <c r="C61" s="83" t="s">
        <v>591</v>
      </c>
      <c r="D61" s="83" t="s">
        <v>41</v>
      </c>
      <c r="E61" s="1"/>
      <c r="F61" s="1"/>
      <c r="G61" s="1"/>
      <c r="H61" s="1"/>
    </row>
    <row r="62" spans="1:8" ht="70">
      <c r="A62" s="165" t="s">
        <v>592</v>
      </c>
      <c r="B62" s="166" t="s">
        <v>1043</v>
      </c>
      <c r="C62" s="83" t="s">
        <v>593</v>
      </c>
      <c r="D62" s="83" t="s">
        <v>41</v>
      </c>
      <c r="E62" s="1"/>
      <c r="F62" s="1"/>
      <c r="G62" s="1"/>
      <c r="H62" s="1"/>
    </row>
    <row r="63" spans="1:8" ht="56">
      <c r="A63" s="165" t="s">
        <v>594</v>
      </c>
      <c r="B63" s="166" t="s">
        <v>1044</v>
      </c>
      <c r="C63" s="83" t="s">
        <v>595</v>
      </c>
      <c r="D63" s="83" t="s">
        <v>41</v>
      </c>
      <c r="E63" s="1"/>
      <c r="F63" s="1"/>
      <c r="G63" s="1"/>
      <c r="H63" s="1"/>
    </row>
    <row r="64" spans="1:8" ht="70">
      <c r="A64" s="165" t="s">
        <v>596</v>
      </c>
      <c r="B64" s="166" t="s">
        <v>1045</v>
      </c>
      <c r="C64" s="83" t="s">
        <v>597</v>
      </c>
      <c r="D64" s="83" t="s">
        <v>41</v>
      </c>
      <c r="E64" s="1"/>
      <c r="F64" s="1"/>
      <c r="G64" s="1"/>
      <c r="H64" s="1"/>
    </row>
    <row r="65" spans="1:8" ht="56">
      <c r="A65" s="165" t="s">
        <v>598</v>
      </c>
      <c r="B65" s="166" t="s">
        <v>1046</v>
      </c>
      <c r="C65" s="83" t="s">
        <v>599</v>
      </c>
      <c r="D65" s="83" t="s">
        <v>41</v>
      </c>
      <c r="E65" s="1"/>
      <c r="F65" s="1"/>
      <c r="G65" s="1"/>
      <c r="H65" s="1"/>
    </row>
    <row r="66" spans="1:8" ht="70">
      <c r="A66" s="165" t="s">
        <v>600</v>
      </c>
      <c r="B66" s="166" t="s">
        <v>1047</v>
      </c>
      <c r="C66" s="83" t="s">
        <v>601</v>
      </c>
      <c r="D66" s="83" t="s">
        <v>41</v>
      </c>
      <c r="E66" s="1"/>
      <c r="F66" s="1"/>
      <c r="G66" s="1"/>
      <c r="H66" s="1"/>
    </row>
    <row r="67" spans="1:8" ht="56">
      <c r="A67" s="165" t="s">
        <v>602</v>
      </c>
      <c r="B67" s="166" t="s">
        <v>1048</v>
      </c>
      <c r="C67" s="83" t="s">
        <v>603</v>
      </c>
      <c r="D67" s="83" t="s">
        <v>41</v>
      </c>
      <c r="E67" s="1"/>
      <c r="F67" s="1"/>
      <c r="G67" s="1"/>
      <c r="H67" s="1"/>
    </row>
    <row r="68" spans="1:8" ht="56">
      <c r="A68" s="165" t="s">
        <v>604</v>
      </c>
      <c r="B68" s="166" t="s">
        <v>1049</v>
      </c>
      <c r="C68" s="83" t="s">
        <v>605</v>
      </c>
      <c r="D68" s="83" t="s">
        <v>41</v>
      </c>
      <c r="E68" s="1"/>
      <c r="F68" s="1"/>
      <c r="G68" s="1"/>
      <c r="H68" s="1"/>
    </row>
    <row r="69" spans="1:8" ht="56">
      <c r="A69" s="165" t="s">
        <v>606</v>
      </c>
      <c r="B69" s="166" t="s">
        <v>1050</v>
      </c>
      <c r="C69" s="83" t="s">
        <v>607</v>
      </c>
      <c r="D69" s="83" t="s">
        <v>41</v>
      </c>
      <c r="E69" s="1"/>
      <c r="F69" s="1"/>
      <c r="G69" s="1"/>
      <c r="H69" s="1"/>
    </row>
    <row r="70" spans="1:8" ht="56">
      <c r="A70" s="165" t="s">
        <v>608</v>
      </c>
      <c r="B70" s="166" t="s">
        <v>1051</v>
      </c>
      <c r="C70" s="83" t="s">
        <v>609</v>
      </c>
      <c r="D70" s="83" t="s">
        <v>41</v>
      </c>
      <c r="E70" s="1"/>
      <c r="F70" s="1"/>
      <c r="G70" s="1"/>
      <c r="H70" s="1"/>
    </row>
    <row r="71" spans="1:8" ht="56">
      <c r="A71" s="165" t="s">
        <v>610</v>
      </c>
      <c r="B71" s="166" t="s">
        <v>1052</v>
      </c>
      <c r="C71" s="83" t="s">
        <v>611</v>
      </c>
      <c r="D71" s="83" t="s">
        <v>41</v>
      </c>
      <c r="E71" s="1"/>
      <c r="F71" s="1"/>
      <c r="G71" s="1"/>
      <c r="H71" s="1"/>
    </row>
    <row r="72" spans="1:8" ht="56">
      <c r="A72" s="165" t="s">
        <v>612</v>
      </c>
      <c r="B72" s="166" t="s">
        <v>1053</v>
      </c>
      <c r="C72" s="83" t="s">
        <v>613</v>
      </c>
      <c r="D72" s="83" t="s">
        <v>41</v>
      </c>
      <c r="E72" s="1"/>
      <c r="F72" s="1"/>
      <c r="G72" s="1"/>
      <c r="H72" s="1"/>
    </row>
    <row r="73" spans="1:8" ht="56">
      <c r="A73" s="165" t="s">
        <v>614</v>
      </c>
      <c r="B73" s="166" t="s">
        <v>1054</v>
      </c>
      <c r="C73" s="83" t="s">
        <v>615</v>
      </c>
      <c r="D73" s="83" t="s">
        <v>41</v>
      </c>
      <c r="E73" s="1"/>
      <c r="F73" s="1"/>
      <c r="G73" s="1"/>
      <c r="H73" s="1"/>
    </row>
    <row r="74" spans="1:8" ht="56">
      <c r="A74" s="165" t="s">
        <v>616</v>
      </c>
      <c r="B74" s="166" t="s">
        <v>1055</v>
      </c>
      <c r="C74" s="83" t="s">
        <v>617</v>
      </c>
      <c r="D74" s="83" t="s">
        <v>41</v>
      </c>
      <c r="E74" s="1"/>
      <c r="F74" s="1"/>
      <c r="G74" s="1"/>
      <c r="H74" s="1"/>
    </row>
    <row r="75" spans="1:8" ht="56">
      <c r="A75" s="165" t="s">
        <v>618</v>
      </c>
      <c r="B75" s="166" t="s">
        <v>1056</v>
      </c>
      <c r="C75" s="83" t="s">
        <v>619</v>
      </c>
      <c r="D75" s="83" t="s">
        <v>41</v>
      </c>
      <c r="E75" s="1"/>
      <c r="F75" s="1"/>
      <c r="G75" s="1"/>
      <c r="H75" s="1"/>
    </row>
    <row r="76" spans="1:8" ht="70">
      <c r="A76" s="165" t="s">
        <v>620</v>
      </c>
      <c r="B76" s="166" t="s">
        <v>1057</v>
      </c>
      <c r="C76" s="83" t="s">
        <v>621</v>
      </c>
      <c r="D76" s="83" t="s">
        <v>41</v>
      </c>
      <c r="E76" s="1"/>
      <c r="F76" s="1"/>
      <c r="G76" s="1"/>
      <c r="H76" s="1"/>
    </row>
    <row r="77" spans="1:8" ht="56">
      <c r="A77" s="165" t="s">
        <v>622</v>
      </c>
      <c r="B77" s="166" t="s">
        <v>1058</v>
      </c>
      <c r="C77" s="83" t="s">
        <v>623</v>
      </c>
      <c r="D77" s="83" t="s">
        <v>41</v>
      </c>
      <c r="E77" s="1"/>
      <c r="F77" s="1"/>
      <c r="G77" s="1"/>
      <c r="H77" s="1"/>
    </row>
    <row r="78" spans="1:8" ht="56">
      <c r="A78" s="165" t="s">
        <v>624</v>
      </c>
      <c r="B78" s="166" t="s">
        <v>1059</v>
      </c>
      <c r="C78" s="83" t="s">
        <v>625</v>
      </c>
      <c r="D78" s="83" t="s">
        <v>41</v>
      </c>
      <c r="E78" s="1"/>
      <c r="F78" s="1"/>
      <c r="G78" s="1"/>
      <c r="H78" s="1"/>
    </row>
    <row r="79" spans="1:8" ht="56">
      <c r="A79" s="165" t="s">
        <v>626</v>
      </c>
      <c r="B79" s="166" t="s">
        <v>1060</v>
      </c>
      <c r="C79" s="83" t="s">
        <v>627</v>
      </c>
      <c r="D79" s="83" t="s">
        <v>41</v>
      </c>
      <c r="E79" s="1"/>
      <c r="F79" s="1"/>
      <c r="G79" s="1"/>
      <c r="H79" s="1"/>
    </row>
    <row r="80" spans="1:8" ht="70">
      <c r="A80" s="165" t="s">
        <v>628</v>
      </c>
      <c r="B80" s="166" t="s">
        <v>1061</v>
      </c>
      <c r="C80" s="83" t="s">
        <v>629</v>
      </c>
      <c r="D80" s="83" t="s">
        <v>41</v>
      </c>
      <c r="E80" s="1"/>
      <c r="F80" s="1"/>
      <c r="G80" s="1"/>
      <c r="H80" s="1"/>
    </row>
    <row r="81" spans="1:8" ht="56">
      <c r="A81" s="165" t="s">
        <v>630</v>
      </c>
      <c r="B81" s="166" t="s">
        <v>1062</v>
      </c>
      <c r="C81" s="83" t="s">
        <v>631</v>
      </c>
      <c r="D81" s="83" t="s">
        <v>41</v>
      </c>
      <c r="E81" s="1"/>
      <c r="F81" s="1"/>
      <c r="G81" s="1"/>
      <c r="H81" s="1"/>
    </row>
    <row r="82" spans="1:8" ht="70">
      <c r="A82" s="165" t="s">
        <v>632</v>
      </c>
      <c r="B82" s="166" t="s">
        <v>1063</v>
      </c>
      <c r="C82" s="83" t="s">
        <v>633</v>
      </c>
      <c r="D82" s="83" t="s">
        <v>41</v>
      </c>
      <c r="E82" s="1"/>
      <c r="F82" s="1"/>
      <c r="G82" s="1"/>
      <c r="H82" s="1"/>
    </row>
    <row r="83" spans="1:8" ht="56">
      <c r="A83" s="165" t="s">
        <v>634</v>
      </c>
      <c r="B83" s="166" t="s">
        <v>1064</v>
      </c>
      <c r="C83" s="83" t="s">
        <v>635</v>
      </c>
      <c r="D83" s="83" t="s">
        <v>41</v>
      </c>
      <c r="E83" s="1"/>
      <c r="F83" s="1"/>
      <c r="G83" s="1"/>
      <c r="H83" s="1"/>
    </row>
    <row r="84" spans="1:8" ht="56">
      <c r="A84" s="165" t="s">
        <v>636</v>
      </c>
      <c r="B84" s="166" t="s">
        <v>1065</v>
      </c>
      <c r="C84" s="83" t="s">
        <v>637</v>
      </c>
      <c r="D84" s="83" t="s">
        <v>41</v>
      </c>
      <c r="E84" s="1"/>
      <c r="F84" s="1"/>
      <c r="G84" s="1"/>
      <c r="H84" s="1"/>
    </row>
    <row r="85" spans="1:8" ht="56">
      <c r="A85" s="165" t="s">
        <v>638</v>
      </c>
      <c r="B85" s="166" t="s">
        <v>1066</v>
      </c>
      <c r="C85" s="83" t="s">
        <v>639</v>
      </c>
      <c r="D85" s="83" t="s">
        <v>41</v>
      </c>
      <c r="E85" s="1"/>
      <c r="F85" s="1"/>
      <c r="G85" s="1"/>
      <c r="H85" s="1"/>
    </row>
    <row r="86" spans="1:8" ht="56">
      <c r="A86" s="165" t="s">
        <v>640</v>
      </c>
      <c r="B86" s="166" t="s">
        <v>1067</v>
      </c>
      <c r="C86" s="83" t="s">
        <v>641</v>
      </c>
      <c r="D86" s="83" t="s">
        <v>41</v>
      </c>
      <c r="E86" s="1"/>
      <c r="F86" s="1"/>
      <c r="G86" s="1"/>
      <c r="H86" s="1"/>
    </row>
    <row r="87" spans="1:8" ht="70">
      <c r="A87" s="165" t="s">
        <v>642</v>
      </c>
      <c r="B87" s="166" t="s">
        <v>1068</v>
      </c>
      <c r="C87" s="83" t="s">
        <v>643</v>
      </c>
      <c r="D87" s="83" t="s">
        <v>41</v>
      </c>
      <c r="E87" s="1"/>
      <c r="F87" s="1"/>
      <c r="G87" s="1"/>
      <c r="H87" s="1"/>
    </row>
    <row r="88" spans="1:8" ht="42">
      <c r="A88" s="165" t="s">
        <v>644</v>
      </c>
      <c r="B88" s="166" t="s">
        <v>1069</v>
      </c>
      <c r="C88" s="83" t="s">
        <v>645</v>
      </c>
      <c r="D88" s="83" t="s">
        <v>41</v>
      </c>
      <c r="E88" s="1"/>
      <c r="F88" s="1"/>
      <c r="G88" s="1"/>
      <c r="H88" s="1"/>
    </row>
    <row r="89" spans="1:8" ht="42">
      <c r="A89" s="165" t="s">
        <v>646</v>
      </c>
      <c r="B89" s="166" t="s">
        <v>1070</v>
      </c>
      <c r="C89" s="83" t="s">
        <v>647</v>
      </c>
      <c r="D89" s="83" t="s">
        <v>41</v>
      </c>
      <c r="E89" s="1"/>
      <c r="F89" s="1"/>
      <c r="G89" s="1"/>
      <c r="H89" s="1"/>
    </row>
    <row r="90" spans="1:8" ht="56">
      <c r="A90" s="165" t="s">
        <v>648</v>
      </c>
      <c r="B90" s="166" t="s">
        <v>1071</v>
      </c>
      <c r="C90" s="83" t="s">
        <v>649</v>
      </c>
      <c r="D90" s="83" t="s">
        <v>41</v>
      </c>
      <c r="E90" s="1"/>
      <c r="F90" s="1"/>
      <c r="G90" s="1"/>
      <c r="H90" s="1"/>
    </row>
    <row r="91" spans="1:8" ht="56">
      <c r="A91" s="165" t="s">
        <v>650</v>
      </c>
      <c r="B91" s="166" t="s">
        <v>1072</v>
      </c>
      <c r="C91" s="83" t="s">
        <v>651</v>
      </c>
      <c r="D91" s="83" t="s">
        <v>41</v>
      </c>
      <c r="E91" s="1"/>
      <c r="F91" s="1"/>
      <c r="G91" s="1"/>
      <c r="H91" s="1"/>
    </row>
    <row r="92" spans="1:8" ht="56">
      <c r="A92" s="165" t="s">
        <v>652</v>
      </c>
      <c r="B92" s="166" t="s">
        <v>1073</v>
      </c>
      <c r="C92" s="83" t="s">
        <v>653</v>
      </c>
      <c r="D92" s="83" t="s">
        <v>41</v>
      </c>
      <c r="E92" s="1"/>
      <c r="F92" s="1"/>
      <c r="G92" s="1"/>
      <c r="H92" s="1"/>
    </row>
    <row r="93" spans="1:8" ht="42">
      <c r="A93" s="165" t="s">
        <v>654</v>
      </c>
      <c r="B93" s="166" t="s">
        <v>1074</v>
      </c>
      <c r="C93" s="83" t="s">
        <v>655</v>
      </c>
      <c r="D93" s="83" t="s">
        <v>41</v>
      </c>
      <c r="E93" s="1"/>
      <c r="F93" s="1"/>
      <c r="G93" s="1"/>
      <c r="H93" s="1"/>
    </row>
    <row r="94" spans="1:8" ht="56">
      <c r="A94" s="165" t="s">
        <v>656</v>
      </c>
      <c r="B94" s="166" t="s">
        <v>1075</v>
      </c>
      <c r="C94" s="83" t="s">
        <v>657</v>
      </c>
      <c r="D94" s="83" t="s">
        <v>41</v>
      </c>
      <c r="E94" s="1"/>
      <c r="F94" s="1"/>
      <c r="G94" s="1"/>
      <c r="H94" s="1"/>
    </row>
    <row r="95" spans="1:8" ht="56">
      <c r="A95" s="165" t="s">
        <v>658</v>
      </c>
      <c r="B95" s="166" t="s">
        <v>1076</v>
      </c>
      <c r="C95" s="83" t="s">
        <v>659</v>
      </c>
      <c r="D95" s="83" t="s">
        <v>41</v>
      </c>
      <c r="E95" s="1"/>
      <c r="F95" s="1"/>
      <c r="G95" s="1"/>
      <c r="H95" s="1"/>
    </row>
    <row r="96" spans="1:8" ht="70">
      <c r="A96" s="165" t="s">
        <v>660</v>
      </c>
      <c r="B96" s="166" t="s">
        <v>1077</v>
      </c>
      <c r="C96" s="83" t="s">
        <v>661</v>
      </c>
      <c r="D96" s="83" t="s">
        <v>41</v>
      </c>
      <c r="E96" s="1"/>
      <c r="F96" s="1"/>
      <c r="G96" s="1"/>
      <c r="H96" s="1"/>
    </row>
    <row r="97" spans="1:8" ht="70">
      <c r="A97" s="165" t="s">
        <v>662</v>
      </c>
      <c r="B97" s="166" t="s">
        <v>1078</v>
      </c>
      <c r="C97" s="83" t="s">
        <v>663</v>
      </c>
      <c r="D97" s="83" t="s">
        <v>41</v>
      </c>
      <c r="E97" s="1"/>
      <c r="F97" s="1"/>
      <c r="G97" s="1"/>
      <c r="H97" s="1"/>
    </row>
    <row r="98" spans="1:8" ht="56">
      <c r="A98" s="165" t="s">
        <v>664</v>
      </c>
      <c r="B98" s="166" t="s">
        <v>1079</v>
      </c>
      <c r="C98" s="83" t="s">
        <v>665</v>
      </c>
      <c r="D98" s="83" t="s">
        <v>41</v>
      </c>
      <c r="E98" s="1"/>
      <c r="F98" s="1"/>
      <c r="G98" s="1"/>
      <c r="H98" s="1"/>
    </row>
    <row r="99" spans="1:8" ht="70">
      <c r="A99" s="165" t="s">
        <v>666</v>
      </c>
      <c r="B99" s="166" t="s">
        <v>1080</v>
      </c>
      <c r="C99" s="83" t="s">
        <v>667</v>
      </c>
      <c r="D99" s="83" t="s">
        <v>41</v>
      </c>
      <c r="E99" s="1"/>
      <c r="F99" s="1"/>
      <c r="G99" s="1"/>
      <c r="H99" s="1"/>
    </row>
    <row r="100" spans="1:8" ht="56">
      <c r="A100" s="165" t="s">
        <v>668</v>
      </c>
      <c r="B100" s="166" t="s">
        <v>1081</v>
      </c>
      <c r="C100" s="83" t="s">
        <v>669</v>
      </c>
      <c r="D100" s="83" t="s">
        <v>41</v>
      </c>
      <c r="E100" s="1"/>
      <c r="F100" s="1"/>
      <c r="G100" s="1"/>
      <c r="H100" s="1"/>
    </row>
    <row r="101" spans="1:8" ht="42">
      <c r="A101" s="165" t="s">
        <v>670</v>
      </c>
      <c r="B101" s="166" t="s">
        <v>1082</v>
      </c>
      <c r="C101" s="83" t="s">
        <v>671</v>
      </c>
      <c r="D101" s="83" t="s">
        <v>41</v>
      </c>
      <c r="E101" s="1"/>
      <c r="F101" s="1"/>
      <c r="G101" s="1"/>
      <c r="H101" s="1"/>
    </row>
    <row r="102" spans="1:8" ht="42">
      <c r="A102" s="165" t="s">
        <v>672</v>
      </c>
      <c r="B102" s="166" t="s">
        <v>1083</v>
      </c>
      <c r="C102" s="83" t="s">
        <v>673</v>
      </c>
      <c r="D102" s="83" t="s">
        <v>41</v>
      </c>
      <c r="E102" s="1"/>
      <c r="F102" s="1"/>
      <c r="G102" s="1"/>
      <c r="H102" s="1"/>
    </row>
    <row r="103" spans="1:8" ht="56">
      <c r="A103" s="165" t="s">
        <v>674</v>
      </c>
      <c r="B103" s="166" t="s">
        <v>1084</v>
      </c>
      <c r="C103" s="83" t="s">
        <v>675</v>
      </c>
      <c r="D103" s="83" t="s">
        <v>41</v>
      </c>
      <c r="E103" s="1"/>
      <c r="F103" s="1"/>
      <c r="G103" s="1"/>
      <c r="H103" s="1"/>
    </row>
    <row r="104" spans="1:8" ht="42">
      <c r="A104" s="165" t="s">
        <v>676</v>
      </c>
      <c r="B104" s="166" t="s">
        <v>1085</v>
      </c>
      <c r="C104" s="83" t="s">
        <v>677</v>
      </c>
      <c r="D104" s="83" t="s">
        <v>41</v>
      </c>
      <c r="E104" s="1"/>
      <c r="F104" s="1"/>
      <c r="G104" s="1"/>
      <c r="H104" s="1"/>
    </row>
    <row r="105" spans="1:8" ht="42">
      <c r="A105" s="165" t="s">
        <v>678</v>
      </c>
      <c r="B105" s="166" t="s">
        <v>1086</v>
      </c>
      <c r="C105" s="83" t="s">
        <v>679</v>
      </c>
      <c r="D105" s="83" t="s">
        <v>41</v>
      </c>
      <c r="E105" s="1"/>
      <c r="F105" s="1"/>
      <c r="G105" s="1"/>
      <c r="H105" s="1"/>
    </row>
    <row r="106" spans="1:8" ht="56">
      <c r="A106" s="165" t="s">
        <v>680</v>
      </c>
      <c r="B106" s="166" t="s">
        <v>1087</v>
      </c>
      <c r="C106" s="83" t="s">
        <v>681</v>
      </c>
      <c r="D106" s="83" t="s">
        <v>41</v>
      </c>
      <c r="E106" s="1"/>
      <c r="F106" s="1"/>
      <c r="G106" s="1"/>
      <c r="H106" s="1"/>
    </row>
    <row r="107" spans="1:8" ht="42">
      <c r="A107" s="165" t="s">
        <v>682</v>
      </c>
      <c r="B107" s="166" t="s">
        <v>1088</v>
      </c>
      <c r="C107" s="83" t="s">
        <v>683</v>
      </c>
      <c r="D107" s="83" t="s">
        <v>41</v>
      </c>
      <c r="E107" s="1"/>
      <c r="F107" s="1"/>
      <c r="G107" s="1"/>
      <c r="H107" s="1"/>
    </row>
    <row r="108" spans="1:8" ht="70">
      <c r="A108" s="165" t="s">
        <v>684</v>
      </c>
      <c r="B108" s="166" t="s">
        <v>1089</v>
      </c>
      <c r="C108" s="83" t="s">
        <v>685</v>
      </c>
      <c r="D108" s="83" t="s">
        <v>41</v>
      </c>
      <c r="E108" s="1"/>
      <c r="F108" s="1"/>
      <c r="G108" s="1"/>
      <c r="H108" s="1"/>
    </row>
    <row r="109" spans="1:8" ht="42">
      <c r="A109" s="165" t="s">
        <v>686</v>
      </c>
      <c r="B109" s="166" t="s">
        <v>1090</v>
      </c>
      <c r="C109" s="83" t="s">
        <v>687</v>
      </c>
      <c r="D109" s="83" t="s">
        <v>41</v>
      </c>
      <c r="E109" s="1"/>
      <c r="F109" s="1"/>
      <c r="G109" s="1"/>
      <c r="H109" s="1"/>
    </row>
    <row r="110" spans="1:8" ht="70">
      <c r="A110" s="165" t="s">
        <v>688</v>
      </c>
      <c r="B110" s="166" t="s">
        <v>1091</v>
      </c>
      <c r="C110" s="83" t="s">
        <v>689</v>
      </c>
      <c r="D110" s="83" t="s">
        <v>41</v>
      </c>
      <c r="E110" s="1"/>
      <c r="F110" s="1"/>
      <c r="G110" s="1"/>
      <c r="H110" s="1"/>
    </row>
    <row r="111" spans="1:8" ht="56">
      <c r="A111" s="165" t="s">
        <v>690</v>
      </c>
      <c r="B111" s="166" t="s">
        <v>1092</v>
      </c>
      <c r="C111" s="83" t="s">
        <v>691</v>
      </c>
      <c r="D111" s="83" t="s">
        <v>41</v>
      </c>
      <c r="E111" s="1"/>
      <c r="F111" s="1"/>
      <c r="G111" s="1"/>
      <c r="H111" s="1"/>
    </row>
    <row r="112" spans="1:8" ht="56">
      <c r="A112" s="165" t="s">
        <v>692</v>
      </c>
      <c r="B112" s="166" t="s">
        <v>1093</v>
      </c>
      <c r="C112" s="83" t="s">
        <v>693</v>
      </c>
      <c r="D112" s="83" t="s">
        <v>41</v>
      </c>
      <c r="E112" s="1"/>
      <c r="F112" s="1"/>
      <c r="G112" s="1"/>
      <c r="H112" s="1"/>
    </row>
    <row r="113" spans="1:8" ht="56">
      <c r="A113" s="165" t="s">
        <v>694</v>
      </c>
      <c r="B113" s="166" t="s">
        <v>1094</v>
      </c>
      <c r="C113" s="83" t="s">
        <v>695</v>
      </c>
      <c r="D113" s="83" t="s">
        <v>41</v>
      </c>
      <c r="E113" s="1"/>
      <c r="F113" s="1"/>
      <c r="G113" s="1"/>
      <c r="H113" s="1"/>
    </row>
    <row r="114" spans="1:8" ht="56">
      <c r="A114" s="165" t="s">
        <v>696</v>
      </c>
      <c r="B114" s="166" t="s">
        <v>1095</v>
      </c>
      <c r="C114" s="83" t="s">
        <v>697</v>
      </c>
      <c r="D114" s="83" t="s">
        <v>41</v>
      </c>
      <c r="E114" s="1"/>
      <c r="F114" s="1"/>
      <c r="G114" s="1"/>
      <c r="H114" s="1"/>
    </row>
    <row r="115" spans="1:8" ht="56">
      <c r="A115" s="165" t="s">
        <v>698</v>
      </c>
      <c r="B115" s="166" t="s">
        <v>1096</v>
      </c>
      <c r="C115" s="83" t="s">
        <v>699</v>
      </c>
      <c r="D115" s="83" t="s">
        <v>41</v>
      </c>
      <c r="E115" s="1"/>
      <c r="F115" s="1"/>
      <c r="G115" s="1"/>
      <c r="H115" s="1"/>
    </row>
    <row r="116" spans="1:8" ht="56">
      <c r="A116" s="165" t="s">
        <v>700</v>
      </c>
      <c r="B116" s="166" t="s">
        <v>1097</v>
      </c>
      <c r="C116" s="83" t="s">
        <v>701</v>
      </c>
      <c r="D116" s="83" t="s">
        <v>41</v>
      </c>
      <c r="E116" s="1"/>
      <c r="F116" s="1"/>
      <c r="G116" s="1"/>
      <c r="H116" s="1"/>
    </row>
    <row r="117" spans="1:8" ht="70">
      <c r="A117" s="165" t="s">
        <v>702</v>
      </c>
      <c r="B117" s="166" t="s">
        <v>1098</v>
      </c>
      <c r="C117" s="83" t="s">
        <v>703</v>
      </c>
      <c r="D117" s="83" t="s">
        <v>41</v>
      </c>
      <c r="E117" s="1"/>
      <c r="F117" s="1"/>
      <c r="G117" s="1"/>
      <c r="H117" s="1"/>
    </row>
    <row r="118" spans="1:8" ht="56">
      <c r="A118" s="165" t="s">
        <v>704</v>
      </c>
      <c r="B118" s="166" t="s">
        <v>1099</v>
      </c>
      <c r="C118" s="83" t="s">
        <v>705</v>
      </c>
      <c r="D118" s="83" t="s">
        <v>41</v>
      </c>
      <c r="E118" s="1"/>
      <c r="F118" s="1"/>
      <c r="G118" s="1"/>
      <c r="H118" s="1"/>
    </row>
    <row r="119" spans="1:8" ht="84">
      <c r="A119" s="165" t="s">
        <v>706</v>
      </c>
      <c r="B119" s="166" t="s">
        <v>1100</v>
      </c>
      <c r="C119" s="83" t="s">
        <v>707</v>
      </c>
      <c r="D119" s="83" t="s">
        <v>41</v>
      </c>
      <c r="E119" s="1"/>
      <c r="F119" s="1"/>
      <c r="G119" s="1"/>
      <c r="H119" s="1"/>
    </row>
    <row r="120" spans="1:8" ht="42">
      <c r="A120" s="165" t="s">
        <v>708</v>
      </c>
      <c r="B120" s="166" t="s">
        <v>1101</v>
      </c>
      <c r="C120" s="83" t="s">
        <v>709</v>
      </c>
      <c r="D120" s="83" t="s">
        <v>41</v>
      </c>
      <c r="E120" s="1"/>
      <c r="F120" s="1"/>
      <c r="G120" s="1"/>
      <c r="H120" s="1"/>
    </row>
    <row r="121" spans="1:8" ht="56">
      <c r="A121" s="165" t="s">
        <v>710</v>
      </c>
      <c r="B121" s="166" t="s">
        <v>1102</v>
      </c>
      <c r="C121" s="83" t="s">
        <v>711</v>
      </c>
      <c r="D121" s="83" t="s">
        <v>41</v>
      </c>
      <c r="E121" s="1"/>
      <c r="F121" s="1"/>
      <c r="G121" s="1"/>
      <c r="H121" s="1"/>
    </row>
    <row r="122" spans="1:8" ht="42">
      <c r="A122" s="165" t="s">
        <v>712</v>
      </c>
      <c r="B122" s="166" t="s">
        <v>1103</v>
      </c>
      <c r="C122" s="83" t="s">
        <v>713</v>
      </c>
      <c r="D122" s="83" t="s">
        <v>41</v>
      </c>
      <c r="E122" s="1"/>
      <c r="F122" s="1"/>
      <c r="G122" s="1"/>
      <c r="H122" s="1"/>
    </row>
    <row r="123" spans="1:8" ht="42">
      <c r="A123" s="165" t="s">
        <v>714</v>
      </c>
      <c r="B123" s="166" t="s">
        <v>1104</v>
      </c>
      <c r="C123" s="83" t="s">
        <v>715</v>
      </c>
      <c r="D123" s="83" t="s">
        <v>41</v>
      </c>
      <c r="E123" s="1"/>
      <c r="F123" s="1"/>
      <c r="G123" s="1"/>
      <c r="H123" s="1"/>
    </row>
  </sheetData>
  <mergeCells count="4">
    <mergeCell ref="A1:H1"/>
    <mergeCell ref="A2:D2"/>
    <mergeCell ref="E2:H2"/>
    <mergeCell ref="J1:K1"/>
  </mergeCells>
  <conditionalFormatting sqref="K4:K33">
    <cfRule type="expression" dxfId="2" priority="1">
      <formula>K4="Tinggi"</formula>
    </cfRule>
    <cfRule type="expression" dxfId="1" priority="2">
      <formula>K4="Sedang"</formula>
    </cfRule>
    <cfRule type="expression" dxfId="0" priority="3">
      <formula>K4="Rendah"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1"/>
  <sheetViews>
    <sheetView workbookViewId="0">
      <selection activeCell="E133" sqref="E133"/>
    </sheetView>
  </sheetViews>
  <sheetFormatPr defaultRowHeight="14"/>
  <cols>
    <col min="1" max="1" width="9" customWidth="1"/>
    <col min="2" max="2" width="28" customWidth="1"/>
    <col min="3" max="3" width="13" customWidth="1"/>
    <col min="4" max="4" width="38" customWidth="1"/>
    <col min="5" max="5" width="88" customWidth="1"/>
  </cols>
  <sheetData>
    <row r="1" spans="1:5" ht="18">
      <c r="A1" s="148" t="s">
        <v>716</v>
      </c>
      <c r="B1" s="148"/>
      <c r="C1" s="148"/>
      <c r="D1" s="148"/>
      <c r="E1" s="148"/>
    </row>
    <row r="2" spans="1:5" ht="26.65" customHeight="1">
      <c r="A2" s="150" t="s">
        <v>717</v>
      </c>
      <c r="B2" s="150"/>
      <c r="C2" s="150"/>
      <c r="D2" s="150"/>
      <c r="E2" s="150"/>
    </row>
    <row r="3" spans="1:5">
      <c r="A3" s="84" t="s">
        <v>718</v>
      </c>
      <c r="B3" s="84" t="s">
        <v>719</v>
      </c>
      <c r="C3" s="84" t="s">
        <v>720</v>
      </c>
      <c r="D3" s="84" t="s">
        <v>721</v>
      </c>
      <c r="E3" s="84" t="s">
        <v>722</v>
      </c>
    </row>
    <row r="4" spans="1:5">
      <c r="A4" s="1">
        <v>1</v>
      </c>
      <c r="B4" s="1" t="s">
        <v>373</v>
      </c>
      <c r="C4" s="1" t="s">
        <v>271</v>
      </c>
      <c r="D4" s="1" t="s">
        <v>723</v>
      </c>
      <c r="E4" s="1" t="s">
        <v>724</v>
      </c>
    </row>
    <row r="5" spans="1:5">
      <c r="A5" s="1">
        <v>2</v>
      </c>
      <c r="B5" s="1" t="s">
        <v>373</v>
      </c>
      <c r="C5" s="1" t="s">
        <v>271</v>
      </c>
      <c r="D5" s="1" t="s">
        <v>723</v>
      </c>
      <c r="E5" s="1" t="s">
        <v>725</v>
      </c>
    </row>
    <row r="6" spans="1:5">
      <c r="A6" s="1">
        <v>3</v>
      </c>
      <c r="B6" s="1" t="s">
        <v>373</v>
      </c>
      <c r="C6" s="1" t="s">
        <v>271</v>
      </c>
      <c r="D6" s="1" t="s">
        <v>723</v>
      </c>
      <c r="E6" s="1" t="s">
        <v>726</v>
      </c>
    </row>
    <row r="7" spans="1:5">
      <c r="A7" s="1">
        <v>4</v>
      </c>
      <c r="B7" s="1" t="s">
        <v>373</v>
      </c>
      <c r="C7" s="1" t="s">
        <v>271</v>
      </c>
      <c r="D7" s="1" t="s">
        <v>723</v>
      </c>
      <c r="E7" s="1" t="s">
        <v>727</v>
      </c>
    </row>
    <row r="8" spans="1:5">
      <c r="A8" s="1">
        <v>5</v>
      </c>
      <c r="B8" s="1" t="s">
        <v>373</v>
      </c>
      <c r="C8" s="1" t="s">
        <v>271</v>
      </c>
      <c r="D8" s="1" t="s">
        <v>723</v>
      </c>
      <c r="E8" s="1" t="s">
        <v>728</v>
      </c>
    </row>
    <row r="9" spans="1:5">
      <c r="A9" s="1">
        <v>6</v>
      </c>
      <c r="B9" s="1" t="s">
        <v>373</v>
      </c>
      <c r="C9" s="1" t="s">
        <v>271</v>
      </c>
      <c r="D9" s="1" t="s">
        <v>723</v>
      </c>
      <c r="E9" s="1" t="s">
        <v>729</v>
      </c>
    </row>
    <row r="10" spans="1:5">
      <c r="A10" s="1">
        <v>7</v>
      </c>
      <c r="B10" s="1" t="s">
        <v>373</v>
      </c>
      <c r="C10" s="1" t="s">
        <v>271</v>
      </c>
      <c r="D10" s="1" t="s">
        <v>723</v>
      </c>
      <c r="E10" s="1" t="s">
        <v>730</v>
      </c>
    </row>
    <row r="11" spans="1:5">
      <c r="A11" s="1">
        <v>8</v>
      </c>
      <c r="B11" s="1" t="s">
        <v>373</v>
      </c>
      <c r="C11" s="1" t="s">
        <v>271</v>
      </c>
      <c r="D11" s="1" t="s">
        <v>723</v>
      </c>
      <c r="E11" s="1" t="s">
        <v>731</v>
      </c>
    </row>
    <row r="12" spans="1:5">
      <c r="A12" s="1">
        <v>9</v>
      </c>
      <c r="B12" s="1" t="s">
        <v>373</v>
      </c>
      <c r="C12" s="1" t="s">
        <v>271</v>
      </c>
      <c r="D12" s="1" t="s">
        <v>723</v>
      </c>
      <c r="E12" s="1" t="s">
        <v>732</v>
      </c>
    </row>
    <row r="13" spans="1:5">
      <c r="A13" s="1">
        <v>10</v>
      </c>
      <c r="B13" s="1" t="s">
        <v>373</v>
      </c>
      <c r="C13" s="1" t="s">
        <v>271</v>
      </c>
      <c r="D13" s="1" t="s">
        <v>723</v>
      </c>
      <c r="E13" s="1" t="s">
        <v>733</v>
      </c>
    </row>
    <row r="14" spans="1:5">
      <c r="A14" s="1">
        <v>11</v>
      </c>
      <c r="B14" s="1" t="s">
        <v>373</v>
      </c>
      <c r="C14" s="1" t="s">
        <v>271</v>
      </c>
      <c r="D14" s="1" t="s">
        <v>723</v>
      </c>
      <c r="E14" s="1" t="s">
        <v>734</v>
      </c>
    </row>
    <row r="15" spans="1:5">
      <c r="A15" s="1">
        <v>12</v>
      </c>
      <c r="B15" s="1" t="s">
        <v>373</v>
      </c>
      <c r="C15" s="1" t="s">
        <v>272</v>
      </c>
      <c r="D15" s="1" t="s">
        <v>723</v>
      </c>
      <c r="E15" s="1" t="s">
        <v>735</v>
      </c>
    </row>
    <row r="16" spans="1:5">
      <c r="A16" s="1">
        <v>13</v>
      </c>
      <c r="B16" s="1" t="s">
        <v>373</v>
      </c>
      <c r="C16" s="1" t="s">
        <v>272</v>
      </c>
      <c r="D16" s="1" t="s">
        <v>723</v>
      </c>
      <c r="E16" s="1" t="s">
        <v>736</v>
      </c>
    </row>
    <row r="17" spans="1:5">
      <c r="A17" s="1">
        <v>14</v>
      </c>
      <c r="B17" s="1" t="s">
        <v>373</v>
      </c>
      <c r="C17" s="1" t="s">
        <v>272</v>
      </c>
      <c r="D17" s="1" t="s">
        <v>723</v>
      </c>
      <c r="E17" s="1" t="s">
        <v>737</v>
      </c>
    </row>
    <row r="18" spans="1:5">
      <c r="A18" s="1">
        <v>15</v>
      </c>
      <c r="B18" s="1" t="s">
        <v>373</v>
      </c>
      <c r="C18" s="1" t="s">
        <v>272</v>
      </c>
      <c r="D18" s="1" t="s">
        <v>723</v>
      </c>
      <c r="E18" s="1" t="s">
        <v>738</v>
      </c>
    </row>
    <row r="19" spans="1:5">
      <c r="A19" s="1">
        <v>16</v>
      </c>
      <c r="B19" s="1" t="s">
        <v>373</v>
      </c>
      <c r="C19" s="1" t="s">
        <v>272</v>
      </c>
      <c r="D19" s="1" t="s">
        <v>723</v>
      </c>
      <c r="E19" s="1" t="s">
        <v>739</v>
      </c>
    </row>
    <row r="20" spans="1:5">
      <c r="A20" s="1">
        <v>17</v>
      </c>
      <c r="B20" s="1" t="s">
        <v>373</v>
      </c>
      <c r="C20" s="1" t="s">
        <v>272</v>
      </c>
      <c r="D20" s="1" t="s">
        <v>723</v>
      </c>
      <c r="E20" s="1" t="s">
        <v>740</v>
      </c>
    </row>
    <row r="21" spans="1:5">
      <c r="A21" s="1">
        <v>18</v>
      </c>
      <c r="B21" s="1" t="s">
        <v>373</v>
      </c>
      <c r="C21" s="1" t="s">
        <v>272</v>
      </c>
      <c r="D21" s="1" t="s">
        <v>723</v>
      </c>
      <c r="E21" s="1" t="s">
        <v>741</v>
      </c>
    </row>
    <row r="22" spans="1:5">
      <c r="A22" s="1">
        <v>19</v>
      </c>
      <c r="B22" s="1" t="s">
        <v>373</v>
      </c>
      <c r="C22" s="1" t="s">
        <v>272</v>
      </c>
      <c r="D22" s="1" t="s">
        <v>723</v>
      </c>
      <c r="E22" s="1" t="s">
        <v>742</v>
      </c>
    </row>
    <row r="23" spans="1:5">
      <c r="A23" s="1">
        <v>20</v>
      </c>
      <c r="B23" s="1" t="s">
        <v>373</v>
      </c>
      <c r="C23" s="1" t="s">
        <v>272</v>
      </c>
      <c r="D23" s="1" t="s">
        <v>723</v>
      </c>
      <c r="E23" s="1" t="s">
        <v>743</v>
      </c>
    </row>
    <row r="24" spans="1:5">
      <c r="A24" s="1">
        <v>21</v>
      </c>
      <c r="B24" s="1" t="s">
        <v>373</v>
      </c>
      <c r="C24" s="1" t="s">
        <v>272</v>
      </c>
      <c r="D24" s="1" t="s">
        <v>723</v>
      </c>
      <c r="E24" s="1" t="s">
        <v>744</v>
      </c>
    </row>
    <row r="25" spans="1:5">
      <c r="A25" s="1">
        <v>22</v>
      </c>
      <c r="B25" s="1" t="s">
        <v>373</v>
      </c>
      <c r="C25" s="1" t="s">
        <v>272</v>
      </c>
      <c r="D25" s="1" t="s">
        <v>723</v>
      </c>
      <c r="E25" s="1" t="s">
        <v>745</v>
      </c>
    </row>
    <row r="26" spans="1:5">
      <c r="A26" s="1">
        <v>23</v>
      </c>
      <c r="B26" s="1" t="s">
        <v>373</v>
      </c>
      <c r="C26" s="1" t="s">
        <v>273</v>
      </c>
      <c r="D26" s="1" t="s">
        <v>723</v>
      </c>
      <c r="E26" s="1" t="s">
        <v>746</v>
      </c>
    </row>
    <row r="27" spans="1:5">
      <c r="A27" s="1">
        <v>24</v>
      </c>
      <c r="B27" s="1" t="s">
        <v>373</v>
      </c>
      <c r="C27" s="1" t="s">
        <v>273</v>
      </c>
      <c r="D27" s="1" t="s">
        <v>723</v>
      </c>
      <c r="E27" s="1" t="s">
        <v>747</v>
      </c>
    </row>
    <row r="28" spans="1:5">
      <c r="A28" s="1">
        <v>25</v>
      </c>
      <c r="B28" s="1" t="s">
        <v>373</v>
      </c>
      <c r="C28" s="1" t="s">
        <v>273</v>
      </c>
      <c r="D28" s="1" t="s">
        <v>723</v>
      </c>
      <c r="E28" s="1" t="s">
        <v>748</v>
      </c>
    </row>
    <row r="29" spans="1:5">
      <c r="A29" s="1">
        <v>26</v>
      </c>
      <c r="B29" s="1" t="s">
        <v>373</v>
      </c>
      <c r="C29" s="1" t="s">
        <v>273</v>
      </c>
      <c r="D29" s="1" t="s">
        <v>723</v>
      </c>
      <c r="E29" s="1" t="s">
        <v>749</v>
      </c>
    </row>
    <row r="30" spans="1:5">
      <c r="A30" s="1">
        <v>27</v>
      </c>
      <c r="B30" s="1" t="s">
        <v>373</v>
      </c>
      <c r="C30" s="1" t="s">
        <v>273</v>
      </c>
      <c r="D30" s="1" t="s">
        <v>723</v>
      </c>
      <c r="E30" s="1" t="s">
        <v>750</v>
      </c>
    </row>
    <row r="31" spans="1:5">
      <c r="A31" s="1">
        <v>28</v>
      </c>
      <c r="B31" s="1" t="s">
        <v>373</v>
      </c>
      <c r="C31" s="1" t="s">
        <v>273</v>
      </c>
      <c r="D31" s="1" t="s">
        <v>723</v>
      </c>
      <c r="E31" s="1" t="s">
        <v>751</v>
      </c>
    </row>
    <row r="32" spans="1:5">
      <c r="A32" s="1">
        <v>29</v>
      </c>
      <c r="B32" s="1" t="s">
        <v>373</v>
      </c>
      <c r="C32" s="1" t="s">
        <v>273</v>
      </c>
      <c r="D32" s="1" t="s">
        <v>723</v>
      </c>
      <c r="E32" s="1" t="s">
        <v>752</v>
      </c>
    </row>
    <row r="33" spans="1:5">
      <c r="A33" s="1">
        <v>30</v>
      </c>
      <c r="B33" s="1" t="s">
        <v>373</v>
      </c>
      <c r="C33" s="1" t="s">
        <v>273</v>
      </c>
      <c r="D33" s="1" t="s">
        <v>723</v>
      </c>
      <c r="E33" s="1" t="s">
        <v>753</v>
      </c>
    </row>
    <row r="34" spans="1:5">
      <c r="A34" s="1">
        <v>31</v>
      </c>
      <c r="B34" s="1" t="s">
        <v>373</v>
      </c>
      <c r="C34" s="1" t="s">
        <v>273</v>
      </c>
      <c r="D34" s="1" t="s">
        <v>723</v>
      </c>
      <c r="E34" s="1" t="s">
        <v>754</v>
      </c>
    </row>
    <row r="35" spans="1:5">
      <c r="A35" s="1">
        <v>32</v>
      </c>
      <c r="B35" s="1" t="s">
        <v>373</v>
      </c>
      <c r="C35" s="1" t="s">
        <v>273</v>
      </c>
      <c r="D35" s="1" t="s">
        <v>723</v>
      </c>
      <c r="E35" s="1" t="s">
        <v>755</v>
      </c>
    </row>
    <row r="36" spans="1:5">
      <c r="A36" s="1">
        <v>33</v>
      </c>
      <c r="B36" s="1" t="s">
        <v>373</v>
      </c>
      <c r="C36" s="1" t="s">
        <v>273</v>
      </c>
      <c r="D36" s="1" t="s">
        <v>723</v>
      </c>
      <c r="E36" s="1" t="s">
        <v>756</v>
      </c>
    </row>
    <row r="37" spans="1:5" ht="28">
      <c r="A37" s="1">
        <v>34</v>
      </c>
      <c r="B37" s="1" t="s">
        <v>373</v>
      </c>
      <c r="C37" s="1" t="s">
        <v>274</v>
      </c>
      <c r="D37" s="1" t="s">
        <v>723</v>
      </c>
      <c r="E37" s="1" t="s">
        <v>757</v>
      </c>
    </row>
    <row r="38" spans="1:5">
      <c r="A38" s="1">
        <v>35</v>
      </c>
      <c r="B38" s="1" t="s">
        <v>373</v>
      </c>
      <c r="C38" s="1" t="s">
        <v>274</v>
      </c>
      <c r="D38" s="1" t="s">
        <v>723</v>
      </c>
      <c r="E38" s="1" t="s">
        <v>758</v>
      </c>
    </row>
    <row r="39" spans="1:5" ht="28">
      <c r="A39" s="1">
        <v>36</v>
      </c>
      <c r="B39" s="1" t="s">
        <v>373</v>
      </c>
      <c r="C39" s="1" t="s">
        <v>274</v>
      </c>
      <c r="D39" s="1" t="s">
        <v>723</v>
      </c>
      <c r="E39" s="1" t="s">
        <v>759</v>
      </c>
    </row>
    <row r="40" spans="1:5">
      <c r="A40" s="1">
        <v>37</v>
      </c>
      <c r="B40" s="1" t="s">
        <v>373</v>
      </c>
      <c r="C40" s="1" t="s">
        <v>274</v>
      </c>
      <c r="D40" s="1" t="s">
        <v>723</v>
      </c>
      <c r="E40" s="1" t="s">
        <v>760</v>
      </c>
    </row>
    <row r="41" spans="1:5">
      <c r="A41" s="1">
        <v>38</v>
      </c>
      <c r="B41" s="1" t="s">
        <v>373</v>
      </c>
      <c r="C41" s="1" t="s">
        <v>274</v>
      </c>
      <c r="D41" s="1" t="s">
        <v>723</v>
      </c>
      <c r="E41" s="1" t="s">
        <v>761</v>
      </c>
    </row>
    <row r="42" spans="1:5" ht="28">
      <c r="A42" s="1">
        <v>39</v>
      </c>
      <c r="B42" s="1" t="s">
        <v>373</v>
      </c>
      <c r="C42" s="1" t="s">
        <v>274</v>
      </c>
      <c r="D42" s="1" t="s">
        <v>723</v>
      </c>
      <c r="E42" s="1" t="s">
        <v>762</v>
      </c>
    </row>
    <row r="43" spans="1:5" ht="28">
      <c r="A43" s="1">
        <v>40</v>
      </c>
      <c r="B43" s="1" t="s">
        <v>373</v>
      </c>
      <c r="C43" s="1" t="s">
        <v>274</v>
      </c>
      <c r="D43" s="1" t="s">
        <v>723</v>
      </c>
      <c r="E43" s="1" t="s">
        <v>763</v>
      </c>
    </row>
    <row r="44" spans="1:5">
      <c r="A44" s="1">
        <v>41</v>
      </c>
      <c r="B44" s="1" t="s">
        <v>373</v>
      </c>
      <c r="C44" s="1" t="s">
        <v>274</v>
      </c>
      <c r="D44" s="1" t="s">
        <v>723</v>
      </c>
      <c r="E44" s="1" t="s">
        <v>764</v>
      </c>
    </row>
    <row r="45" spans="1:5">
      <c r="A45" s="1">
        <v>42</v>
      </c>
      <c r="B45" s="1" t="s">
        <v>373</v>
      </c>
      <c r="C45" s="1" t="s">
        <v>274</v>
      </c>
      <c r="D45" s="1" t="s">
        <v>723</v>
      </c>
      <c r="E45" s="1" t="s">
        <v>765</v>
      </c>
    </row>
    <row r="46" spans="1:5">
      <c r="A46" s="1">
        <v>43</v>
      </c>
      <c r="B46" s="1" t="s">
        <v>373</v>
      </c>
      <c r="C46" s="1" t="s">
        <v>274</v>
      </c>
      <c r="D46" s="1" t="s">
        <v>723</v>
      </c>
      <c r="E46" t="s">
        <v>982</v>
      </c>
    </row>
    <row r="47" spans="1:5">
      <c r="A47" s="1">
        <v>44</v>
      </c>
      <c r="B47" s="1" t="s">
        <v>373</v>
      </c>
      <c r="C47" s="1" t="s">
        <v>274</v>
      </c>
      <c r="D47" s="1" t="s">
        <v>723</v>
      </c>
      <c r="E47" s="1" t="s">
        <v>766</v>
      </c>
    </row>
    <row r="48" spans="1:5">
      <c r="A48" s="1">
        <v>45</v>
      </c>
      <c r="B48" s="1" t="s">
        <v>373</v>
      </c>
      <c r="C48" s="1" t="s">
        <v>275</v>
      </c>
      <c r="D48" s="1" t="s">
        <v>723</v>
      </c>
      <c r="E48" s="1" t="s">
        <v>767</v>
      </c>
    </row>
    <row r="49" spans="1:5">
      <c r="A49" s="1">
        <v>46</v>
      </c>
      <c r="B49" s="1" t="s">
        <v>373</v>
      </c>
      <c r="C49" s="1" t="s">
        <v>275</v>
      </c>
      <c r="D49" s="1" t="s">
        <v>723</v>
      </c>
      <c r="E49" s="1" t="s">
        <v>768</v>
      </c>
    </row>
    <row r="50" spans="1:5">
      <c r="A50" s="1">
        <v>47</v>
      </c>
      <c r="B50" s="1" t="s">
        <v>373</v>
      </c>
      <c r="C50" s="1" t="s">
        <v>275</v>
      </c>
      <c r="D50" s="1" t="s">
        <v>723</v>
      </c>
      <c r="E50" t="s">
        <v>983</v>
      </c>
    </row>
    <row r="51" spans="1:5">
      <c r="A51" s="1">
        <v>48</v>
      </c>
      <c r="B51" s="1" t="s">
        <v>373</v>
      </c>
      <c r="C51" s="1" t="s">
        <v>275</v>
      </c>
      <c r="D51" s="1" t="s">
        <v>723</v>
      </c>
      <c r="E51" s="1" t="s">
        <v>769</v>
      </c>
    </row>
    <row r="52" spans="1:5">
      <c r="A52" s="1">
        <v>49</v>
      </c>
      <c r="B52" s="1" t="s">
        <v>373</v>
      </c>
      <c r="C52" s="1" t="s">
        <v>275</v>
      </c>
      <c r="D52" s="1" t="s">
        <v>723</v>
      </c>
      <c r="E52" s="1" t="s">
        <v>770</v>
      </c>
    </row>
    <row r="53" spans="1:5">
      <c r="A53" s="1">
        <v>50</v>
      </c>
      <c r="B53" s="1" t="s">
        <v>373</v>
      </c>
      <c r="C53" s="1" t="s">
        <v>275</v>
      </c>
      <c r="D53" s="1" t="s">
        <v>723</v>
      </c>
      <c r="E53" s="1" t="s">
        <v>771</v>
      </c>
    </row>
    <row r="54" spans="1:5">
      <c r="A54" s="1">
        <v>51</v>
      </c>
      <c r="B54" s="1" t="s">
        <v>373</v>
      </c>
      <c r="C54" s="1" t="s">
        <v>275</v>
      </c>
      <c r="D54" s="1" t="s">
        <v>723</v>
      </c>
      <c r="E54" s="1" t="s">
        <v>772</v>
      </c>
    </row>
    <row r="55" spans="1:5">
      <c r="A55" s="1">
        <v>52</v>
      </c>
      <c r="B55" s="1" t="s">
        <v>373</v>
      </c>
      <c r="C55" s="1" t="s">
        <v>275</v>
      </c>
      <c r="D55" s="1" t="s">
        <v>723</v>
      </c>
      <c r="E55" s="1" t="s">
        <v>773</v>
      </c>
    </row>
    <row r="56" spans="1:5">
      <c r="A56" s="1">
        <v>53</v>
      </c>
      <c r="B56" s="1" t="s">
        <v>373</v>
      </c>
      <c r="C56" s="1" t="s">
        <v>275</v>
      </c>
      <c r="D56" s="1" t="s">
        <v>723</v>
      </c>
      <c r="E56" s="1" t="s">
        <v>774</v>
      </c>
    </row>
    <row r="57" spans="1:5">
      <c r="A57" s="1">
        <v>54</v>
      </c>
      <c r="B57" s="1" t="s">
        <v>373</v>
      </c>
      <c r="C57" s="1" t="s">
        <v>275</v>
      </c>
      <c r="D57" s="1" t="s">
        <v>723</v>
      </c>
      <c r="E57" s="1" t="s">
        <v>775</v>
      </c>
    </row>
    <row r="58" spans="1:5">
      <c r="A58" s="1">
        <v>55</v>
      </c>
      <c r="B58" s="1" t="s">
        <v>373</v>
      </c>
      <c r="C58" s="1" t="s">
        <v>275</v>
      </c>
      <c r="D58" s="1" t="s">
        <v>723</v>
      </c>
      <c r="E58" s="1" t="s">
        <v>776</v>
      </c>
    </row>
    <row r="59" spans="1:5">
      <c r="A59" s="1">
        <v>56</v>
      </c>
      <c r="B59" s="1" t="s">
        <v>373</v>
      </c>
      <c r="C59" s="1" t="s">
        <v>276</v>
      </c>
      <c r="D59" s="1" t="s">
        <v>723</v>
      </c>
      <c r="E59" s="1" t="s">
        <v>777</v>
      </c>
    </row>
    <row r="60" spans="1:5">
      <c r="A60" s="1">
        <v>57</v>
      </c>
      <c r="B60" s="1" t="s">
        <v>373</v>
      </c>
      <c r="C60" s="1" t="s">
        <v>276</v>
      </c>
      <c r="D60" s="1" t="s">
        <v>723</v>
      </c>
      <c r="E60" s="1" t="s">
        <v>778</v>
      </c>
    </row>
    <row r="61" spans="1:5">
      <c r="A61" s="1">
        <v>58</v>
      </c>
      <c r="B61" s="1" t="s">
        <v>373</v>
      </c>
      <c r="C61" s="1" t="s">
        <v>276</v>
      </c>
      <c r="D61" s="1" t="s">
        <v>723</v>
      </c>
      <c r="E61" s="1" t="s">
        <v>779</v>
      </c>
    </row>
    <row r="62" spans="1:5">
      <c r="A62" s="1">
        <v>59</v>
      </c>
      <c r="B62" s="1" t="s">
        <v>373</v>
      </c>
      <c r="C62" s="1" t="s">
        <v>276</v>
      </c>
      <c r="D62" s="1" t="s">
        <v>723</v>
      </c>
      <c r="E62" s="1" t="s">
        <v>780</v>
      </c>
    </row>
    <row r="63" spans="1:5">
      <c r="A63" s="1">
        <v>60</v>
      </c>
      <c r="B63" s="1" t="s">
        <v>373</v>
      </c>
      <c r="C63" s="1" t="s">
        <v>276</v>
      </c>
      <c r="D63" s="1" t="s">
        <v>723</v>
      </c>
      <c r="E63" s="1" t="s">
        <v>781</v>
      </c>
    </row>
    <row r="64" spans="1:5">
      <c r="A64" s="1">
        <v>61</v>
      </c>
      <c r="B64" s="1" t="s">
        <v>373</v>
      </c>
      <c r="C64" s="1" t="s">
        <v>276</v>
      </c>
      <c r="D64" s="1" t="s">
        <v>723</v>
      </c>
      <c r="E64" s="1" t="s">
        <v>782</v>
      </c>
    </row>
    <row r="65" spans="1:5">
      <c r="A65" s="1">
        <v>62</v>
      </c>
      <c r="B65" s="1" t="s">
        <v>373</v>
      </c>
      <c r="C65" s="1" t="s">
        <v>276</v>
      </c>
      <c r="D65" s="1" t="s">
        <v>723</v>
      </c>
      <c r="E65" s="1" t="s">
        <v>783</v>
      </c>
    </row>
    <row r="66" spans="1:5">
      <c r="A66" s="1">
        <v>63</v>
      </c>
      <c r="B66" s="1" t="s">
        <v>373</v>
      </c>
      <c r="C66" s="1" t="s">
        <v>276</v>
      </c>
      <c r="D66" s="1" t="s">
        <v>723</v>
      </c>
      <c r="E66" s="1" t="s">
        <v>784</v>
      </c>
    </row>
    <row r="67" spans="1:5">
      <c r="A67" s="1">
        <v>64</v>
      </c>
      <c r="B67" s="1" t="s">
        <v>373</v>
      </c>
      <c r="C67" s="1" t="s">
        <v>276</v>
      </c>
      <c r="D67" s="1" t="s">
        <v>723</v>
      </c>
      <c r="E67" s="1" t="s">
        <v>785</v>
      </c>
    </row>
    <row r="68" spans="1:5">
      <c r="A68" s="1">
        <v>65</v>
      </c>
      <c r="B68" s="1" t="s">
        <v>373</v>
      </c>
      <c r="C68" s="1" t="s">
        <v>276</v>
      </c>
      <c r="D68" s="1" t="s">
        <v>723</v>
      </c>
      <c r="E68" s="1" t="s">
        <v>786</v>
      </c>
    </row>
    <row r="69" spans="1:5">
      <c r="A69" s="1">
        <v>66</v>
      </c>
      <c r="B69" s="1" t="s">
        <v>373</v>
      </c>
      <c r="C69" s="1" t="s">
        <v>276</v>
      </c>
      <c r="D69" s="1" t="s">
        <v>723</v>
      </c>
      <c r="E69" s="1" t="s">
        <v>787</v>
      </c>
    </row>
    <row r="70" spans="1:5">
      <c r="A70" s="1">
        <v>67</v>
      </c>
      <c r="B70" s="1" t="s">
        <v>788</v>
      </c>
      <c r="C70" s="1" t="s">
        <v>271</v>
      </c>
      <c r="D70" s="1" t="s">
        <v>723</v>
      </c>
      <c r="E70" s="1" t="s">
        <v>789</v>
      </c>
    </row>
    <row r="71" spans="1:5">
      <c r="A71" s="1">
        <v>68</v>
      </c>
      <c r="B71" s="1" t="s">
        <v>788</v>
      </c>
      <c r="C71" s="1" t="s">
        <v>271</v>
      </c>
      <c r="D71" s="1" t="s">
        <v>723</v>
      </c>
      <c r="E71" s="1" t="s">
        <v>790</v>
      </c>
    </row>
    <row r="72" spans="1:5">
      <c r="A72" s="1">
        <v>69</v>
      </c>
      <c r="B72" s="1" t="s">
        <v>788</v>
      </c>
      <c r="C72" s="1" t="s">
        <v>271</v>
      </c>
      <c r="D72" s="1" t="s">
        <v>723</v>
      </c>
      <c r="E72" s="1" t="s">
        <v>791</v>
      </c>
    </row>
    <row r="73" spans="1:5">
      <c r="A73" s="1">
        <v>70</v>
      </c>
      <c r="B73" s="1" t="s">
        <v>788</v>
      </c>
      <c r="C73" s="1" t="s">
        <v>271</v>
      </c>
      <c r="D73" s="1" t="s">
        <v>723</v>
      </c>
      <c r="E73" s="1" t="s">
        <v>792</v>
      </c>
    </row>
    <row r="74" spans="1:5">
      <c r="A74" s="1">
        <v>71</v>
      </c>
      <c r="B74" s="1" t="s">
        <v>788</v>
      </c>
      <c r="C74" s="1" t="s">
        <v>271</v>
      </c>
      <c r="D74" s="1" t="s">
        <v>723</v>
      </c>
      <c r="E74" s="1" t="s">
        <v>793</v>
      </c>
    </row>
    <row r="75" spans="1:5">
      <c r="A75" s="1">
        <v>72</v>
      </c>
      <c r="B75" s="1" t="s">
        <v>788</v>
      </c>
      <c r="C75" s="1" t="s">
        <v>271</v>
      </c>
      <c r="D75" s="1" t="s">
        <v>723</v>
      </c>
      <c r="E75" s="1" t="s">
        <v>794</v>
      </c>
    </row>
    <row r="76" spans="1:5">
      <c r="A76" s="1">
        <v>73</v>
      </c>
      <c r="B76" s="1" t="s">
        <v>788</v>
      </c>
      <c r="C76" s="1" t="s">
        <v>271</v>
      </c>
      <c r="D76" s="1" t="s">
        <v>723</v>
      </c>
      <c r="E76" s="1" t="s">
        <v>795</v>
      </c>
    </row>
    <row r="77" spans="1:5">
      <c r="A77" s="1">
        <v>74</v>
      </c>
      <c r="B77" s="1" t="s">
        <v>788</v>
      </c>
      <c r="C77" s="1" t="s">
        <v>271</v>
      </c>
      <c r="D77" s="1" t="s">
        <v>723</v>
      </c>
      <c r="E77" s="1" t="s">
        <v>796</v>
      </c>
    </row>
    <row r="78" spans="1:5">
      <c r="A78" s="1">
        <v>75</v>
      </c>
      <c r="B78" s="1" t="s">
        <v>788</v>
      </c>
      <c r="C78" s="1" t="s">
        <v>271</v>
      </c>
      <c r="D78" s="1" t="s">
        <v>723</v>
      </c>
      <c r="E78" s="1" t="s">
        <v>797</v>
      </c>
    </row>
    <row r="79" spans="1:5">
      <c r="A79" s="1">
        <v>76</v>
      </c>
      <c r="B79" s="1" t="s">
        <v>788</v>
      </c>
      <c r="C79" s="1" t="s">
        <v>271</v>
      </c>
      <c r="D79" s="1" t="s">
        <v>723</v>
      </c>
      <c r="E79" s="1" t="s">
        <v>798</v>
      </c>
    </row>
    <row r="80" spans="1:5">
      <c r="A80" s="1">
        <v>77</v>
      </c>
      <c r="B80" s="1" t="s">
        <v>788</v>
      </c>
      <c r="C80" s="1" t="s">
        <v>271</v>
      </c>
      <c r="D80" s="1" t="s">
        <v>723</v>
      </c>
      <c r="E80" s="1" t="s">
        <v>799</v>
      </c>
    </row>
    <row r="81" spans="1:5">
      <c r="A81" s="1">
        <v>78</v>
      </c>
      <c r="B81" s="1" t="s">
        <v>788</v>
      </c>
      <c r="C81" s="1" t="s">
        <v>272</v>
      </c>
      <c r="D81" s="1" t="s">
        <v>723</v>
      </c>
      <c r="E81" s="1" t="s">
        <v>800</v>
      </c>
    </row>
    <row r="82" spans="1:5">
      <c r="A82" s="1">
        <v>79</v>
      </c>
      <c r="B82" s="1" t="s">
        <v>788</v>
      </c>
      <c r="C82" s="1" t="s">
        <v>272</v>
      </c>
      <c r="D82" s="1" t="s">
        <v>723</v>
      </c>
      <c r="E82" s="1" t="s">
        <v>801</v>
      </c>
    </row>
    <row r="83" spans="1:5">
      <c r="A83" s="1">
        <v>80</v>
      </c>
      <c r="B83" s="1" t="s">
        <v>788</v>
      </c>
      <c r="C83" s="1" t="s">
        <v>272</v>
      </c>
      <c r="D83" s="1" t="s">
        <v>723</v>
      </c>
      <c r="E83" s="1" t="s">
        <v>802</v>
      </c>
    </row>
    <row r="84" spans="1:5">
      <c r="A84" s="1">
        <v>81</v>
      </c>
      <c r="B84" s="1" t="s">
        <v>788</v>
      </c>
      <c r="C84" s="1" t="s">
        <v>272</v>
      </c>
      <c r="D84" s="1" t="s">
        <v>723</v>
      </c>
      <c r="E84" s="1" t="s">
        <v>803</v>
      </c>
    </row>
    <row r="85" spans="1:5">
      <c r="A85" s="1">
        <v>82</v>
      </c>
      <c r="B85" s="1" t="s">
        <v>788</v>
      </c>
      <c r="C85" s="1" t="s">
        <v>272</v>
      </c>
      <c r="D85" s="1" t="s">
        <v>723</v>
      </c>
      <c r="E85" s="1" t="s">
        <v>804</v>
      </c>
    </row>
    <row r="86" spans="1:5">
      <c r="A86" s="1">
        <v>83</v>
      </c>
      <c r="B86" s="1" t="s">
        <v>788</v>
      </c>
      <c r="C86" s="1" t="s">
        <v>272</v>
      </c>
      <c r="D86" s="1" t="s">
        <v>723</v>
      </c>
      <c r="E86" s="1" t="s">
        <v>805</v>
      </c>
    </row>
    <row r="87" spans="1:5">
      <c r="A87" s="1">
        <v>84</v>
      </c>
      <c r="B87" s="1" t="s">
        <v>788</v>
      </c>
      <c r="C87" s="1" t="s">
        <v>272</v>
      </c>
      <c r="D87" s="1" t="s">
        <v>723</v>
      </c>
      <c r="E87" s="1" t="s">
        <v>806</v>
      </c>
    </row>
    <row r="88" spans="1:5">
      <c r="A88" s="1">
        <v>85</v>
      </c>
      <c r="B88" s="1" t="s">
        <v>788</v>
      </c>
      <c r="C88" s="1" t="s">
        <v>272</v>
      </c>
      <c r="D88" s="1" t="s">
        <v>723</v>
      </c>
      <c r="E88" s="1" t="s">
        <v>807</v>
      </c>
    </row>
    <row r="89" spans="1:5">
      <c r="A89" s="1">
        <v>86</v>
      </c>
      <c r="B89" s="1" t="s">
        <v>788</v>
      </c>
      <c r="C89" s="1" t="s">
        <v>272</v>
      </c>
      <c r="D89" s="1" t="s">
        <v>723</v>
      </c>
      <c r="E89" s="1" t="s">
        <v>808</v>
      </c>
    </row>
    <row r="90" spans="1:5">
      <c r="A90" s="1">
        <v>87</v>
      </c>
      <c r="B90" s="1" t="s">
        <v>788</v>
      </c>
      <c r="C90" s="1" t="s">
        <v>272</v>
      </c>
      <c r="D90" s="1" t="s">
        <v>723</v>
      </c>
      <c r="E90" s="1" t="s">
        <v>809</v>
      </c>
    </row>
    <row r="91" spans="1:5">
      <c r="A91" s="1">
        <v>88</v>
      </c>
      <c r="B91" s="1" t="s">
        <v>788</v>
      </c>
      <c r="C91" s="1" t="s">
        <v>272</v>
      </c>
      <c r="D91" s="1" t="s">
        <v>723</v>
      </c>
      <c r="E91" s="1" t="s">
        <v>810</v>
      </c>
    </row>
    <row r="92" spans="1:5">
      <c r="A92" s="1">
        <v>89</v>
      </c>
      <c r="B92" s="1" t="s">
        <v>788</v>
      </c>
      <c r="C92" s="1" t="s">
        <v>273</v>
      </c>
      <c r="D92" s="1" t="s">
        <v>723</v>
      </c>
      <c r="E92" s="1" t="s">
        <v>811</v>
      </c>
    </row>
    <row r="93" spans="1:5">
      <c r="A93" s="1">
        <v>90</v>
      </c>
      <c r="B93" s="1" t="s">
        <v>788</v>
      </c>
      <c r="C93" s="1" t="s">
        <v>273</v>
      </c>
      <c r="D93" s="1" t="s">
        <v>723</v>
      </c>
      <c r="E93" s="1" t="s">
        <v>812</v>
      </c>
    </row>
    <row r="94" spans="1:5">
      <c r="A94" s="1">
        <v>91</v>
      </c>
      <c r="B94" s="1" t="s">
        <v>788</v>
      </c>
      <c r="C94" s="1" t="s">
        <v>273</v>
      </c>
      <c r="D94" s="1" t="s">
        <v>723</v>
      </c>
      <c r="E94" s="1" t="s">
        <v>813</v>
      </c>
    </row>
    <row r="95" spans="1:5">
      <c r="A95" s="1">
        <v>92</v>
      </c>
      <c r="B95" s="1" t="s">
        <v>788</v>
      </c>
      <c r="C95" s="1" t="s">
        <v>273</v>
      </c>
      <c r="D95" s="1" t="s">
        <v>723</v>
      </c>
      <c r="E95" s="1" t="s">
        <v>814</v>
      </c>
    </row>
    <row r="96" spans="1:5">
      <c r="A96" s="1">
        <v>93</v>
      </c>
      <c r="B96" s="1" t="s">
        <v>788</v>
      </c>
      <c r="C96" s="1" t="s">
        <v>273</v>
      </c>
      <c r="D96" s="1" t="s">
        <v>723</v>
      </c>
      <c r="E96" s="1" t="s">
        <v>815</v>
      </c>
    </row>
    <row r="97" spans="1:5">
      <c r="A97" s="1">
        <v>94</v>
      </c>
      <c r="B97" s="1" t="s">
        <v>788</v>
      </c>
      <c r="C97" s="1" t="s">
        <v>273</v>
      </c>
      <c r="D97" s="1" t="s">
        <v>723</v>
      </c>
      <c r="E97" s="1" t="s">
        <v>816</v>
      </c>
    </row>
    <row r="98" spans="1:5">
      <c r="A98" s="1">
        <v>95</v>
      </c>
      <c r="B98" s="1" t="s">
        <v>788</v>
      </c>
      <c r="C98" s="1" t="s">
        <v>273</v>
      </c>
      <c r="D98" s="1" t="s">
        <v>723</v>
      </c>
      <c r="E98" s="1" t="s">
        <v>817</v>
      </c>
    </row>
    <row r="99" spans="1:5">
      <c r="A99" s="1">
        <v>96</v>
      </c>
      <c r="B99" s="1" t="s">
        <v>788</v>
      </c>
      <c r="C99" s="1" t="s">
        <v>273</v>
      </c>
      <c r="D99" s="1" t="s">
        <v>723</v>
      </c>
      <c r="E99" s="1" t="s">
        <v>818</v>
      </c>
    </row>
    <row r="100" spans="1:5">
      <c r="A100" s="1">
        <v>97</v>
      </c>
      <c r="B100" s="1" t="s">
        <v>788</v>
      </c>
      <c r="C100" s="1" t="s">
        <v>273</v>
      </c>
      <c r="D100" s="1" t="s">
        <v>723</v>
      </c>
      <c r="E100" s="1" t="s">
        <v>819</v>
      </c>
    </row>
    <row r="101" spans="1:5">
      <c r="A101" s="1">
        <v>98</v>
      </c>
      <c r="B101" s="1" t="s">
        <v>788</v>
      </c>
      <c r="C101" s="1" t="s">
        <v>273</v>
      </c>
      <c r="D101" s="1" t="s">
        <v>723</v>
      </c>
      <c r="E101" s="1" t="s">
        <v>820</v>
      </c>
    </row>
    <row r="102" spans="1:5">
      <c r="A102" s="1">
        <v>99</v>
      </c>
      <c r="B102" s="1" t="s">
        <v>788</v>
      </c>
      <c r="C102" s="1" t="s">
        <v>273</v>
      </c>
      <c r="D102" s="1" t="s">
        <v>723</v>
      </c>
      <c r="E102" s="1" t="s">
        <v>821</v>
      </c>
    </row>
    <row r="103" spans="1:5">
      <c r="A103" s="1">
        <v>100</v>
      </c>
      <c r="B103" s="1" t="s">
        <v>788</v>
      </c>
      <c r="C103" s="1" t="s">
        <v>274</v>
      </c>
      <c r="D103" s="1" t="s">
        <v>723</v>
      </c>
      <c r="E103" s="1" t="s">
        <v>822</v>
      </c>
    </row>
    <row r="104" spans="1:5">
      <c r="A104" s="1">
        <v>101</v>
      </c>
      <c r="B104" s="1" t="s">
        <v>788</v>
      </c>
      <c r="C104" s="1" t="s">
        <v>274</v>
      </c>
      <c r="D104" s="1" t="s">
        <v>723</v>
      </c>
      <c r="E104" s="1" t="s">
        <v>823</v>
      </c>
    </row>
    <row r="105" spans="1:5">
      <c r="A105" s="1">
        <v>102</v>
      </c>
      <c r="B105" s="1" t="s">
        <v>788</v>
      </c>
      <c r="C105" s="1" t="s">
        <v>274</v>
      </c>
      <c r="D105" s="1" t="s">
        <v>723</v>
      </c>
      <c r="E105" s="1" t="s">
        <v>824</v>
      </c>
    </row>
    <row r="106" spans="1:5">
      <c r="A106" s="1">
        <v>103</v>
      </c>
      <c r="B106" s="1" t="s">
        <v>788</v>
      </c>
      <c r="C106" s="1" t="s">
        <v>274</v>
      </c>
      <c r="D106" s="1" t="s">
        <v>723</v>
      </c>
      <c r="E106" s="1" t="s">
        <v>825</v>
      </c>
    </row>
    <row r="107" spans="1:5">
      <c r="A107" s="1">
        <v>104</v>
      </c>
      <c r="B107" s="1" t="s">
        <v>788</v>
      </c>
      <c r="C107" s="1" t="s">
        <v>274</v>
      </c>
      <c r="D107" s="1" t="s">
        <v>723</v>
      </c>
      <c r="E107" s="1" t="s">
        <v>826</v>
      </c>
    </row>
    <row r="108" spans="1:5">
      <c r="A108" s="1">
        <v>105</v>
      </c>
      <c r="B108" s="1" t="s">
        <v>788</v>
      </c>
      <c r="C108" s="1" t="s">
        <v>274</v>
      </c>
      <c r="D108" s="1" t="s">
        <v>723</v>
      </c>
      <c r="E108" s="1" t="s">
        <v>827</v>
      </c>
    </row>
    <row r="109" spans="1:5">
      <c r="A109" s="1">
        <v>106</v>
      </c>
      <c r="B109" s="1" t="s">
        <v>788</v>
      </c>
      <c r="C109" s="1" t="s">
        <v>274</v>
      </c>
      <c r="D109" s="1" t="s">
        <v>723</v>
      </c>
      <c r="E109" s="1" t="s">
        <v>828</v>
      </c>
    </row>
    <row r="110" spans="1:5">
      <c r="A110" s="1">
        <v>107</v>
      </c>
      <c r="B110" s="1" t="s">
        <v>788</v>
      </c>
      <c r="C110" s="1" t="s">
        <v>274</v>
      </c>
      <c r="D110" s="1" t="s">
        <v>723</v>
      </c>
      <c r="E110" s="1" t="s">
        <v>829</v>
      </c>
    </row>
    <row r="111" spans="1:5">
      <c r="A111" s="1">
        <v>108</v>
      </c>
      <c r="B111" s="1" t="s">
        <v>788</v>
      </c>
      <c r="C111" s="1" t="s">
        <v>274</v>
      </c>
      <c r="D111" s="1" t="s">
        <v>723</v>
      </c>
      <c r="E111" s="1" t="s">
        <v>830</v>
      </c>
    </row>
    <row r="112" spans="1:5" ht="28">
      <c r="A112" s="1">
        <v>109</v>
      </c>
      <c r="B112" s="1" t="s">
        <v>788</v>
      </c>
      <c r="C112" s="1" t="s">
        <v>274</v>
      </c>
      <c r="D112" s="1" t="s">
        <v>723</v>
      </c>
      <c r="E112" s="1" t="s">
        <v>831</v>
      </c>
    </row>
    <row r="113" spans="1:5">
      <c r="A113" s="1">
        <v>110</v>
      </c>
      <c r="B113" s="1" t="s">
        <v>788</v>
      </c>
      <c r="C113" s="1" t="s">
        <v>274</v>
      </c>
      <c r="D113" s="1" t="s">
        <v>723</v>
      </c>
      <c r="E113" s="1" t="s">
        <v>832</v>
      </c>
    </row>
    <row r="114" spans="1:5" ht="28">
      <c r="A114" s="1">
        <v>111</v>
      </c>
      <c r="B114" s="1" t="s">
        <v>788</v>
      </c>
      <c r="C114" s="1" t="s">
        <v>275</v>
      </c>
      <c r="D114" s="1" t="s">
        <v>723</v>
      </c>
      <c r="E114" s="1" t="s">
        <v>833</v>
      </c>
    </row>
    <row r="115" spans="1:5">
      <c r="A115" s="1">
        <v>112</v>
      </c>
      <c r="B115" s="1" t="s">
        <v>788</v>
      </c>
      <c r="C115" s="1" t="s">
        <v>275</v>
      </c>
      <c r="D115" s="1" t="s">
        <v>723</v>
      </c>
      <c r="E115" s="1" t="s">
        <v>834</v>
      </c>
    </row>
    <row r="116" spans="1:5">
      <c r="A116" s="1">
        <v>113</v>
      </c>
      <c r="B116" s="1" t="s">
        <v>788</v>
      </c>
      <c r="C116" s="1" t="s">
        <v>275</v>
      </c>
      <c r="D116" s="1" t="s">
        <v>723</v>
      </c>
      <c r="E116" s="1" t="s">
        <v>835</v>
      </c>
    </row>
    <row r="117" spans="1:5">
      <c r="A117" s="1">
        <v>114</v>
      </c>
      <c r="B117" s="1" t="s">
        <v>788</v>
      </c>
      <c r="C117" s="1" t="s">
        <v>275</v>
      </c>
      <c r="D117" s="1" t="s">
        <v>723</v>
      </c>
      <c r="E117" s="1" t="s">
        <v>836</v>
      </c>
    </row>
    <row r="118" spans="1:5">
      <c r="A118" s="1">
        <v>115</v>
      </c>
      <c r="B118" s="1" t="s">
        <v>788</v>
      </c>
      <c r="C118" s="1" t="s">
        <v>275</v>
      </c>
      <c r="D118" s="1" t="s">
        <v>723</v>
      </c>
      <c r="E118" s="1" t="s">
        <v>837</v>
      </c>
    </row>
    <row r="119" spans="1:5">
      <c r="A119" s="1">
        <v>116</v>
      </c>
      <c r="B119" s="1" t="s">
        <v>788</v>
      </c>
      <c r="C119" s="1" t="s">
        <v>275</v>
      </c>
      <c r="D119" s="1" t="s">
        <v>723</v>
      </c>
      <c r="E119" s="1" t="s">
        <v>838</v>
      </c>
    </row>
    <row r="120" spans="1:5">
      <c r="A120" s="1">
        <v>117</v>
      </c>
      <c r="B120" s="1" t="s">
        <v>788</v>
      </c>
      <c r="C120" s="1" t="s">
        <v>275</v>
      </c>
      <c r="D120" s="1" t="s">
        <v>723</v>
      </c>
      <c r="E120" s="1" t="s">
        <v>839</v>
      </c>
    </row>
    <row r="121" spans="1:5">
      <c r="A121" s="1">
        <v>118</v>
      </c>
      <c r="B121" s="1" t="s">
        <v>788</v>
      </c>
      <c r="C121" s="1" t="s">
        <v>275</v>
      </c>
      <c r="D121" s="1" t="s">
        <v>723</v>
      </c>
      <c r="E121" s="1" t="s">
        <v>840</v>
      </c>
    </row>
    <row r="122" spans="1:5">
      <c r="A122" s="1">
        <v>119</v>
      </c>
      <c r="B122" s="1" t="s">
        <v>788</v>
      </c>
      <c r="C122" s="1" t="s">
        <v>275</v>
      </c>
      <c r="D122" s="1" t="s">
        <v>723</v>
      </c>
      <c r="E122" s="1" t="s">
        <v>841</v>
      </c>
    </row>
    <row r="123" spans="1:5">
      <c r="A123" s="1">
        <v>120</v>
      </c>
      <c r="B123" s="1" t="s">
        <v>788</v>
      </c>
      <c r="C123" s="1" t="s">
        <v>275</v>
      </c>
      <c r="D123" s="1" t="s">
        <v>723</v>
      </c>
      <c r="E123" s="1" t="s">
        <v>842</v>
      </c>
    </row>
    <row r="124" spans="1:5">
      <c r="A124" s="1">
        <v>121</v>
      </c>
      <c r="B124" s="1" t="s">
        <v>788</v>
      </c>
      <c r="C124" s="1" t="s">
        <v>275</v>
      </c>
      <c r="D124" s="1" t="s">
        <v>723</v>
      </c>
      <c r="E124" s="1" t="s">
        <v>843</v>
      </c>
    </row>
    <row r="125" spans="1:5">
      <c r="A125" s="1">
        <v>122</v>
      </c>
      <c r="B125" s="1" t="s">
        <v>788</v>
      </c>
      <c r="C125" s="1" t="s">
        <v>276</v>
      </c>
      <c r="D125" s="1" t="s">
        <v>723</v>
      </c>
      <c r="E125" s="1" t="s">
        <v>844</v>
      </c>
    </row>
    <row r="126" spans="1:5">
      <c r="A126" s="1">
        <v>123</v>
      </c>
      <c r="B126" s="1" t="s">
        <v>788</v>
      </c>
      <c r="C126" s="1" t="s">
        <v>276</v>
      </c>
      <c r="D126" s="1" t="s">
        <v>723</v>
      </c>
      <c r="E126" s="1" t="s">
        <v>845</v>
      </c>
    </row>
    <row r="127" spans="1:5">
      <c r="A127" s="1">
        <v>124</v>
      </c>
      <c r="B127" s="1" t="s">
        <v>788</v>
      </c>
      <c r="C127" s="1" t="s">
        <v>276</v>
      </c>
      <c r="D127" s="1" t="s">
        <v>723</v>
      </c>
      <c r="E127" s="1" t="s">
        <v>846</v>
      </c>
    </row>
    <row r="128" spans="1:5">
      <c r="A128" s="1">
        <v>125</v>
      </c>
      <c r="B128" s="1" t="s">
        <v>788</v>
      </c>
      <c r="C128" s="1" t="s">
        <v>276</v>
      </c>
      <c r="D128" s="1" t="s">
        <v>723</v>
      </c>
      <c r="E128" s="1" t="s">
        <v>847</v>
      </c>
    </row>
    <row r="129" spans="1:5">
      <c r="A129" s="1">
        <v>126</v>
      </c>
      <c r="B129" s="1" t="s">
        <v>788</v>
      </c>
      <c r="C129" s="1" t="s">
        <v>276</v>
      </c>
      <c r="D129" s="1" t="s">
        <v>723</v>
      </c>
      <c r="E129" s="1" t="s">
        <v>848</v>
      </c>
    </row>
    <row r="130" spans="1:5">
      <c r="A130" s="1">
        <v>127</v>
      </c>
      <c r="B130" s="1" t="s">
        <v>788</v>
      </c>
      <c r="C130" s="1" t="s">
        <v>276</v>
      </c>
      <c r="D130" s="1" t="s">
        <v>723</v>
      </c>
      <c r="E130" s="1" t="s">
        <v>849</v>
      </c>
    </row>
    <row r="131" spans="1:5">
      <c r="A131" s="1">
        <v>128</v>
      </c>
      <c r="B131" s="1" t="s">
        <v>788</v>
      </c>
      <c r="C131" s="1" t="s">
        <v>276</v>
      </c>
      <c r="D131" s="1" t="s">
        <v>723</v>
      </c>
      <c r="E131" s="1" t="s">
        <v>850</v>
      </c>
    </row>
    <row r="132" spans="1:5">
      <c r="A132" s="1">
        <v>129</v>
      </c>
      <c r="B132" s="1" t="s">
        <v>788</v>
      </c>
      <c r="C132" s="1" t="s">
        <v>276</v>
      </c>
      <c r="D132" s="1" t="s">
        <v>723</v>
      </c>
      <c r="E132" s="1" t="s">
        <v>851</v>
      </c>
    </row>
    <row r="133" spans="1:5">
      <c r="A133" s="1">
        <v>130</v>
      </c>
      <c r="B133" s="1" t="s">
        <v>788</v>
      </c>
      <c r="C133" s="1" t="s">
        <v>276</v>
      </c>
      <c r="D133" s="1" t="s">
        <v>723</v>
      </c>
      <c r="E133" t="s">
        <v>984</v>
      </c>
    </row>
    <row r="134" spans="1:5">
      <c r="A134" s="1">
        <v>131</v>
      </c>
      <c r="B134" s="1" t="s">
        <v>788</v>
      </c>
      <c r="C134" s="1" t="s">
        <v>276</v>
      </c>
      <c r="D134" s="1" t="s">
        <v>723</v>
      </c>
      <c r="E134" s="1" t="s">
        <v>852</v>
      </c>
    </row>
    <row r="135" spans="1:5">
      <c r="A135" s="1">
        <v>132</v>
      </c>
      <c r="B135" s="1" t="s">
        <v>788</v>
      </c>
      <c r="C135" s="1" t="s">
        <v>276</v>
      </c>
      <c r="D135" s="1" t="s">
        <v>723</v>
      </c>
      <c r="E135" s="1" t="s">
        <v>853</v>
      </c>
    </row>
    <row r="136" spans="1:5">
      <c r="A136" s="1">
        <v>133</v>
      </c>
      <c r="B136" s="1" t="s">
        <v>375</v>
      </c>
      <c r="C136" s="1" t="s">
        <v>271</v>
      </c>
      <c r="D136" s="1" t="s">
        <v>723</v>
      </c>
      <c r="E136" s="1" t="s">
        <v>854</v>
      </c>
    </row>
    <row r="137" spans="1:5">
      <c r="A137" s="1">
        <v>134</v>
      </c>
      <c r="B137" s="1" t="s">
        <v>375</v>
      </c>
      <c r="C137" s="1" t="s">
        <v>271</v>
      </c>
      <c r="D137" s="1" t="s">
        <v>723</v>
      </c>
      <c r="E137" s="1" t="s">
        <v>855</v>
      </c>
    </row>
    <row r="138" spans="1:5">
      <c r="A138" s="1">
        <v>135</v>
      </c>
      <c r="B138" s="1" t="s">
        <v>375</v>
      </c>
      <c r="C138" s="1" t="s">
        <v>271</v>
      </c>
      <c r="D138" s="1" t="s">
        <v>723</v>
      </c>
      <c r="E138" s="1" t="s">
        <v>856</v>
      </c>
    </row>
    <row r="139" spans="1:5">
      <c r="A139" s="1">
        <v>136</v>
      </c>
      <c r="B139" s="1" t="s">
        <v>375</v>
      </c>
      <c r="C139" s="1" t="s">
        <v>271</v>
      </c>
      <c r="D139" s="1" t="s">
        <v>723</v>
      </c>
      <c r="E139" s="1" t="s">
        <v>857</v>
      </c>
    </row>
    <row r="140" spans="1:5">
      <c r="A140" s="1">
        <v>137</v>
      </c>
      <c r="B140" s="1" t="s">
        <v>375</v>
      </c>
      <c r="C140" s="1" t="s">
        <v>271</v>
      </c>
      <c r="D140" s="1" t="s">
        <v>723</v>
      </c>
      <c r="E140" s="1" t="s">
        <v>858</v>
      </c>
    </row>
    <row r="141" spans="1:5">
      <c r="A141" s="1">
        <v>138</v>
      </c>
      <c r="B141" s="1" t="s">
        <v>375</v>
      </c>
      <c r="C141" s="1" t="s">
        <v>271</v>
      </c>
      <c r="D141" s="1" t="s">
        <v>723</v>
      </c>
      <c r="E141" s="1" t="s">
        <v>859</v>
      </c>
    </row>
    <row r="142" spans="1:5">
      <c r="A142" s="1">
        <v>139</v>
      </c>
      <c r="B142" s="1" t="s">
        <v>375</v>
      </c>
      <c r="C142" s="1" t="s">
        <v>271</v>
      </c>
      <c r="D142" s="1" t="s">
        <v>723</v>
      </c>
      <c r="E142" s="1" t="s">
        <v>860</v>
      </c>
    </row>
    <row r="143" spans="1:5">
      <c r="A143" s="1">
        <v>140</v>
      </c>
      <c r="B143" s="1" t="s">
        <v>375</v>
      </c>
      <c r="C143" s="1" t="s">
        <v>271</v>
      </c>
      <c r="D143" s="1" t="s">
        <v>723</v>
      </c>
      <c r="E143" s="1" t="s">
        <v>861</v>
      </c>
    </row>
    <row r="144" spans="1:5">
      <c r="A144" s="1">
        <v>141</v>
      </c>
      <c r="B144" s="1" t="s">
        <v>375</v>
      </c>
      <c r="C144" s="1" t="s">
        <v>271</v>
      </c>
      <c r="D144" s="1" t="s">
        <v>723</v>
      </c>
      <c r="E144" s="1" t="s">
        <v>862</v>
      </c>
    </row>
    <row r="145" spans="1:5">
      <c r="A145" s="1">
        <v>142</v>
      </c>
      <c r="B145" s="1" t="s">
        <v>375</v>
      </c>
      <c r="C145" s="1" t="s">
        <v>271</v>
      </c>
      <c r="D145" s="1" t="s">
        <v>723</v>
      </c>
      <c r="E145" s="1" t="s">
        <v>863</v>
      </c>
    </row>
    <row r="146" spans="1:5">
      <c r="A146" s="1">
        <v>143</v>
      </c>
      <c r="B146" s="1" t="s">
        <v>375</v>
      </c>
      <c r="C146" s="1" t="s">
        <v>271</v>
      </c>
      <c r="D146" s="1" t="s">
        <v>723</v>
      </c>
      <c r="E146" s="1" t="s">
        <v>864</v>
      </c>
    </row>
    <row r="147" spans="1:5">
      <c r="A147" s="1">
        <v>144</v>
      </c>
      <c r="B147" s="1" t="s">
        <v>375</v>
      </c>
      <c r="C147" s="1" t="s">
        <v>271</v>
      </c>
      <c r="D147" s="1" t="s">
        <v>723</v>
      </c>
      <c r="E147" s="1" t="s">
        <v>865</v>
      </c>
    </row>
    <row r="148" spans="1:5">
      <c r="A148" s="1">
        <v>145</v>
      </c>
      <c r="B148" s="1" t="s">
        <v>375</v>
      </c>
      <c r="C148" s="1" t="s">
        <v>271</v>
      </c>
      <c r="D148" s="1" t="s">
        <v>723</v>
      </c>
      <c r="E148" s="1" t="s">
        <v>866</v>
      </c>
    </row>
    <row r="149" spans="1:5">
      <c r="A149" s="1">
        <v>146</v>
      </c>
      <c r="B149" s="1" t="s">
        <v>375</v>
      </c>
      <c r="C149" s="1" t="s">
        <v>271</v>
      </c>
      <c r="D149" s="1" t="s">
        <v>723</v>
      </c>
      <c r="E149" s="1" t="s">
        <v>867</v>
      </c>
    </row>
    <row r="150" spans="1:5">
      <c r="A150" s="1">
        <v>147</v>
      </c>
      <c r="B150" s="1" t="s">
        <v>375</v>
      </c>
      <c r="C150" s="1" t="s">
        <v>272</v>
      </c>
      <c r="D150" s="1" t="s">
        <v>723</v>
      </c>
      <c r="E150" s="1" t="s">
        <v>868</v>
      </c>
    </row>
    <row r="151" spans="1:5">
      <c r="A151" s="1">
        <v>148</v>
      </c>
      <c r="B151" s="1" t="s">
        <v>375</v>
      </c>
      <c r="C151" s="1" t="s">
        <v>272</v>
      </c>
      <c r="D151" s="1" t="s">
        <v>723</v>
      </c>
      <c r="E151" s="1" t="s">
        <v>869</v>
      </c>
    </row>
    <row r="152" spans="1:5">
      <c r="A152" s="1">
        <v>149</v>
      </c>
      <c r="B152" s="1" t="s">
        <v>375</v>
      </c>
      <c r="C152" s="1" t="s">
        <v>272</v>
      </c>
      <c r="D152" s="1" t="s">
        <v>723</v>
      </c>
      <c r="E152" s="1" t="s">
        <v>870</v>
      </c>
    </row>
    <row r="153" spans="1:5">
      <c r="A153" s="1">
        <v>150</v>
      </c>
      <c r="B153" s="1" t="s">
        <v>375</v>
      </c>
      <c r="C153" s="1" t="s">
        <v>272</v>
      </c>
      <c r="D153" s="1" t="s">
        <v>723</v>
      </c>
      <c r="E153" s="1" t="s">
        <v>871</v>
      </c>
    </row>
    <row r="154" spans="1:5">
      <c r="A154" s="1">
        <v>151</v>
      </c>
      <c r="B154" s="1" t="s">
        <v>375</v>
      </c>
      <c r="C154" s="1" t="s">
        <v>272</v>
      </c>
      <c r="D154" s="1" t="s">
        <v>723</v>
      </c>
      <c r="E154" s="1" t="s">
        <v>872</v>
      </c>
    </row>
    <row r="155" spans="1:5">
      <c r="A155" s="1">
        <v>152</v>
      </c>
      <c r="B155" s="1" t="s">
        <v>375</v>
      </c>
      <c r="C155" s="1" t="s">
        <v>272</v>
      </c>
      <c r="D155" s="1" t="s">
        <v>723</v>
      </c>
      <c r="E155" s="1" t="s">
        <v>873</v>
      </c>
    </row>
    <row r="156" spans="1:5">
      <c r="A156" s="1">
        <v>153</v>
      </c>
      <c r="B156" s="1" t="s">
        <v>375</v>
      </c>
      <c r="C156" s="1" t="s">
        <v>272</v>
      </c>
      <c r="D156" s="1" t="s">
        <v>723</v>
      </c>
      <c r="E156" s="1" t="s">
        <v>874</v>
      </c>
    </row>
    <row r="157" spans="1:5">
      <c r="A157" s="1">
        <v>154</v>
      </c>
      <c r="B157" s="1" t="s">
        <v>375</v>
      </c>
      <c r="C157" s="1" t="s">
        <v>272</v>
      </c>
      <c r="D157" s="1" t="s">
        <v>723</v>
      </c>
      <c r="E157" s="1" t="s">
        <v>875</v>
      </c>
    </row>
    <row r="158" spans="1:5">
      <c r="A158" s="1">
        <v>155</v>
      </c>
      <c r="B158" s="1" t="s">
        <v>375</v>
      </c>
      <c r="C158" s="1" t="s">
        <v>272</v>
      </c>
      <c r="D158" s="1" t="s">
        <v>723</v>
      </c>
      <c r="E158" s="1" t="s">
        <v>876</v>
      </c>
    </row>
    <row r="159" spans="1:5">
      <c r="A159" s="1">
        <v>156</v>
      </c>
      <c r="B159" s="1" t="s">
        <v>375</v>
      </c>
      <c r="C159" s="1" t="s">
        <v>272</v>
      </c>
      <c r="D159" s="1" t="s">
        <v>723</v>
      </c>
      <c r="E159" s="1" t="s">
        <v>877</v>
      </c>
    </row>
    <row r="160" spans="1:5">
      <c r="A160" s="1">
        <v>157</v>
      </c>
      <c r="B160" s="1" t="s">
        <v>375</v>
      </c>
      <c r="C160" s="1" t="s">
        <v>272</v>
      </c>
      <c r="D160" s="1" t="s">
        <v>723</v>
      </c>
      <c r="E160" s="1" t="s">
        <v>878</v>
      </c>
    </row>
    <row r="161" spans="1:5">
      <c r="A161" s="1">
        <v>158</v>
      </c>
      <c r="B161" s="1" t="s">
        <v>375</v>
      </c>
      <c r="C161" s="1" t="s">
        <v>272</v>
      </c>
      <c r="D161" s="1" t="s">
        <v>723</v>
      </c>
      <c r="E161" s="1" t="s">
        <v>879</v>
      </c>
    </row>
    <row r="162" spans="1:5">
      <c r="A162" s="1">
        <v>159</v>
      </c>
      <c r="B162" s="1" t="s">
        <v>375</v>
      </c>
      <c r="C162" s="1" t="s">
        <v>272</v>
      </c>
      <c r="D162" s="1" t="s">
        <v>723</v>
      </c>
      <c r="E162" s="1" t="s">
        <v>880</v>
      </c>
    </row>
    <row r="163" spans="1:5">
      <c r="A163" s="1">
        <v>160</v>
      </c>
      <c r="B163" s="1" t="s">
        <v>375</v>
      </c>
      <c r="C163" s="1" t="s">
        <v>272</v>
      </c>
      <c r="D163" s="1" t="s">
        <v>723</v>
      </c>
      <c r="E163" s="1" t="s">
        <v>881</v>
      </c>
    </row>
    <row r="164" spans="1:5">
      <c r="A164" s="1">
        <v>161</v>
      </c>
      <c r="B164" s="1" t="s">
        <v>375</v>
      </c>
      <c r="C164" s="1" t="s">
        <v>273</v>
      </c>
      <c r="D164" s="1" t="s">
        <v>723</v>
      </c>
      <c r="E164" s="1" t="s">
        <v>882</v>
      </c>
    </row>
    <row r="165" spans="1:5">
      <c r="A165" s="1">
        <v>162</v>
      </c>
      <c r="B165" s="1" t="s">
        <v>375</v>
      </c>
      <c r="C165" s="1" t="s">
        <v>273</v>
      </c>
      <c r="D165" s="1" t="s">
        <v>723</v>
      </c>
      <c r="E165" s="1" t="s">
        <v>883</v>
      </c>
    </row>
    <row r="166" spans="1:5">
      <c r="A166" s="1">
        <v>163</v>
      </c>
      <c r="B166" s="1" t="s">
        <v>375</v>
      </c>
      <c r="C166" s="1" t="s">
        <v>273</v>
      </c>
      <c r="D166" s="1" t="s">
        <v>723</v>
      </c>
      <c r="E166" s="1" t="s">
        <v>884</v>
      </c>
    </row>
    <row r="167" spans="1:5">
      <c r="A167" s="1">
        <v>164</v>
      </c>
      <c r="B167" s="1" t="s">
        <v>375</v>
      </c>
      <c r="C167" s="1" t="s">
        <v>273</v>
      </c>
      <c r="D167" s="1" t="s">
        <v>723</v>
      </c>
      <c r="E167" s="1" t="s">
        <v>885</v>
      </c>
    </row>
    <row r="168" spans="1:5">
      <c r="A168" s="1">
        <v>165</v>
      </c>
      <c r="B168" s="1" t="s">
        <v>375</v>
      </c>
      <c r="C168" s="1" t="s">
        <v>273</v>
      </c>
      <c r="D168" s="1" t="s">
        <v>723</v>
      </c>
      <c r="E168" s="1" t="s">
        <v>886</v>
      </c>
    </row>
    <row r="169" spans="1:5">
      <c r="A169" s="1">
        <v>166</v>
      </c>
      <c r="B169" s="1" t="s">
        <v>375</v>
      </c>
      <c r="C169" s="1" t="s">
        <v>273</v>
      </c>
      <c r="D169" s="1" t="s">
        <v>723</v>
      </c>
      <c r="E169" s="1" t="s">
        <v>887</v>
      </c>
    </row>
    <row r="170" spans="1:5">
      <c r="A170" s="1">
        <v>167</v>
      </c>
      <c r="B170" s="1" t="s">
        <v>375</v>
      </c>
      <c r="C170" s="1" t="s">
        <v>273</v>
      </c>
      <c r="D170" s="1" t="s">
        <v>723</v>
      </c>
      <c r="E170" s="1" t="s">
        <v>888</v>
      </c>
    </row>
    <row r="171" spans="1:5">
      <c r="A171" s="1">
        <v>168</v>
      </c>
      <c r="B171" s="1" t="s">
        <v>375</v>
      </c>
      <c r="C171" s="1" t="s">
        <v>273</v>
      </c>
      <c r="D171" s="1" t="s">
        <v>723</v>
      </c>
      <c r="E171" s="1" t="s">
        <v>889</v>
      </c>
    </row>
    <row r="172" spans="1:5">
      <c r="A172" s="1">
        <v>169</v>
      </c>
      <c r="B172" s="1" t="s">
        <v>375</v>
      </c>
      <c r="C172" s="1" t="s">
        <v>273</v>
      </c>
      <c r="D172" s="1" t="s">
        <v>723</v>
      </c>
      <c r="E172" s="1" t="s">
        <v>890</v>
      </c>
    </row>
    <row r="173" spans="1:5">
      <c r="A173" s="1">
        <v>170</v>
      </c>
      <c r="B173" s="1" t="s">
        <v>375</v>
      </c>
      <c r="C173" s="1" t="s">
        <v>273</v>
      </c>
      <c r="D173" s="1" t="s">
        <v>723</v>
      </c>
      <c r="E173" s="1" t="s">
        <v>891</v>
      </c>
    </row>
    <row r="174" spans="1:5">
      <c r="A174" s="1">
        <v>171</v>
      </c>
      <c r="B174" s="1" t="s">
        <v>375</v>
      </c>
      <c r="C174" s="1" t="s">
        <v>273</v>
      </c>
      <c r="D174" s="1" t="s">
        <v>723</v>
      </c>
      <c r="E174" s="1" t="s">
        <v>892</v>
      </c>
    </row>
    <row r="175" spans="1:5">
      <c r="A175" s="1">
        <v>172</v>
      </c>
      <c r="B175" s="1" t="s">
        <v>375</v>
      </c>
      <c r="C175" s="1" t="s">
        <v>273</v>
      </c>
      <c r="D175" s="1" t="s">
        <v>723</v>
      </c>
      <c r="E175" s="1" t="s">
        <v>893</v>
      </c>
    </row>
    <row r="176" spans="1:5">
      <c r="A176" s="1">
        <v>173</v>
      </c>
      <c r="B176" s="1" t="s">
        <v>375</v>
      </c>
      <c r="C176" s="1" t="s">
        <v>273</v>
      </c>
      <c r="D176" s="1" t="s">
        <v>723</v>
      </c>
      <c r="E176" s="1" t="s">
        <v>894</v>
      </c>
    </row>
    <row r="177" spans="1:5">
      <c r="A177" s="1">
        <v>174</v>
      </c>
      <c r="B177" s="1" t="s">
        <v>375</v>
      </c>
      <c r="C177" s="1" t="s">
        <v>273</v>
      </c>
      <c r="D177" s="1" t="s">
        <v>723</v>
      </c>
      <c r="E177" s="1" t="s">
        <v>895</v>
      </c>
    </row>
    <row r="178" spans="1:5">
      <c r="A178" s="1">
        <v>175</v>
      </c>
      <c r="B178" s="1" t="s">
        <v>375</v>
      </c>
      <c r="C178" s="1" t="s">
        <v>274</v>
      </c>
      <c r="D178" s="1" t="s">
        <v>723</v>
      </c>
      <c r="E178" s="1" t="s">
        <v>896</v>
      </c>
    </row>
    <row r="179" spans="1:5">
      <c r="A179" s="1">
        <v>176</v>
      </c>
      <c r="B179" s="1" t="s">
        <v>375</v>
      </c>
      <c r="C179" s="1" t="s">
        <v>274</v>
      </c>
      <c r="D179" s="1" t="s">
        <v>723</v>
      </c>
      <c r="E179" s="1" t="s">
        <v>897</v>
      </c>
    </row>
    <row r="180" spans="1:5">
      <c r="A180" s="1">
        <v>177</v>
      </c>
      <c r="B180" s="1" t="s">
        <v>375</v>
      </c>
      <c r="C180" s="1" t="s">
        <v>274</v>
      </c>
      <c r="D180" s="1" t="s">
        <v>723</v>
      </c>
      <c r="E180" s="1" t="s">
        <v>898</v>
      </c>
    </row>
    <row r="181" spans="1:5">
      <c r="A181" s="1">
        <v>178</v>
      </c>
      <c r="B181" s="1" t="s">
        <v>375</v>
      </c>
      <c r="C181" s="1" t="s">
        <v>274</v>
      </c>
      <c r="D181" s="1" t="s">
        <v>723</v>
      </c>
      <c r="E181" s="1" t="s">
        <v>899</v>
      </c>
    </row>
    <row r="182" spans="1:5">
      <c r="A182" s="1">
        <v>179</v>
      </c>
      <c r="B182" s="1" t="s">
        <v>375</v>
      </c>
      <c r="C182" s="1" t="s">
        <v>274</v>
      </c>
      <c r="D182" s="1" t="s">
        <v>723</v>
      </c>
      <c r="E182" s="1" t="s">
        <v>900</v>
      </c>
    </row>
    <row r="183" spans="1:5">
      <c r="A183" s="1">
        <v>180</v>
      </c>
      <c r="B183" s="1" t="s">
        <v>375</v>
      </c>
      <c r="C183" s="1" t="s">
        <v>274</v>
      </c>
      <c r="D183" s="1" t="s">
        <v>723</v>
      </c>
      <c r="E183" s="1" t="s">
        <v>901</v>
      </c>
    </row>
    <row r="184" spans="1:5">
      <c r="A184" s="1">
        <v>181</v>
      </c>
      <c r="B184" s="1" t="s">
        <v>375</v>
      </c>
      <c r="C184" s="1" t="s">
        <v>274</v>
      </c>
      <c r="D184" s="1" t="s">
        <v>723</v>
      </c>
      <c r="E184" s="1" t="s">
        <v>902</v>
      </c>
    </row>
    <row r="185" spans="1:5">
      <c r="A185" s="1">
        <v>182</v>
      </c>
      <c r="B185" s="1" t="s">
        <v>375</v>
      </c>
      <c r="C185" s="1" t="s">
        <v>274</v>
      </c>
      <c r="D185" s="1" t="s">
        <v>723</v>
      </c>
      <c r="E185" s="1" t="s">
        <v>903</v>
      </c>
    </row>
    <row r="186" spans="1:5">
      <c r="A186" s="1">
        <v>183</v>
      </c>
      <c r="B186" s="1" t="s">
        <v>375</v>
      </c>
      <c r="C186" s="1" t="s">
        <v>274</v>
      </c>
      <c r="D186" s="1" t="s">
        <v>723</v>
      </c>
      <c r="E186" s="1" t="s">
        <v>904</v>
      </c>
    </row>
    <row r="187" spans="1:5">
      <c r="A187" s="1">
        <v>184</v>
      </c>
      <c r="B187" s="1" t="s">
        <v>375</v>
      </c>
      <c r="C187" s="1" t="s">
        <v>274</v>
      </c>
      <c r="D187" s="1" t="s">
        <v>723</v>
      </c>
      <c r="E187" s="1" t="s">
        <v>905</v>
      </c>
    </row>
    <row r="188" spans="1:5">
      <c r="A188" s="1">
        <v>185</v>
      </c>
      <c r="B188" s="1" t="s">
        <v>375</v>
      </c>
      <c r="C188" s="1" t="s">
        <v>274</v>
      </c>
      <c r="D188" s="1" t="s">
        <v>723</v>
      </c>
      <c r="E188" s="1" t="s">
        <v>906</v>
      </c>
    </row>
    <row r="189" spans="1:5">
      <c r="A189" s="1">
        <v>186</v>
      </c>
      <c r="B189" s="1" t="s">
        <v>375</v>
      </c>
      <c r="C189" s="1" t="s">
        <v>274</v>
      </c>
      <c r="D189" s="1" t="s">
        <v>723</v>
      </c>
      <c r="E189" s="1" t="s">
        <v>907</v>
      </c>
    </row>
    <row r="190" spans="1:5">
      <c r="A190" s="1">
        <v>187</v>
      </c>
      <c r="B190" s="1" t="s">
        <v>375</v>
      </c>
      <c r="C190" s="1" t="s">
        <v>274</v>
      </c>
      <c r="D190" s="1" t="s">
        <v>723</v>
      </c>
      <c r="E190" s="1" t="s">
        <v>908</v>
      </c>
    </row>
    <row r="191" spans="1:5">
      <c r="A191" s="1">
        <v>188</v>
      </c>
      <c r="B191" s="1" t="s">
        <v>375</v>
      </c>
      <c r="C191" s="1" t="s">
        <v>274</v>
      </c>
      <c r="D191" s="1" t="s">
        <v>723</v>
      </c>
      <c r="E191" s="1" t="s">
        <v>909</v>
      </c>
    </row>
    <row r="192" spans="1:5">
      <c r="A192" s="1">
        <v>189</v>
      </c>
      <c r="B192" s="1" t="s">
        <v>375</v>
      </c>
      <c r="C192" s="1" t="s">
        <v>275</v>
      </c>
      <c r="D192" s="1" t="s">
        <v>723</v>
      </c>
      <c r="E192" s="1" t="s">
        <v>910</v>
      </c>
    </row>
    <row r="193" spans="1:5">
      <c r="A193" s="1">
        <v>190</v>
      </c>
      <c r="B193" s="1" t="s">
        <v>375</v>
      </c>
      <c r="C193" s="1" t="s">
        <v>275</v>
      </c>
      <c r="D193" s="1" t="s">
        <v>723</v>
      </c>
      <c r="E193" s="1" t="s">
        <v>911</v>
      </c>
    </row>
    <row r="194" spans="1:5">
      <c r="A194" s="1">
        <v>191</v>
      </c>
      <c r="B194" s="1" t="s">
        <v>375</v>
      </c>
      <c r="C194" s="1" t="s">
        <v>275</v>
      </c>
      <c r="D194" s="1" t="s">
        <v>723</v>
      </c>
      <c r="E194" s="1" t="s">
        <v>912</v>
      </c>
    </row>
    <row r="195" spans="1:5">
      <c r="A195" s="1">
        <v>192</v>
      </c>
      <c r="B195" s="1" t="s">
        <v>375</v>
      </c>
      <c r="C195" s="1" t="s">
        <v>275</v>
      </c>
      <c r="D195" s="1" t="s">
        <v>723</v>
      </c>
      <c r="E195" s="1" t="s">
        <v>913</v>
      </c>
    </row>
    <row r="196" spans="1:5">
      <c r="A196" s="1">
        <v>193</v>
      </c>
      <c r="B196" s="1" t="s">
        <v>375</v>
      </c>
      <c r="C196" s="1" t="s">
        <v>275</v>
      </c>
      <c r="D196" s="1" t="s">
        <v>723</v>
      </c>
      <c r="E196" s="1" t="s">
        <v>914</v>
      </c>
    </row>
    <row r="197" spans="1:5">
      <c r="A197" s="1">
        <v>194</v>
      </c>
      <c r="B197" s="1" t="s">
        <v>375</v>
      </c>
      <c r="C197" s="1" t="s">
        <v>275</v>
      </c>
      <c r="D197" s="1" t="s">
        <v>723</v>
      </c>
      <c r="E197" s="1" t="s">
        <v>915</v>
      </c>
    </row>
    <row r="198" spans="1:5">
      <c r="A198" s="1">
        <v>195</v>
      </c>
      <c r="B198" s="1" t="s">
        <v>375</v>
      </c>
      <c r="C198" s="1" t="s">
        <v>275</v>
      </c>
      <c r="D198" s="1" t="s">
        <v>723</v>
      </c>
      <c r="E198" s="1" t="s">
        <v>916</v>
      </c>
    </row>
    <row r="199" spans="1:5">
      <c r="A199" s="1">
        <v>196</v>
      </c>
      <c r="B199" s="1" t="s">
        <v>375</v>
      </c>
      <c r="C199" s="1" t="s">
        <v>275</v>
      </c>
      <c r="D199" s="1" t="s">
        <v>723</v>
      </c>
      <c r="E199" s="1" t="s">
        <v>917</v>
      </c>
    </row>
    <row r="200" spans="1:5">
      <c r="A200" s="1">
        <v>197</v>
      </c>
      <c r="B200" s="1" t="s">
        <v>375</v>
      </c>
      <c r="C200" s="1" t="s">
        <v>275</v>
      </c>
      <c r="D200" s="1" t="s">
        <v>723</v>
      </c>
      <c r="E200" s="1" t="s">
        <v>918</v>
      </c>
    </row>
    <row r="201" spans="1:5">
      <c r="A201" s="1">
        <v>198</v>
      </c>
      <c r="B201" s="1" t="s">
        <v>375</v>
      </c>
      <c r="C201" s="1" t="s">
        <v>275</v>
      </c>
      <c r="D201" s="1" t="s">
        <v>723</v>
      </c>
      <c r="E201" s="1" t="s">
        <v>919</v>
      </c>
    </row>
    <row r="202" spans="1:5">
      <c r="A202" s="1">
        <v>199</v>
      </c>
      <c r="B202" s="1" t="s">
        <v>375</v>
      </c>
      <c r="C202" s="1" t="s">
        <v>275</v>
      </c>
      <c r="D202" s="1" t="s">
        <v>723</v>
      </c>
      <c r="E202" s="1" t="s">
        <v>920</v>
      </c>
    </row>
    <row r="203" spans="1:5">
      <c r="A203" s="1">
        <v>200</v>
      </c>
      <c r="B203" s="1" t="s">
        <v>375</v>
      </c>
      <c r="C203" s="1" t="s">
        <v>275</v>
      </c>
      <c r="D203" s="1" t="s">
        <v>723</v>
      </c>
      <c r="E203" s="1" t="s">
        <v>921</v>
      </c>
    </row>
    <row r="204" spans="1:5">
      <c r="A204" s="1">
        <v>201</v>
      </c>
      <c r="B204" s="1" t="s">
        <v>375</v>
      </c>
      <c r="C204" s="1" t="s">
        <v>275</v>
      </c>
      <c r="D204" s="1" t="s">
        <v>723</v>
      </c>
      <c r="E204" s="1" t="s">
        <v>922</v>
      </c>
    </row>
    <row r="205" spans="1:5">
      <c r="A205" s="1">
        <v>202</v>
      </c>
      <c r="B205" s="1" t="s">
        <v>375</v>
      </c>
      <c r="C205" s="1" t="s">
        <v>275</v>
      </c>
      <c r="D205" s="1" t="s">
        <v>723</v>
      </c>
      <c r="E205" s="1" t="s">
        <v>923</v>
      </c>
    </row>
    <row r="206" spans="1:5">
      <c r="A206" s="1">
        <v>203</v>
      </c>
      <c r="B206" s="1" t="s">
        <v>375</v>
      </c>
      <c r="C206" s="1" t="s">
        <v>276</v>
      </c>
      <c r="D206" s="1" t="s">
        <v>723</v>
      </c>
      <c r="E206" s="1" t="s">
        <v>924</v>
      </c>
    </row>
    <row r="207" spans="1:5">
      <c r="A207" s="1">
        <v>204</v>
      </c>
      <c r="B207" s="1" t="s">
        <v>375</v>
      </c>
      <c r="C207" s="1" t="s">
        <v>276</v>
      </c>
      <c r="D207" s="1" t="s">
        <v>723</v>
      </c>
      <c r="E207" s="1" t="s">
        <v>925</v>
      </c>
    </row>
    <row r="208" spans="1:5">
      <c r="A208" s="1">
        <v>205</v>
      </c>
      <c r="B208" s="1" t="s">
        <v>375</v>
      </c>
      <c r="C208" s="1" t="s">
        <v>276</v>
      </c>
      <c r="D208" s="1" t="s">
        <v>723</v>
      </c>
      <c r="E208" s="1" t="s">
        <v>926</v>
      </c>
    </row>
    <row r="209" spans="1:5">
      <c r="A209" s="1">
        <v>206</v>
      </c>
      <c r="B209" s="1" t="s">
        <v>375</v>
      </c>
      <c r="C209" s="1" t="s">
        <v>276</v>
      </c>
      <c r="D209" s="1" t="s">
        <v>723</v>
      </c>
      <c r="E209" s="1" t="s">
        <v>927</v>
      </c>
    </row>
    <row r="210" spans="1:5">
      <c r="A210" s="1">
        <v>207</v>
      </c>
      <c r="B210" s="1" t="s">
        <v>375</v>
      </c>
      <c r="C210" s="1" t="s">
        <v>276</v>
      </c>
      <c r="D210" s="1" t="s">
        <v>723</v>
      </c>
      <c r="E210" s="1" t="s">
        <v>928</v>
      </c>
    </row>
    <row r="211" spans="1:5">
      <c r="A211" s="1">
        <v>208</v>
      </c>
      <c r="B211" s="1" t="s">
        <v>375</v>
      </c>
      <c r="C211" s="1" t="s">
        <v>276</v>
      </c>
      <c r="D211" s="1" t="s">
        <v>723</v>
      </c>
      <c r="E211" s="1" t="s">
        <v>929</v>
      </c>
    </row>
    <row r="212" spans="1:5">
      <c r="A212" s="1">
        <v>209</v>
      </c>
      <c r="B212" s="1" t="s">
        <v>375</v>
      </c>
      <c r="C212" s="1" t="s">
        <v>276</v>
      </c>
      <c r="D212" s="1" t="s">
        <v>723</v>
      </c>
      <c r="E212" s="1" t="s">
        <v>930</v>
      </c>
    </row>
    <row r="213" spans="1:5">
      <c r="A213" s="1">
        <v>210</v>
      </c>
      <c r="B213" s="1" t="s">
        <v>375</v>
      </c>
      <c r="C213" s="1" t="s">
        <v>276</v>
      </c>
      <c r="D213" s="1" t="s">
        <v>723</v>
      </c>
      <c r="E213" s="1" t="s">
        <v>931</v>
      </c>
    </row>
    <row r="214" spans="1:5">
      <c r="A214" s="1">
        <v>211</v>
      </c>
      <c r="B214" s="1" t="s">
        <v>375</v>
      </c>
      <c r="C214" s="1" t="s">
        <v>276</v>
      </c>
      <c r="D214" s="1" t="s">
        <v>723</v>
      </c>
      <c r="E214" s="1" t="s">
        <v>932</v>
      </c>
    </row>
    <row r="215" spans="1:5">
      <c r="A215" s="1">
        <v>212</v>
      </c>
      <c r="B215" s="1" t="s">
        <v>375</v>
      </c>
      <c r="C215" s="1" t="s">
        <v>276</v>
      </c>
      <c r="D215" s="1" t="s">
        <v>723</v>
      </c>
      <c r="E215" s="1" t="s">
        <v>933</v>
      </c>
    </row>
    <row r="216" spans="1:5">
      <c r="A216" s="1">
        <v>213</v>
      </c>
      <c r="B216" s="1" t="s">
        <v>375</v>
      </c>
      <c r="C216" s="1" t="s">
        <v>276</v>
      </c>
      <c r="D216" s="1" t="s">
        <v>723</v>
      </c>
      <c r="E216" s="1" t="s">
        <v>934</v>
      </c>
    </row>
    <row r="217" spans="1:5">
      <c r="A217" s="1">
        <v>214</v>
      </c>
      <c r="B217" s="1" t="s">
        <v>375</v>
      </c>
      <c r="C217" s="1" t="s">
        <v>276</v>
      </c>
      <c r="D217" s="1" t="s">
        <v>723</v>
      </c>
      <c r="E217" s="1" t="s">
        <v>935</v>
      </c>
    </row>
    <row r="218" spans="1:5">
      <c r="A218" s="1">
        <v>215</v>
      </c>
      <c r="B218" s="1" t="s">
        <v>375</v>
      </c>
      <c r="C218" s="1" t="s">
        <v>276</v>
      </c>
      <c r="D218" s="1" t="s">
        <v>723</v>
      </c>
      <c r="E218" s="1" t="s">
        <v>936</v>
      </c>
    </row>
    <row r="219" spans="1:5">
      <c r="A219" s="1">
        <v>216</v>
      </c>
      <c r="B219" s="1" t="s">
        <v>375</v>
      </c>
      <c r="C219" s="1" t="s">
        <v>276</v>
      </c>
      <c r="D219" s="1" t="s">
        <v>723</v>
      </c>
      <c r="E219" s="1" t="s">
        <v>937</v>
      </c>
    </row>
    <row r="220" spans="1:5" ht="28">
      <c r="A220" s="1">
        <v>217</v>
      </c>
      <c r="B220" s="1" t="s">
        <v>938</v>
      </c>
      <c r="C220" s="1" t="s">
        <v>271</v>
      </c>
      <c r="D220" s="1" t="s">
        <v>939</v>
      </c>
      <c r="E220" s="1" t="s">
        <v>940</v>
      </c>
    </row>
    <row r="221" spans="1:5" ht="28">
      <c r="A221" s="1">
        <v>218</v>
      </c>
      <c r="B221" s="1" t="s">
        <v>938</v>
      </c>
      <c r="C221" s="1" t="s">
        <v>272</v>
      </c>
      <c r="D221" s="1" t="s">
        <v>939</v>
      </c>
      <c r="E221" s="1" t="s">
        <v>941</v>
      </c>
    </row>
    <row r="222" spans="1:5" ht="28">
      <c r="A222" s="1">
        <v>219</v>
      </c>
      <c r="B222" s="1" t="s">
        <v>938</v>
      </c>
      <c r="C222" s="1" t="s">
        <v>273</v>
      </c>
      <c r="D222" s="1" t="s">
        <v>939</v>
      </c>
      <c r="E222" s="1" t="s">
        <v>942</v>
      </c>
    </row>
    <row r="223" spans="1:5" ht="28">
      <c r="A223" s="1">
        <v>220</v>
      </c>
      <c r="B223" s="1" t="s">
        <v>938</v>
      </c>
      <c r="C223" s="1" t="s">
        <v>274</v>
      </c>
      <c r="D223" s="1" t="s">
        <v>939</v>
      </c>
      <c r="E223" s="1" t="s">
        <v>943</v>
      </c>
    </row>
    <row r="224" spans="1:5" ht="28">
      <c r="A224" s="1">
        <v>221</v>
      </c>
      <c r="B224" s="1" t="s">
        <v>938</v>
      </c>
      <c r="C224" s="1" t="s">
        <v>275</v>
      </c>
      <c r="D224" s="1" t="s">
        <v>939</v>
      </c>
      <c r="E224" s="1" t="s">
        <v>944</v>
      </c>
    </row>
    <row r="225" spans="1:5" ht="28">
      <c r="A225" s="1">
        <v>222</v>
      </c>
      <c r="B225" s="1" t="s">
        <v>938</v>
      </c>
      <c r="C225" s="1" t="s">
        <v>276</v>
      </c>
      <c r="D225" s="1" t="s">
        <v>939</v>
      </c>
      <c r="E225" s="1" t="s">
        <v>945</v>
      </c>
    </row>
    <row r="226" spans="1:5" ht="28">
      <c r="A226" s="1">
        <v>223</v>
      </c>
      <c r="B226" s="1" t="s">
        <v>946</v>
      </c>
      <c r="C226" s="1" t="s">
        <v>271</v>
      </c>
      <c r="D226" s="1" t="s">
        <v>939</v>
      </c>
      <c r="E226" s="1" t="s">
        <v>947</v>
      </c>
    </row>
    <row r="227" spans="1:5" ht="28">
      <c r="A227" s="1">
        <v>224</v>
      </c>
      <c r="B227" s="1" t="s">
        <v>946</v>
      </c>
      <c r="C227" s="1" t="s">
        <v>272</v>
      </c>
      <c r="D227" s="1" t="s">
        <v>939</v>
      </c>
      <c r="E227" s="1" t="s">
        <v>948</v>
      </c>
    </row>
    <row r="228" spans="1:5" ht="28">
      <c r="A228" s="1">
        <v>225</v>
      </c>
      <c r="B228" s="1" t="s">
        <v>946</v>
      </c>
      <c r="C228" s="1" t="s">
        <v>273</v>
      </c>
      <c r="D228" s="1" t="s">
        <v>939</v>
      </c>
      <c r="E228" s="1" t="s">
        <v>949</v>
      </c>
    </row>
    <row r="229" spans="1:5" ht="28">
      <c r="A229" s="1">
        <v>226</v>
      </c>
      <c r="B229" s="1" t="s">
        <v>946</v>
      </c>
      <c r="C229" s="1" t="s">
        <v>274</v>
      </c>
      <c r="D229" s="1" t="s">
        <v>939</v>
      </c>
      <c r="E229" s="1" t="s">
        <v>950</v>
      </c>
    </row>
    <row r="230" spans="1:5" ht="28">
      <c r="A230" s="1">
        <v>227</v>
      </c>
      <c r="B230" s="1" t="s">
        <v>946</v>
      </c>
      <c r="C230" s="1" t="s">
        <v>275</v>
      </c>
      <c r="D230" s="1" t="s">
        <v>939</v>
      </c>
      <c r="E230" s="1" t="s">
        <v>951</v>
      </c>
    </row>
    <row r="231" spans="1:5" ht="28">
      <c r="A231" s="1">
        <v>228</v>
      </c>
      <c r="B231" s="1" t="s">
        <v>946</v>
      </c>
      <c r="C231" s="1" t="s">
        <v>276</v>
      </c>
      <c r="D231" s="1" t="s">
        <v>939</v>
      </c>
      <c r="E231" s="1" t="s">
        <v>952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5"/>
  <sheetViews>
    <sheetView topLeftCell="A126" workbookViewId="0">
      <selection activeCell="C133" sqref="C133"/>
    </sheetView>
  </sheetViews>
  <sheetFormatPr defaultRowHeight="14"/>
  <cols>
    <col min="1" max="1" width="8" customWidth="1"/>
    <col min="2" max="2" width="27" customWidth="1"/>
    <col min="3" max="3" width="88" customWidth="1"/>
    <col min="4" max="4" width="18" customWidth="1"/>
  </cols>
  <sheetData>
    <row r="1" spans="1:4" ht="18.649999999999999" customHeight="1">
      <c r="A1" s="151" t="s">
        <v>953</v>
      </c>
      <c r="B1" s="151"/>
      <c r="C1" s="151"/>
      <c r="D1" s="151"/>
    </row>
    <row r="2" spans="1:4" ht="29.4" customHeight="1">
      <c r="A2" s="152" t="s">
        <v>954</v>
      </c>
      <c r="B2" s="152"/>
      <c r="C2" s="152"/>
      <c r="D2" s="152"/>
    </row>
    <row r="3" spans="1:4">
      <c r="A3" s="89" t="s">
        <v>955</v>
      </c>
      <c r="B3" s="89" t="s">
        <v>956</v>
      </c>
      <c r="C3" s="89" t="s">
        <v>722</v>
      </c>
      <c r="D3" s="89" t="s">
        <v>957</v>
      </c>
    </row>
    <row r="4" spans="1:4">
      <c r="A4" s="91">
        <v>1</v>
      </c>
      <c r="B4" s="92" t="s">
        <v>373</v>
      </c>
      <c r="C4" s="83" t="s">
        <v>724</v>
      </c>
      <c r="D4" s="90"/>
    </row>
    <row r="5" spans="1:4">
      <c r="A5" s="91">
        <v>2</v>
      </c>
      <c r="B5" s="92" t="s">
        <v>373</v>
      </c>
      <c r="C5" s="83" t="s">
        <v>725</v>
      </c>
      <c r="D5" s="90"/>
    </row>
    <row r="6" spans="1:4">
      <c r="A6" s="91">
        <v>3</v>
      </c>
      <c r="B6" s="92" t="s">
        <v>373</v>
      </c>
      <c r="C6" s="83" t="s">
        <v>726</v>
      </c>
      <c r="D6" s="90"/>
    </row>
    <row r="7" spans="1:4">
      <c r="A7" s="91">
        <v>4</v>
      </c>
      <c r="B7" s="92" t="s">
        <v>373</v>
      </c>
      <c r="C7" s="83" t="s">
        <v>727</v>
      </c>
      <c r="D7" s="90"/>
    </row>
    <row r="8" spans="1:4">
      <c r="A8" s="91">
        <v>5</v>
      </c>
      <c r="B8" s="92" t="s">
        <v>373</v>
      </c>
      <c r="C8" s="83" t="s">
        <v>728</v>
      </c>
      <c r="D8" s="90"/>
    </row>
    <row r="9" spans="1:4">
      <c r="A9" s="91">
        <v>6</v>
      </c>
      <c r="B9" s="92" t="s">
        <v>373</v>
      </c>
      <c r="C9" s="83" t="s">
        <v>729</v>
      </c>
      <c r="D9" s="90"/>
    </row>
    <row r="10" spans="1:4">
      <c r="A10" s="91">
        <v>7</v>
      </c>
      <c r="B10" s="92" t="s">
        <v>373</v>
      </c>
      <c r="C10" s="83" t="s">
        <v>730</v>
      </c>
      <c r="D10" s="90"/>
    </row>
    <row r="11" spans="1:4">
      <c r="A11" s="91">
        <v>8</v>
      </c>
      <c r="B11" s="92" t="s">
        <v>373</v>
      </c>
      <c r="C11" s="83" t="s">
        <v>731</v>
      </c>
      <c r="D11" s="90"/>
    </row>
    <row r="12" spans="1:4">
      <c r="A12" s="91">
        <v>9</v>
      </c>
      <c r="B12" s="92" t="s">
        <v>373</v>
      </c>
      <c r="C12" s="83" t="s">
        <v>732</v>
      </c>
      <c r="D12" s="90"/>
    </row>
    <row r="13" spans="1:4">
      <c r="A13" s="91">
        <v>10</v>
      </c>
      <c r="B13" s="92" t="s">
        <v>373</v>
      </c>
      <c r="C13" s="83" t="s">
        <v>733</v>
      </c>
      <c r="D13" s="90"/>
    </row>
    <row r="14" spans="1:4">
      <c r="A14" s="91">
        <v>11</v>
      </c>
      <c r="B14" s="92" t="s">
        <v>373</v>
      </c>
      <c r="C14" s="83" t="s">
        <v>734</v>
      </c>
      <c r="D14" s="90"/>
    </row>
    <row r="15" spans="1:4">
      <c r="A15" s="91">
        <v>12</v>
      </c>
      <c r="B15" s="92" t="s">
        <v>373</v>
      </c>
      <c r="C15" s="83" t="s">
        <v>735</v>
      </c>
      <c r="D15" s="90"/>
    </row>
    <row r="16" spans="1:4">
      <c r="A16" s="91">
        <v>13</v>
      </c>
      <c r="B16" s="92" t="s">
        <v>373</v>
      </c>
      <c r="C16" s="83" t="s">
        <v>736</v>
      </c>
      <c r="D16" s="90"/>
    </row>
    <row r="17" spans="1:4">
      <c r="A17" s="91">
        <v>14</v>
      </c>
      <c r="B17" s="92" t="s">
        <v>373</v>
      </c>
      <c r="C17" s="83" t="s">
        <v>737</v>
      </c>
      <c r="D17" s="90"/>
    </row>
    <row r="18" spans="1:4">
      <c r="A18" s="91">
        <v>15</v>
      </c>
      <c r="B18" s="92" t="s">
        <v>373</v>
      </c>
      <c r="C18" s="83" t="s">
        <v>738</v>
      </c>
      <c r="D18" s="90"/>
    </row>
    <row r="19" spans="1:4">
      <c r="A19" s="91">
        <v>16</v>
      </c>
      <c r="B19" s="92" t="s">
        <v>373</v>
      </c>
      <c r="C19" s="83" t="s">
        <v>739</v>
      </c>
      <c r="D19" s="90"/>
    </row>
    <row r="20" spans="1:4">
      <c r="A20" s="91">
        <v>17</v>
      </c>
      <c r="B20" s="92" t="s">
        <v>373</v>
      </c>
      <c r="C20" s="83" t="s">
        <v>740</v>
      </c>
      <c r="D20" s="90"/>
    </row>
    <row r="21" spans="1:4">
      <c r="A21" s="91">
        <v>18</v>
      </c>
      <c r="B21" s="92" t="s">
        <v>373</v>
      </c>
      <c r="C21" s="83" t="s">
        <v>741</v>
      </c>
      <c r="D21" s="90"/>
    </row>
    <row r="22" spans="1:4">
      <c r="A22" s="91">
        <v>19</v>
      </c>
      <c r="B22" s="92" t="s">
        <v>373</v>
      </c>
      <c r="C22" s="83" t="s">
        <v>742</v>
      </c>
      <c r="D22" s="90"/>
    </row>
    <row r="23" spans="1:4">
      <c r="A23" s="91">
        <v>20</v>
      </c>
      <c r="B23" s="92" t="s">
        <v>373</v>
      </c>
      <c r="C23" s="83" t="s">
        <v>743</v>
      </c>
      <c r="D23" s="90"/>
    </row>
    <row r="24" spans="1:4">
      <c r="A24" s="91">
        <v>21</v>
      </c>
      <c r="B24" s="92" t="s">
        <v>373</v>
      </c>
      <c r="C24" s="83" t="s">
        <v>744</v>
      </c>
      <c r="D24" s="90"/>
    </row>
    <row r="25" spans="1:4">
      <c r="A25" s="91">
        <v>22</v>
      </c>
      <c r="B25" s="92" t="s">
        <v>373</v>
      </c>
      <c r="C25" s="83" t="s">
        <v>745</v>
      </c>
      <c r="D25" s="90"/>
    </row>
    <row r="26" spans="1:4">
      <c r="A26" s="91">
        <v>23</v>
      </c>
      <c r="B26" s="92" t="s">
        <v>373</v>
      </c>
      <c r="C26" s="83" t="s">
        <v>746</v>
      </c>
      <c r="D26" s="90"/>
    </row>
    <row r="27" spans="1:4">
      <c r="A27" s="91">
        <v>24</v>
      </c>
      <c r="B27" s="92" t="s">
        <v>373</v>
      </c>
      <c r="C27" s="83" t="s">
        <v>747</v>
      </c>
      <c r="D27" s="90"/>
    </row>
    <row r="28" spans="1:4">
      <c r="A28" s="91">
        <v>25</v>
      </c>
      <c r="B28" s="92" t="s">
        <v>373</v>
      </c>
      <c r="C28" s="83" t="s">
        <v>748</v>
      </c>
      <c r="D28" s="90"/>
    </row>
    <row r="29" spans="1:4">
      <c r="A29" s="91">
        <v>26</v>
      </c>
      <c r="B29" s="92" t="s">
        <v>373</v>
      </c>
      <c r="C29" s="83" t="s">
        <v>749</v>
      </c>
      <c r="D29" s="90"/>
    </row>
    <row r="30" spans="1:4">
      <c r="A30" s="91">
        <v>27</v>
      </c>
      <c r="B30" s="92" t="s">
        <v>373</v>
      </c>
      <c r="C30" s="83" t="s">
        <v>750</v>
      </c>
      <c r="D30" s="90"/>
    </row>
    <row r="31" spans="1:4">
      <c r="A31" s="91">
        <v>28</v>
      </c>
      <c r="B31" s="92" t="s">
        <v>373</v>
      </c>
      <c r="C31" s="83" t="s">
        <v>751</v>
      </c>
      <c r="D31" s="90"/>
    </row>
    <row r="32" spans="1:4">
      <c r="A32" s="91">
        <v>29</v>
      </c>
      <c r="B32" s="92" t="s">
        <v>373</v>
      </c>
      <c r="C32" s="83" t="s">
        <v>752</v>
      </c>
      <c r="D32" s="90"/>
    </row>
    <row r="33" spans="1:4">
      <c r="A33" s="91">
        <v>30</v>
      </c>
      <c r="B33" s="92" t="s">
        <v>373</v>
      </c>
      <c r="C33" s="83" t="s">
        <v>753</v>
      </c>
      <c r="D33" s="90"/>
    </row>
    <row r="34" spans="1:4">
      <c r="A34" s="91">
        <v>31</v>
      </c>
      <c r="B34" s="92" t="s">
        <v>373</v>
      </c>
      <c r="C34" s="83" t="s">
        <v>754</v>
      </c>
      <c r="D34" s="90"/>
    </row>
    <row r="35" spans="1:4">
      <c r="A35" s="91">
        <v>32</v>
      </c>
      <c r="B35" s="92" t="s">
        <v>373</v>
      </c>
      <c r="C35" s="83" t="s">
        <v>755</v>
      </c>
      <c r="D35" s="90"/>
    </row>
    <row r="36" spans="1:4">
      <c r="A36" s="91">
        <v>33</v>
      </c>
      <c r="B36" s="92" t="s">
        <v>373</v>
      </c>
      <c r="C36" s="83" t="s">
        <v>756</v>
      </c>
      <c r="D36" s="90"/>
    </row>
    <row r="37" spans="1:4" ht="28">
      <c r="A37" s="91">
        <v>34</v>
      </c>
      <c r="B37" s="92" t="s">
        <v>373</v>
      </c>
      <c r="C37" s="83" t="s">
        <v>757</v>
      </c>
      <c r="D37" s="90"/>
    </row>
    <row r="38" spans="1:4">
      <c r="A38" s="91">
        <v>35</v>
      </c>
      <c r="B38" s="92" t="s">
        <v>373</v>
      </c>
      <c r="C38" s="83" t="s">
        <v>758</v>
      </c>
      <c r="D38" s="90"/>
    </row>
    <row r="39" spans="1:4" ht="28">
      <c r="A39" s="91">
        <v>36</v>
      </c>
      <c r="B39" s="92" t="s">
        <v>373</v>
      </c>
      <c r="C39" s="83" t="s">
        <v>759</v>
      </c>
      <c r="D39" s="90"/>
    </row>
    <row r="40" spans="1:4">
      <c r="A40" s="91">
        <v>37</v>
      </c>
      <c r="B40" s="92" t="s">
        <v>373</v>
      </c>
      <c r="C40" s="83" t="s">
        <v>760</v>
      </c>
      <c r="D40" s="90"/>
    </row>
    <row r="41" spans="1:4">
      <c r="A41" s="91">
        <v>38</v>
      </c>
      <c r="B41" s="92" t="s">
        <v>373</v>
      </c>
      <c r="C41" s="83" t="s">
        <v>761</v>
      </c>
      <c r="D41" s="90"/>
    </row>
    <row r="42" spans="1:4" ht="28">
      <c r="A42" s="91">
        <v>39</v>
      </c>
      <c r="B42" s="92" t="s">
        <v>373</v>
      </c>
      <c r="C42" s="83" t="s">
        <v>762</v>
      </c>
      <c r="D42" s="90"/>
    </row>
    <row r="43" spans="1:4" ht="28">
      <c r="A43" s="91">
        <v>40</v>
      </c>
      <c r="B43" s="92" t="s">
        <v>373</v>
      </c>
      <c r="C43" s="83" t="s">
        <v>763</v>
      </c>
      <c r="D43" s="90"/>
    </row>
    <row r="44" spans="1:4">
      <c r="A44" s="91">
        <v>41</v>
      </c>
      <c r="B44" s="92" t="s">
        <v>373</v>
      </c>
      <c r="C44" s="83" t="s">
        <v>764</v>
      </c>
      <c r="D44" s="90"/>
    </row>
    <row r="45" spans="1:4">
      <c r="A45" s="91">
        <v>42</v>
      </c>
      <c r="B45" s="92" t="s">
        <v>373</v>
      </c>
      <c r="C45" s="83" t="s">
        <v>765</v>
      </c>
      <c r="D45" s="90"/>
    </row>
    <row r="46" spans="1:4">
      <c r="A46" s="91">
        <v>43</v>
      </c>
      <c r="B46" s="92" t="s">
        <v>373</v>
      </c>
      <c r="C46" t="s">
        <v>982</v>
      </c>
      <c r="D46" s="90"/>
    </row>
    <row r="47" spans="1:4">
      <c r="A47" s="91">
        <v>44</v>
      </c>
      <c r="B47" s="92" t="s">
        <v>373</v>
      </c>
      <c r="C47" s="83" t="s">
        <v>766</v>
      </c>
      <c r="D47" s="90"/>
    </row>
    <row r="48" spans="1:4">
      <c r="A48" s="91">
        <v>45</v>
      </c>
      <c r="B48" s="92" t="s">
        <v>373</v>
      </c>
      <c r="C48" s="83" t="s">
        <v>767</v>
      </c>
      <c r="D48" s="90"/>
    </row>
    <row r="49" spans="1:4">
      <c r="A49" s="91">
        <v>46</v>
      </c>
      <c r="B49" s="92" t="s">
        <v>373</v>
      </c>
      <c r="C49" s="83" t="s">
        <v>768</v>
      </c>
      <c r="D49" s="90"/>
    </row>
    <row r="50" spans="1:4">
      <c r="A50" s="91">
        <v>47</v>
      </c>
      <c r="B50" s="92" t="s">
        <v>373</v>
      </c>
      <c r="C50" t="s">
        <v>983</v>
      </c>
      <c r="D50" s="90"/>
    </row>
    <row r="51" spans="1:4">
      <c r="A51" s="91">
        <v>48</v>
      </c>
      <c r="B51" s="92" t="s">
        <v>373</v>
      </c>
      <c r="C51" s="83" t="s">
        <v>769</v>
      </c>
      <c r="D51" s="90"/>
    </row>
    <row r="52" spans="1:4">
      <c r="A52" s="91">
        <v>49</v>
      </c>
      <c r="B52" s="92" t="s">
        <v>373</v>
      </c>
      <c r="C52" s="83" t="s">
        <v>770</v>
      </c>
      <c r="D52" s="90"/>
    </row>
    <row r="53" spans="1:4">
      <c r="A53" s="91">
        <v>50</v>
      </c>
      <c r="B53" s="92" t="s">
        <v>373</v>
      </c>
      <c r="C53" s="83" t="s">
        <v>771</v>
      </c>
      <c r="D53" s="90"/>
    </row>
    <row r="54" spans="1:4">
      <c r="A54" s="91">
        <v>51</v>
      </c>
      <c r="B54" s="92" t="s">
        <v>373</v>
      </c>
      <c r="C54" s="83" t="s">
        <v>772</v>
      </c>
      <c r="D54" s="90"/>
    </row>
    <row r="55" spans="1:4">
      <c r="A55" s="91">
        <v>52</v>
      </c>
      <c r="B55" s="92" t="s">
        <v>373</v>
      </c>
      <c r="C55" s="83" t="s">
        <v>773</v>
      </c>
      <c r="D55" s="90"/>
    </row>
    <row r="56" spans="1:4">
      <c r="A56" s="91">
        <v>53</v>
      </c>
      <c r="B56" s="92" t="s">
        <v>373</v>
      </c>
      <c r="C56" s="83" t="s">
        <v>774</v>
      </c>
      <c r="D56" s="90"/>
    </row>
    <row r="57" spans="1:4">
      <c r="A57" s="91">
        <v>54</v>
      </c>
      <c r="B57" s="92" t="s">
        <v>373</v>
      </c>
      <c r="C57" s="83" t="s">
        <v>775</v>
      </c>
      <c r="D57" s="90"/>
    </row>
    <row r="58" spans="1:4">
      <c r="A58" s="91">
        <v>55</v>
      </c>
      <c r="B58" s="92" t="s">
        <v>373</v>
      </c>
      <c r="C58" s="83" t="s">
        <v>776</v>
      </c>
      <c r="D58" s="90"/>
    </row>
    <row r="59" spans="1:4">
      <c r="A59" s="91">
        <v>56</v>
      </c>
      <c r="B59" s="92" t="s">
        <v>373</v>
      </c>
      <c r="C59" s="83" t="s">
        <v>777</v>
      </c>
      <c r="D59" s="90"/>
    </row>
    <row r="60" spans="1:4">
      <c r="A60" s="91">
        <v>57</v>
      </c>
      <c r="B60" s="92" t="s">
        <v>373</v>
      </c>
      <c r="C60" s="83" t="s">
        <v>778</v>
      </c>
      <c r="D60" s="90"/>
    </row>
    <row r="61" spans="1:4">
      <c r="A61" s="91">
        <v>58</v>
      </c>
      <c r="B61" s="92" t="s">
        <v>373</v>
      </c>
      <c r="C61" s="83" t="s">
        <v>779</v>
      </c>
      <c r="D61" s="90"/>
    </row>
    <row r="62" spans="1:4">
      <c r="A62" s="91">
        <v>59</v>
      </c>
      <c r="B62" s="92" t="s">
        <v>373</v>
      </c>
      <c r="C62" s="83" t="s">
        <v>780</v>
      </c>
      <c r="D62" s="90"/>
    </row>
    <row r="63" spans="1:4">
      <c r="A63" s="91">
        <v>60</v>
      </c>
      <c r="B63" s="92" t="s">
        <v>373</v>
      </c>
      <c r="C63" s="83" t="s">
        <v>781</v>
      </c>
      <c r="D63" s="90"/>
    </row>
    <row r="64" spans="1:4">
      <c r="A64" s="91">
        <v>61</v>
      </c>
      <c r="B64" s="92" t="s">
        <v>373</v>
      </c>
      <c r="C64" s="83" t="s">
        <v>782</v>
      </c>
      <c r="D64" s="90"/>
    </row>
    <row r="65" spans="1:4">
      <c r="A65" s="91">
        <v>62</v>
      </c>
      <c r="B65" s="92" t="s">
        <v>373</v>
      </c>
      <c r="C65" s="83" t="s">
        <v>783</v>
      </c>
      <c r="D65" s="90"/>
    </row>
    <row r="66" spans="1:4">
      <c r="A66" s="91">
        <v>63</v>
      </c>
      <c r="B66" s="92" t="s">
        <v>373</v>
      </c>
      <c r="C66" s="83" t="s">
        <v>784</v>
      </c>
      <c r="D66" s="90"/>
    </row>
    <row r="67" spans="1:4">
      <c r="A67" s="91">
        <v>64</v>
      </c>
      <c r="B67" s="92" t="s">
        <v>373</v>
      </c>
      <c r="C67" s="83" t="s">
        <v>785</v>
      </c>
      <c r="D67" s="90"/>
    </row>
    <row r="68" spans="1:4">
      <c r="A68" s="91">
        <v>65</v>
      </c>
      <c r="B68" s="92" t="s">
        <v>373</v>
      </c>
      <c r="C68" s="83" t="s">
        <v>786</v>
      </c>
      <c r="D68" s="90"/>
    </row>
    <row r="69" spans="1:4">
      <c r="A69" s="91">
        <v>66</v>
      </c>
      <c r="B69" s="92" t="s">
        <v>373</v>
      </c>
      <c r="C69" s="83" t="s">
        <v>787</v>
      </c>
      <c r="D69" s="90"/>
    </row>
    <row r="70" spans="1:4">
      <c r="A70" s="91">
        <v>67</v>
      </c>
      <c r="B70" s="93" t="s">
        <v>788</v>
      </c>
      <c r="C70" s="83" t="s">
        <v>789</v>
      </c>
      <c r="D70" s="90"/>
    </row>
    <row r="71" spans="1:4">
      <c r="A71" s="91">
        <v>68</v>
      </c>
      <c r="B71" s="93" t="s">
        <v>788</v>
      </c>
      <c r="C71" s="83" t="s">
        <v>790</v>
      </c>
      <c r="D71" s="90"/>
    </row>
    <row r="72" spans="1:4">
      <c r="A72" s="91">
        <v>69</v>
      </c>
      <c r="B72" s="93" t="s">
        <v>788</v>
      </c>
      <c r="C72" s="83" t="s">
        <v>791</v>
      </c>
      <c r="D72" s="90"/>
    </row>
    <row r="73" spans="1:4">
      <c r="A73" s="91">
        <v>70</v>
      </c>
      <c r="B73" s="93" t="s">
        <v>788</v>
      </c>
      <c r="C73" s="83" t="s">
        <v>792</v>
      </c>
      <c r="D73" s="90"/>
    </row>
    <row r="74" spans="1:4">
      <c r="A74" s="91">
        <v>71</v>
      </c>
      <c r="B74" s="93" t="s">
        <v>788</v>
      </c>
      <c r="C74" s="83" t="s">
        <v>793</v>
      </c>
      <c r="D74" s="90"/>
    </row>
    <row r="75" spans="1:4">
      <c r="A75" s="91">
        <v>72</v>
      </c>
      <c r="B75" s="93" t="s">
        <v>788</v>
      </c>
      <c r="C75" s="83" t="s">
        <v>794</v>
      </c>
      <c r="D75" s="90"/>
    </row>
    <row r="76" spans="1:4">
      <c r="A76" s="91">
        <v>73</v>
      </c>
      <c r="B76" s="93" t="s">
        <v>788</v>
      </c>
      <c r="C76" s="83" t="s">
        <v>795</v>
      </c>
      <c r="D76" s="90"/>
    </row>
    <row r="77" spans="1:4">
      <c r="A77" s="91">
        <v>74</v>
      </c>
      <c r="B77" s="93" t="s">
        <v>788</v>
      </c>
      <c r="C77" s="83" t="s">
        <v>796</v>
      </c>
      <c r="D77" s="90"/>
    </row>
    <row r="78" spans="1:4">
      <c r="A78" s="91">
        <v>75</v>
      </c>
      <c r="B78" s="93" t="s">
        <v>788</v>
      </c>
      <c r="C78" s="83" t="s">
        <v>797</v>
      </c>
      <c r="D78" s="90"/>
    </row>
    <row r="79" spans="1:4">
      <c r="A79" s="91">
        <v>76</v>
      </c>
      <c r="B79" s="93" t="s">
        <v>788</v>
      </c>
      <c r="C79" s="83" t="s">
        <v>798</v>
      </c>
      <c r="D79" s="90"/>
    </row>
    <row r="80" spans="1:4">
      <c r="A80" s="91">
        <v>77</v>
      </c>
      <c r="B80" s="93" t="s">
        <v>788</v>
      </c>
      <c r="C80" s="83" t="s">
        <v>799</v>
      </c>
      <c r="D80" s="90"/>
    </row>
    <row r="81" spans="1:4">
      <c r="A81" s="91">
        <v>78</v>
      </c>
      <c r="B81" s="93" t="s">
        <v>788</v>
      </c>
      <c r="C81" s="83" t="s">
        <v>800</v>
      </c>
      <c r="D81" s="90"/>
    </row>
    <row r="82" spans="1:4">
      <c r="A82" s="91">
        <v>79</v>
      </c>
      <c r="B82" s="93" t="s">
        <v>788</v>
      </c>
      <c r="C82" s="83" t="s">
        <v>801</v>
      </c>
      <c r="D82" s="90"/>
    </row>
    <row r="83" spans="1:4">
      <c r="A83" s="91">
        <v>80</v>
      </c>
      <c r="B83" s="93" t="s">
        <v>788</v>
      </c>
      <c r="C83" s="83" t="s">
        <v>802</v>
      </c>
      <c r="D83" s="90"/>
    </row>
    <row r="84" spans="1:4">
      <c r="A84" s="91">
        <v>81</v>
      </c>
      <c r="B84" s="93" t="s">
        <v>788</v>
      </c>
      <c r="C84" s="83" t="s">
        <v>803</v>
      </c>
      <c r="D84" s="90"/>
    </row>
    <row r="85" spans="1:4">
      <c r="A85" s="91">
        <v>82</v>
      </c>
      <c r="B85" s="93" t="s">
        <v>788</v>
      </c>
      <c r="C85" s="83" t="s">
        <v>804</v>
      </c>
      <c r="D85" s="90"/>
    </row>
    <row r="86" spans="1:4">
      <c r="A86" s="91">
        <v>83</v>
      </c>
      <c r="B86" s="93" t="s">
        <v>788</v>
      </c>
      <c r="C86" s="83" t="s">
        <v>805</v>
      </c>
      <c r="D86" s="90"/>
    </row>
    <row r="87" spans="1:4">
      <c r="A87" s="91">
        <v>84</v>
      </c>
      <c r="B87" s="93" t="s">
        <v>788</v>
      </c>
      <c r="C87" s="83" t="s">
        <v>806</v>
      </c>
      <c r="D87" s="90"/>
    </row>
    <row r="88" spans="1:4">
      <c r="A88" s="91">
        <v>85</v>
      </c>
      <c r="B88" s="93" t="s">
        <v>788</v>
      </c>
      <c r="C88" s="83" t="s">
        <v>807</v>
      </c>
      <c r="D88" s="90"/>
    </row>
    <row r="89" spans="1:4">
      <c r="A89" s="91">
        <v>86</v>
      </c>
      <c r="B89" s="93" t="s">
        <v>788</v>
      </c>
      <c r="C89" s="83" t="s">
        <v>808</v>
      </c>
      <c r="D89" s="90"/>
    </row>
    <row r="90" spans="1:4">
      <c r="A90" s="91">
        <v>87</v>
      </c>
      <c r="B90" s="93" t="s">
        <v>788</v>
      </c>
      <c r="C90" s="83" t="s">
        <v>809</v>
      </c>
      <c r="D90" s="90"/>
    </row>
    <row r="91" spans="1:4">
      <c r="A91" s="91">
        <v>88</v>
      </c>
      <c r="B91" s="93" t="s">
        <v>788</v>
      </c>
      <c r="C91" s="83" t="s">
        <v>810</v>
      </c>
      <c r="D91" s="90"/>
    </row>
    <row r="92" spans="1:4">
      <c r="A92" s="91">
        <v>89</v>
      </c>
      <c r="B92" s="93" t="s">
        <v>788</v>
      </c>
      <c r="C92" s="83" t="s">
        <v>811</v>
      </c>
      <c r="D92" s="90"/>
    </row>
    <row r="93" spans="1:4">
      <c r="A93" s="91">
        <v>90</v>
      </c>
      <c r="B93" s="93" t="s">
        <v>788</v>
      </c>
      <c r="C93" s="83" t="s">
        <v>812</v>
      </c>
      <c r="D93" s="90"/>
    </row>
    <row r="94" spans="1:4">
      <c r="A94" s="91">
        <v>91</v>
      </c>
      <c r="B94" s="93" t="s">
        <v>788</v>
      </c>
      <c r="C94" s="83" t="s">
        <v>813</v>
      </c>
      <c r="D94" s="90"/>
    </row>
    <row r="95" spans="1:4">
      <c r="A95" s="91">
        <v>92</v>
      </c>
      <c r="B95" s="93" t="s">
        <v>788</v>
      </c>
      <c r="C95" s="83" t="s">
        <v>814</v>
      </c>
      <c r="D95" s="90"/>
    </row>
    <row r="96" spans="1:4">
      <c r="A96" s="91">
        <v>93</v>
      </c>
      <c r="B96" s="93" t="s">
        <v>788</v>
      </c>
      <c r="C96" s="83" t="s">
        <v>815</v>
      </c>
      <c r="D96" s="90"/>
    </row>
    <row r="97" spans="1:4">
      <c r="A97" s="91">
        <v>94</v>
      </c>
      <c r="B97" s="93" t="s">
        <v>788</v>
      </c>
      <c r="C97" s="83" t="s">
        <v>816</v>
      </c>
      <c r="D97" s="90"/>
    </row>
    <row r="98" spans="1:4">
      <c r="A98" s="91">
        <v>95</v>
      </c>
      <c r="B98" s="93" t="s">
        <v>788</v>
      </c>
      <c r="C98" s="83" t="s">
        <v>817</v>
      </c>
      <c r="D98" s="90"/>
    </row>
    <row r="99" spans="1:4">
      <c r="A99" s="91">
        <v>96</v>
      </c>
      <c r="B99" s="93" t="s">
        <v>788</v>
      </c>
      <c r="C99" s="83" t="s">
        <v>818</v>
      </c>
      <c r="D99" s="90"/>
    </row>
    <row r="100" spans="1:4">
      <c r="A100" s="91">
        <v>97</v>
      </c>
      <c r="B100" s="93" t="s">
        <v>788</v>
      </c>
      <c r="C100" s="83" t="s">
        <v>819</v>
      </c>
      <c r="D100" s="90"/>
    </row>
    <row r="101" spans="1:4">
      <c r="A101" s="91">
        <v>98</v>
      </c>
      <c r="B101" s="93" t="s">
        <v>788</v>
      </c>
      <c r="C101" s="83" t="s">
        <v>820</v>
      </c>
      <c r="D101" s="90"/>
    </row>
    <row r="102" spans="1:4">
      <c r="A102" s="91">
        <v>99</v>
      </c>
      <c r="B102" s="93" t="s">
        <v>788</v>
      </c>
      <c r="C102" s="83" t="s">
        <v>821</v>
      </c>
      <c r="D102" s="90"/>
    </row>
    <row r="103" spans="1:4">
      <c r="A103" s="91">
        <v>100</v>
      </c>
      <c r="B103" s="93" t="s">
        <v>788</v>
      </c>
      <c r="C103" s="83" t="s">
        <v>822</v>
      </c>
      <c r="D103" s="90"/>
    </row>
    <row r="104" spans="1:4">
      <c r="A104" s="91">
        <v>101</v>
      </c>
      <c r="B104" s="93" t="s">
        <v>788</v>
      </c>
      <c r="C104" s="83" t="s">
        <v>823</v>
      </c>
      <c r="D104" s="90"/>
    </row>
    <row r="105" spans="1:4">
      <c r="A105" s="91">
        <v>102</v>
      </c>
      <c r="B105" s="93" t="s">
        <v>788</v>
      </c>
      <c r="C105" s="83" t="s">
        <v>824</v>
      </c>
      <c r="D105" s="90"/>
    </row>
    <row r="106" spans="1:4">
      <c r="A106" s="91">
        <v>103</v>
      </c>
      <c r="B106" s="93" t="s">
        <v>788</v>
      </c>
      <c r="C106" s="83" t="s">
        <v>825</v>
      </c>
      <c r="D106" s="90"/>
    </row>
    <row r="107" spans="1:4">
      <c r="A107" s="91">
        <v>104</v>
      </c>
      <c r="B107" s="93" t="s">
        <v>788</v>
      </c>
      <c r="C107" s="83" t="s">
        <v>826</v>
      </c>
      <c r="D107" s="90"/>
    </row>
    <row r="108" spans="1:4">
      <c r="A108" s="91">
        <v>105</v>
      </c>
      <c r="B108" s="93" t="s">
        <v>788</v>
      </c>
      <c r="C108" s="83" t="s">
        <v>827</v>
      </c>
      <c r="D108" s="90"/>
    </row>
    <row r="109" spans="1:4">
      <c r="A109" s="91">
        <v>106</v>
      </c>
      <c r="B109" s="93" t="s">
        <v>788</v>
      </c>
      <c r="C109" s="83" t="s">
        <v>828</v>
      </c>
      <c r="D109" s="90"/>
    </row>
    <row r="110" spans="1:4">
      <c r="A110" s="91">
        <v>107</v>
      </c>
      <c r="B110" s="93" t="s">
        <v>788</v>
      </c>
      <c r="C110" s="83" t="s">
        <v>829</v>
      </c>
      <c r="D110" s="90"/>
    </row>
    <row r="111" spans="1:4">
      <c r="A111" s="91">
        <v>108</v>
      </c>
      <c r="B111" s="93" t="s">
        <v>788</v>
      </c>
      <c r="C111" s="83" t="s">
        <v>830</v>
      </c>
      <c r="D111" s="90"/>
    </row>
    <row r="112" spans="1:4" ht="28">
      <c r="A112" s="91">
        <v>109</v>
      </c>
      <c r="B112" s="93" t="s">
        <v>788</v>
      </c>
      <c r="C112" s="83" t="s">
        <v>831</v>
      </c>
      <c r="D112" s="90"/>
    </row>
    <row r="113" spans="1:4">
      <c r="A113" s="91">
        <v>110</v>
      </c>
      <c r="B113" s="93" t="s">
        <v>788</v>
      </c>
      <c r="C113" s="83" t="s">
        <v>832</v>
      </c>
      <c r="D113" s="90"/>
    </row>
    <row r="114" spans="1:4" ht="28">
      <c r="A114" s="91">
        <v>111</v>
      </c>
      <c r="B114" s="93" t="s">
        <v>788</v>
      </c>
      <c r="C114" s="83" t="s">
        <v>833</v>
      </c>
      <c r="D114" s="90"/>
    </row>
    <row r="115" spans="1:4">
      <c r="A115" s="91">
        <v>112</v>
      </c>
      <c r="B115" s="93" t="s">
        <v>788</v>
      </c>
      <c r="C115" s="83" t="s">
        <v>834</v>
      </c>
      <c r="D115" s="90"/>
    </row>
    <row r="116" spans="1:4">
      <c r="A116" s="91">
        <v>113</v>
      </c>
      <c r="B116" s="93" t="s">
        <v>788</v>
      </c>
      <c r="C116" s="83" t="s">
        <v>835</v>
      </c>
      <c r="D116" s="90"/>
    </row>
    <row r="117" spans="1:4">
      <c r="A117" s="91">
        <v>114</v>
      </c>
      <c r="B117" s="93" t="s">
        <v>788</v>
      </c>
      <c r="C117" s="83" t="s">
        <v>836</v>
      </c>
      <c r="D117" s="90"/>
    </row>
    <row r="118" spans="1:4">
      <c r="A118" s="91">
        <v>115</v>
      </c>
      <c r="B118" s="93" t="s">
        <v>788</v>
      </c>
      <c r="C118" s="83" t="s">
        <v>837</v>
      </c>
      <c r="D118" s="90"/>
    </row>
    <row r="119" spans="1:4">
      <c r="A119" s="91">
        <v>116</v>
      </c>
      <c r="B119" s="93" t="s">
        <v>788</v>
      </c>
      <c r="C119" s="83" t="s">
        <v>838</v>
      </c>
      <c r="D119" s="90"/>
    </row>
    <row r="120" spans="1:4">
      <c r="A120" s="91">
        <v>117</v>
      </c>
      <c r="B120" s="93" t="s">
        <v>788</v>
      </c>
      <c r="C120" s="83" t="s">
        <v>839</v>
      </c>
      <c r="D120" s="90"/>
    </row>
    <row r="121" spans="1:4">
      <c r="A121" s="91">
        <v>118</v>
      </c>
      <c r="B121" s="93" t="s">
        <v>788</v>
      </c>
      <c r="C121" s="83" t="s">
        <v>840</v>
      </c>
      <c r="D121" s="90"/>
    </row>
    <row r="122" spans="1:4">
      <c r="A122" s="91">
        <v>119</v>
      </c>
      <c r="B122" s="93" t="s">
        <v>788</v>
      </c>
      <c r="C122" s="83" t="s">
        <v>841</v>
      </c>
      <c r="D122" s="90"/>
    </row>
    <row r="123" spans="1:4">
      <c r="A123" s="91">
        <v>120</v>
      </c>
      <c r="B123" s="93" t="s">
        <v>788</v>
      </c>
      <c r="C123" s="83" t="s">
        <v>842</v>
      </c>
      <c r="D123" s="90"/>
    </row>
    <row r="124" spans="1:4">
      <c r="A124" s="91">
        <v>121</v>
      </c>
      <c r="B124" s="93" t="s">
        <v>788</v>
      </c>
      <c r="C124" s="83" t="s">
        <v>843</v>
      </c>
      <c r="D124" s="90"/>
    </row>
    <row r="125" spans="1:4">
      <c r="A125" s="91">
        <v>122</v>
      </c>
      <c r="B125" s="93" t="s">
        <v>788</v>
      </c>
      <c r="C125" s="83" t="s">
        <v>844</v>
      </c>
      <c r="D125" s="90"/>
    </row>
    <row r="126" spans="1:4">
      <c r="A126" s="91">
        <v>123</v>
      </c>
      <c r="B126" s="93" t="s">
        <v>788</v>
      </c>
      <c r="C126" s="83" t="s">
        <v>845</v>
      </c>
      <c r="D126" s="90"/>
    </row>
    <row r="127" spans="1:4">
      <c r="A127" s="91">
        <v>124</v>
      </c>
      <c r="B127" s="93" t="s">
        <v>788</v>
      </c>
      <c r="C127" s="83" t="s">
        <v>846</v>
      </c>
      <c r="D127" s="90"/>
    </row>
    <row r="128" spans="1:4">
      <c r="A128" s="91">
        <v>125</v>
      </c>
      <c r="B128" s="93" t="s">
        <v>788</v>
      </c>
      <c r="C128" s="83" t="s">
        <v>847</v>
      </c>
      <c r="D128" s="90"/>
    </row>
    <row r="129" spans="1:4">
      <c r="A129" s="91">
        <v>126</v>
      </c>
      <c r="B129" s="93" t="s">
        <v>788</v>
      </c>
      <c r="C129" s="83" t="s">
        <v>848</v>
      </c>
      <c r="D129" s="90"/>
    </row>
    <row r="130" spans="1:4">
      <c r="A130" s="91">
        <v>127</v>
      </c>
      <c r="B130" s="93" t="s">
        <v>788</v>
      </c>
      <c r="C130" s="83" t="s">
        <v>849</v>
      </c>
      <c r="D130" s="90"/>
    </row>
    <row r="131" spans="1:4">
      <c r="A131" s="91">
        <v>128</v>
      </c>
      <c r="B131" s="93" t="s">
        <v>788</v>
      </c>
      <c r="C131" s="83" t="s">
        <v>850</v>
      </c>
      <c r="D131" s="90"/>
    </row>
    <row r="132" spans="1:4">
      <c r="A132" s="91">
        <v>129</v>
      </c>
      <c r="B132" s="93" t="s">
        <v>788</v>
      </c>
      <c r="C132" s="83" t="s">
        <v>851</v>
      </c>
      <c r="D132" s="90"/>
    </row>
    <row r="133" spans="1:4">
      <c r="A133" s="91">
        <v>130</v>
      </c>
      <c r="B133" s="93" t="s">
        <v>788</v>
      </c>
      <c r="C133" t="s">
        <v>984</v>
      </c>
      <c r="D133" s="90"/>
    </row>
    <row r="134" spans="1:4">
      <c r="A134" s="91">
        <v>131</v>
      </c>
      <c r="B134" s="93" t="s">
        <v>788</v>
      </c>
      <c r="C134" s="83" t="s">
        <v>852</v>
      </c>
      <c r="D134" s="90"/>
    </row>
    <row r="135" spans="1:4">
      <c r="A135" s="91">
        <v>132</v>
      </c>
      <c r="B135" s="93" t="s">
        <v>788</v>
      </c>
      <c r="C135" s="83" t="s">
        <v>853</v>
      </c>
      <c r="D135" s="90"/>
    </row>
    <row r="136" spans="1:4">
      <c r="A136" s="91">
        <v>133</v>
      </c>
      <c r="B136" s="94" t="s">
        <v>375</v>
      </c>
      <c r="C136" s="83" t="s">
        <v>854</v>
      </c>
      <c r="D136" s="90"/>
    </row>
    <row r="137" spans="1:4">
      <c r="A137" s="91">
        <v>134</v>
      </c>
      <c r="B137" s="94" t="s">
        <v>375</v>
      </c>
      <c r="C137" s="83" t="s">
        <v>855</v>
      </c>
      <c r="D137" s="90"/>
    </row>
    <row r="138" spans="1:4">
      <c r="A138" s="91">
        <v>135</v>
      </c>
      <c r="B138" s="94" t="s">
        <v>375</v>
      </c>
      <c r="C138" s="83" t="s">
        <v>856</v>
      </c>
      <c r="D138" s="90"/>
    </row>
    <row r="139" spans="1:4">
      <c r="A139" s="91">
        <v>136</v>
      </c>
      <c r="B139" s="94" t="s">
        <v>375</v>
      </c>
      <c r="C139" s="83" t="s">
        <v>857</v>
      </c>
      <c r="D139" s="90"/>
    </row>
    <row r="140" spans="1:4">
      <c r="A140" s="91">
        <v>137</v>
      </c>
      <c r="B140" s="94" t="s">
        <v>375</v>
      </c>
      <c r="C140" s="83" t="s">
        <v>858</v>
      </c>
      <c r="D140" s="90"/>
    </row>
    <row r="141" spans="1:4">
      <c r="A141" s="91">
        <v>138</v>
      </c>
      <c r="B141" s="94" t="s">
        <v>375</v>
      </c>
      <c r="C141" s="83" t="s">
        <v>859</v>
      </c>
      <c r="D141" s="90"/>
    </row>
    <row r="142" spans="1:4">
      <c r="A142" s="91">
        <v>139</v>
      </c>
      <c r="B142" s="94" t="s">
        <v>375</v>
      </c>
      <c r="C142" s="83" t="s">
        <v>860</v>
      </c>
      <c r="D142" s="90"/>
    </row>
    <row r="143" spans="1:4">
      <c r="A143" s="91">
        <v>140</v>
      </c>
      <c r="B143" s="94" t="s">
        <v>375</v>
      </c>
      <c r="C143" s="83" t="s">
        <v>861</v>
      </c>
      <c r="D143" s="90"/>
    </row>
    <row r="144" spans="1:4">
      <c r="A144" s="91">
        <v>141</v>
      </c>
      <c r="B144" s="94" t="s">
        <v>375</v>
      </c>
      <c r="C144" s="83" t="s">
        <v>862</v>
      </c>
      <c r="D144" s="90"/>
    </row>
    <row r="145" spans="1:4">
      <c r="A145" s="91">
        <v>142</v>
      </c>
      <c r="B145" s="94" t="s">
        <v>375</v>
      </c>
      <c r="C145" s="83" t="s">
        <v>863</v>
      </c>
      <c r="D145" s="90"/>
    </row>
    <row r="146" spans="1:4">
      <c r="A146" s="91">
        <v>143</v>
      </c>
      <c r="B146" s="94" t="s">
        <v>375</v>
      </c>
      <c r="C146" s="83" t="s">
        <v>864</v>
      </c>
      <c r="D146" s="90"/>
    </row>
    <row r="147" spans="1:4">
      <c r="A147" s="91">
        <v>144</v>
      </c>
      <c r="B147" s="94" t="s">
        <v>375</v>
      </c>
      <c r="C147" s="83" t="s">
        <v>865</v>
      </c>
      <c r="D147" s="90"/>
    </row>
    <row r="148" spans="1:4">
      <c r="A148" s="91">
        <v>145</v>
      </c>
      <c r="B148" s="94" t="s">
        <v>375</v>
      </c>
      <c r="C148" s="83" t="s">
        <v>866</v>
      </c>
      <c r="D148" s="90"/>
    </row>
    <row r="149" spans="1:4">
      <c r="A149" s="91">
        <v>146</v>
      </c>
      <c r="B149" s="94" t="s">
        <v>375</v>
      </c>
      <c r="C149" s="83" t="s">
        <v>867</v>
      </c>
      <c r="D149" s="90"/>
    </row>
    <row r="150" spans="1:4">
      <c r="A150" s="91">
        <v>147</v>
      </c>
      <c r="B150" s="94" t="s">
        <v>375</v>
      </c>
      <c r="C150" s="83" t="s">
        <v>868</v>
      </c>
      <c r="D150" s="90"/>
    </row>
    <row r="151" spans="1:4">
      <c r="A151" s="91">
        <v>148</v>
      </c>
      <c r="B151" s="94" t="s">
        <v>375</v>
      </c>
      <c r="C151" s="83" t="s">
        <v>869</v>
      </c>
      <c r="D151" s="90"/>
    </row>
    <row r="152" spans="1:4">
      <c r="A152" s="91">
        <v>149</v>
      </c>
      <c r="B152" s="94" t="s">
        <v>375</v>
      </c>
      <c r="C152" s="83" t="s">
        <v>870</v>
      </c>
      <c r="D152" s="90"/>
    </row>
    <row r="153" spans="1:4">
      <c r="A153" s="91">
        <v>150</v>
      </c>
      <c r="B153" s="94" t="s">
        <v>375</v>
      </c>
      <c r="C153" s="83" t="s">
        <v>871</v>
      </c>
      <c r="D153" s="90"/>
    </row>
    <row r="154" spans="1:4">
      <c r="A154" s="91">
        <v>151</v>
      </c>
      <c r="B154" s="94" t="s">
        <v>375</v>
      </c>
      <c r="C154" s="83" t="s">
        <v>872</v>
      </c>
      <c r="D154" s="90"/>
    </row>
    <row r="155" spans="1:4">
      <c r="A155" s="91">
        <v>152</v>
      </c>
      <c r="B155" s="94" t="s">
        <v>375</v>
      </c>
      <c r="C155" s="83" t="s">
        <v>873</v>
      </c>
      <c r="D155" s="90"/>
    </row>
    <row r="156" spans="1:4">
      <c r="A156" s="91">
        <v>153</v>
      </c>
      <c r="B156" s="94" t="s">
        <v>375</v>
      </c>
      <c r="C156" s="83" t="s">
        <v>874</v>
      </c>
      <c r="D156" s="90"/>
    </row>
    <row r="157" spans="1:4">
      <c r="A157" s="91">
        <v>154</v>
      </c>
      <c r="B157" s="94" t="s">
        <v>375</v>
      </c>
      <c r="C157" s="83" t="s">
        <v>875</v>
      </c>
      <c r="D157" s="90"/>
    </row>
    <row r="158" spans="1:4">
      <c r="A158" s="91">
        <v>155</v>
      </c>
      <c r="B158" s="94" t="s">
        <v>375</v>
      </c>
      <c r="C158" s="83" t="s">
        <v>876</v>
      </c>
      <c r="D158" s="90"/>
    </row>
    <row r="159" spans="1:4">
      <c r="A159" s="91">
        <v>156</v>
      </c>
      <c r="B159" s="94" t="s">
        <v>375</v>
      </c>
      <c r="C159" s="83" t="s">
        <v>877</v>
      </c>
      <c r="D159" s="90"/>
    </row>
    <row r="160" spans="1:4">
      <c r="A160" s="91">
        <v>157</v>
      </c>
      <c r="B160" s="94" t="s">
        <v>375</v>
      </c>
      <c r="C160" s="83" t="s">
        <v>878</v>
      </c>
      <c r="D160" s="90"/>
    </row>
    <row r="161" spans="1:4">
      <c r="A161" s="91">
        <v>158</v>
      </c>
      <c r="B161" s="94" t="s">
        <v>375</v>
      </c>
      <c r="C161" s="83" t="s">
        <v>879</v>
      </c>
      <c r="D161" s="90"/>
    </row>
    <row r="162" spans="1:4">
      <c r="A162" s="91">
        <v>159</v>
      </c>
      <c r="B162" s="94" t="s">
        <v>375</v>
      </c>
      <c r="C162" s="83" t="s">
        <v>880</v>
      </c>
      <c r="D162" s="90"/>
    </row>
    <row r="163" spans="1:4">
      <c r="A163" s="91">
        <v>160</v>
      </c>
      <c r="B163" s="94" t="s">
        <v>375</v>
      </c>
      <c r="C163" s="83" t="s">
        <v>881</v>
      </c>
      <c r="D163" s="90"/>
    </row>
    <row r="164" spans="1:4">
      <c r="A164" s="91">
        <v>161</v>
      </c>
      <c r="B164" s="94" t="s">
        <v>375</v>
      </c>
      <c r="C164" s="83" t="s">
        <v>882</v>
      </c>
      <c r="D164" s="90"/>
    </row>
    <row r="165" spans="1:4">
      <c r="A165" s="91">
        <v>162</v>
      </c>
      <c r="B165" s="94" t="s">
        <v>375</v>
      </c>
      <c r="C165" s="83" t="s">
        <v>883</v>
      </c>
      <c r="D165" s="90"/>
    </row>
    <row r="166" spans="1:4">
      <c r="A166" s="91">
        <v>163</v>
      </c>
      <c r="B166" s="94" t="s">
        <v>375</v>
      </c>
      <c r="C166" s="83" t="s">
        <v>884</v>
      </c>
      <c r="D166" s="90"/>
    </row>
    <row r="167" spans="1:4">
      <c r="A167" s="91">
        <v>164</v>
      </c>
      <c r="B167" s="94" t="s">
        <v>375</v>
      </c>
      <c r="C167" s="83" t="s">
        <v>885</v>
      </c>
      <c r="D167" s="90"/>
    </row>
    <row r="168" spans="1:4">
      <c r="A168" s="91">
        <v>165</v>
      </c>
      <c r="B168" s="94" t="s">
        <v>375</v>
      </c>
      <c r="C168" s="83" t="s">
        <v>886</v>
      </c>
      <c r="D168" s="90"/>
    </row>
    <row r="169" spans="1:4">
      <c r="A169" s="91">
        <v>166</v>
      </c>
      <c r="B169" s="94" t="s">
        <v>375</v>
      </c>
      <c r="C169" s="83" t="s">
        <v>887</v>
      </c>
      <c r="D169" s="90"/>
    </row>
    <row r="170" spans="1:4">
      <c r="A170" s="91">
        <v>167</v>
      </c>
      <c r="B170" s="94" t="s">
        <v>375</v>
      </c>
      <c r="C170" s="83" t="s">
        <v>888</v>
      </c>
      <c r="D170" s="90"/>
    </row>
    <row r="171" spans="1:4">
      <c r="A171" s="91">
        <v>168</v>
      </c>
      <c r="B171" s="94" t="s">
        <v>375</v>
      </c>
      <c r="C171" s="83" t="s">
        <v>889</v>
      </c>
      <c r="D171" s="90"/>
    </row>
    <row r="172" spans="1:4">
      <c r="A172" s="91">
        <v>169</v>
      </c>
      <c r="B172" s="94" t="s">
        <v>375</v>
      </c>
      <c r="C172" s="83" t="s">
        <v>890</v>
      </c>
      <c r="D172" s="90"/>
    </row>
    <row r="173" spans="1:4">
      <c r="A173" s="91">
        <v>170</v>
      </c>
      <c r="B173" s="94" t="s">
        <v>375</v>
      </c>
      <c r="C173" s="83" t="s">
        <v>891</v>
      </c>
      <c r="D173" s="90"/>
    </row>
    <row r="174" spans="1:4">
      <c r="A174" s="91">
        <v>171</v>
      </c>
      <c r="B174" s="94" t="s">
        <v>375</v>
      </c>
      <c r="C174" s="83" t="s">
        <v>892</v>
      </c>
      <c r="D174" s="90"/>
    </row>
    <row r="175" spans="1:4">
      <c r="A175" s="91">
        <v>172</v>
      </c>
      <c r="B175" s="94" t="s">
        <v>375</v>
      </c>
      <c r="C175" s="83" t="s">
        <v>893</v>
      </c>
      <c r="D175" s="90"/>
    </row>
    <row r="176" spans="1:4">
      <c r="A176" s="91">
        <v>173</v>
      </c>
      <c r="B176" s="94" t="s">
        <v>375</v>
      </c>
      <c r="C176" s="83" t="s">
        <v>894</v>
      </c>
      <c r="D176" s="90"/>
    </row>
    <row r="177" spans="1:4">
      <c r="A177" s="91">
        <v>174</v>
      </c>
      <c r="B177" s="94" t="s">
        <v>375</v>
      </c>
      <c r="C177" s="83" t="s">
        <v>895</v>
      </c>
      <c r="D177" s="90"/>
    </row>
    <row r="178" spans="1:4">
      <c r="A178" s="91">
        <v>175</v>
      </c>
      <c r="B178" s="94" t="s">
        <v>375</v>
      </c>
      <c r="C178" s="83" t="s">
        <v>896</v>
      </c>
      <c r="D178" s="90"/>
    </row>
    <row r="179" spans="1:4">
      <c r="A179" s="91">
        <v>176</v>
      </c>
      <c r="B179" s="94" t="s">
        <v>375</v>
      </c>
      <c r="C179" s="83" t="s">
        <v>897</v>
      </c>
      <c r="D179" s="90"/>
    </row>
    <row r="180" spans="1:4">
      <c r="A180" s="91">
        <v>177</v>
      </c>
      <c r="B180" s="94" t="s">
        <v>375</v>
      </c>
      <c r="C180" s="83" t="s">
        <v>898</v>
      </c>
      <c r="D180" s="90"/>
    </row>
    <row r="181" spans="1:4">
      <c r="A181" s="91">
        <v>178</v>
      </c>
      <c r="B181" s="94" t="s">
        <v>375</v>
      </c>
      <c r="C181" s="83" t="s">
        <v>899</v>
      </c>
      <c r="D181" s="90"/>
    </row>
    <row r="182" spans="1:4">
      <c r="A182" s="91">
        <v>179</v>
      </c>
      <c r="B182" s="94" t="s">
        <v>375</v>
      </c>
      <c r="C182" s="83" t="s">
        <v>900</v>
      </c>
      <c r="D182" s="90"/>
    </row>
    <row r="183" spans="1:4">
      <c r="A183" s="91">
        <v>180</v>
      </c>
      <c r="B183" s="94" t="s">
        <v>375</v>
      </c>
      <c r="C183" s="83" t="s">
        <v>901</v>
      </c>
      <c r="D183" s="90"/>
    </row>
    <row r="184" spans="1:4">
      <c r="A184" s="91">
        <v>181</v>
      </c>
      <c r="B184" s="94" t="s">
        <v>375</v>
      </c>
      <c r="C184" s="83" t="s">
        <v>902</v>
      </c>
      <c r="D184" s="90"/>
    </row>
    <row r="185" spans="1:4">
      <c r="A185" s="91">
        <v>182</v>
      </c>
      <c r="B185" s="94" t="s">
        <v>375</v>
      </c>
      <c r="C185" s="83" t="s">
        <v>903</v>
      </c>
      <c r="D185" s="90"/>
    </row>
    <row r="186" spans="1:4">
      <c r="A186" s="91">
        <v>183</v>
      </c>
      <c r="B186" s="94" t="s">
        <v>375</v>
      </c>
      <c r="C186" s="83" t="s">
        <v>904</v>
      </c>
      <c r="D186" s="90"/>
    </row>
    <row r="187" spans="1:4">
      <c r="A187" s="91">
        <v>184</v>
      </c>
      <c r="B187" s="94" t="s">
        <v>375</v>
      </c>
      <c r="C187" s="83" t="s">
        <v>905</v>
      </c>
      <c r="D187" s="90"/>
    </row>
    <row r="188" spans="1:4">
      <c r="A188" s="91">
        <v>185</v>
      </c>
      <c r="B188" s="94" t="s">
        <v>375</v>
      </c>
      <c r="C188" s="83" t="s">
        <v>906</v>
      </c>
      <c r="D188" s="90"/>
    </row>
    <row r="189" spans="1:4">
      <c r="A189" s="91">
        <v>186</v>
      </c>
      <c r="B189" s="94" t="s">
        <v>375</v>
      </c>
      <c r="C189" s="83" t="s">
        <v>907</v>
      </c>
      <c r="D189" s="90"/>
    </row>
    <row r="190" spans="1:4">
      <c r="A190" s="91">
        <v>187</v>
      </c>
      <c r="B190" s="94" t="s">
        <v>375</v>
      </c>
      <c r="C190" s="83" t="s">
        <v>908</v>
      </c>
      <c r="D190" s="90"/>
    </row>
    <row r="191" spans="1:4">
      <c r="A191" s="91">
        <v>188</v>
      </c>
      <c r="B191" s="94" t="s">
        <v>375</v>
      </c>
      <c r="C191" s="83" t="s">
        <v>909</v>
      </c>
      <c r="D191" s="90"/>
    </row>
    <row r="192" spans="1:4">
      <c r="A192" s="91">
        <v>189</v>
      </c>
      <c r="B192" s="94" t="s">
        <v>375</v>
      </c>
      <c r="C192" s="83" t="s">
        <v>910</v>
      </c>
      <c r="D192" s="90"/>
    </row>
    <row r="193" spans="1:4">
      <c r="A193" s="91">
        <v>190</v>
      </c>
      <c r="B193" s="94" t="s">
        <v>375</v>
      </c>
      <c r="C193" s="83" t="s">
        <v>911</v>
      </c>
      <c r="D193" s="90"/>
    </row>
    <row r="194" spans="1:4">
      <c r="A194" s="91">
        <v>191</v>
      </c>
      <c r="B194" s="94" t="s">
        <v>375</v>
      </c>
      <c r="C194" s="83" t="s">
        <v>912</v>
      </c>
      <c r="D194" s="90"/>
    </row>
    <row r="195" spans="1:4">
      <c r="A195" s="91">
        <v>192</v>
      </c>
      <c r="B195" s="94" t="s">
        <v>375</v>
      </c>
      <c r="C195" s="83" t="s">
        <v>913</v>
      </c>
      <c r="D195" s="90"/>
    </row>
    <row r="196" spans="1:4">
      <c r="A196" s="91">
        <v>193</v>
      </c>
      <c r="B196" s="94" t="s">
        <v>375</v>
      </c>
      <c r="C196" s="83" t="s">
        <v>914</v>
      </c>
      <c r="D196" s="90"/>
    </row>
    <row r="197" spans="1:4">
      <c r="A197" s="91">
        <v>194</v>
      </c>
      <c r="B197" s="94" t="s">
        <v>375</v>
      </c>
      <c r="C197" s="83" t="s">
        <v>915</v>
      </c>
      <c r="D197" s="90"/>
    </row>
    <row r="198" spans="1:4">
      <c r="A198" s="91">
        <v>195</v>
      </c>
      <c r="B198" s="94" t="s">
        <v>375</v>
      </c>
      <c r="C198" s="83" t="s">
        <v>916</v>
      </c>
      <c r="D198" s="90"/>
    </row>
    <row r="199" spans="1:4">
      <c r="A199" s="91">
        <v>196</v>
      </c>
      <c r="B199" s="94" t="s">
        <v>375</v>
      </c>
      <c r="C199" s="83" t="s">
        <v>917</v>
      </c>
      <c r="D199" s="90"/>
    </row>
    <row r="200" spans="1:4">
      <c r="A200" s="91">
        <v>197</v>
      </c>
      <c r="B200" s="94" t="s">
        <v>375</v>
      </c>
      <c r="C200" s="83" t="s">
        <v>918</v>
      </c>
      <c r="D200" s="90"/>
    </row>
    <row r="201" spans="1:4">
      <c r="A201" s="91">
        <v>198</v>
      </c>
      <c r="B201" s="94" t="s">
        <v>375</v>
      </c>
      <c r="C201" s="83" t="s">
        <v>919</v>
      </c>
      <c r="D201" s="90"/>
    </row>
    <row r="202" spans="1:4">
      <c r="A202" s="91">
        <v>199</v>
      </c>
      <c r="B202" s="94" t="s">
        <v>375</v>
      </c>
      <c r="C202" s="83" t="s">
        <v>920</v>
      </c>
      <c r="D202" s="90"/>
    </row>
    <row r="203" spans="1:4">
      <c r="A203" s="91">
        <v>200</v>
      </c>
      <c r="B203" s="94" t="s">
        <v>375</v>
      </c>
      <c r="C203" s="83" t="s">
        <v>921</v>
      </c>
      <c r="D203" s="90"/>
    </row>
    <row r="204" spans="1:4">
      <c r="A204" s="91">
        <v>201</v>
      </c>
      <c r="B204" s="94" t="s">
        <v>375</v>
      </c>
      <c r="C204" s="83" t="s">
        <v>922</v>
      </c>
      <c r="D204" s="90"/>
    </row>
    <row r="205" spans="1:4">
      <c r="A205" s="91">
        <v>202</v>
      </c>
      <c r="B205" s="94" t="s">
        <v>375</v>
      </c>
      <c r="C205" s="83" t="s">
        <v>923</v>
      </c>
      <c r="D205" s="90"/>
    </row>
    <row r="206" spans="1:4">
      <c r="A206" s="91">
        <v>203</v>
      </c>
      <c r="B206" s="94" t="s">
        <v>375</v>
      </c>
      <c r="C206" s="83" t="s">
        <v>924</v>
      </c>
      <c r="D206" s="90"/>
    </row>
    <row r="207" spans="1:4">
      <c r="A207" s="91">
        <v>204</v>
      </c>
      <c r="B207" s="94" t="s">
        <v>375</v>
      </c>
      <c r="C207" s="83" t="s">
        <v>925</v>
      </c>
      <c r="D207" s="90"/>
    </row>
    <row r="208" spans="1:4">
      <c r="A208" s="91">
        <v>205</v>
      </c>
      <c r="B208" s="94" t="s">
        <v>375</v>
      </c>
      <c r="C208" s="83" t="s">
        <v>926</v>
      </c>
      <c r="D208" s="90"/>
    </row>
    <row r="209" spans="1:4">
      <c r="A209" s="91">
        <v>206</v>
      </c>
      <c r="B209" s="94" t="s">
        <v>375</v>
      </c>
      <c r="C209" s="83" t="s">
        <v>927</v>
      </c>
      <c r="D209" s="90"/>
    </row>
    <row r="210" spans="1:4">
      <c r="A210" s="91">
        <v>207</v>
      </c>
      <c r="B210" s="94" t="s">
        <v>375</v>
      </c>
      <c r="C210" s="83" t="s">
        <v>928</v>
      </c>
      <c r="D210" s="90"/>
    </row>
    <row r="211" spans="1:4">
      <c r="A211" s="91">
        <v>208</v>
      </c>
      <c r="B211" s="94" t="s">
        <v>375</v>
      </c>
      <c r="C211" s="83" t="s">
        <v>929</v>
      </c>
      <c r="D211" s="90"/>
    </row>
    <row r="212" spans="1:4">
      <c r="A212" s="91">
        <v>209</v>
      </c>
      <c r="B212" s="94" t="s">
        <v>375</v>
      </c>
      <c r="C212" s="83" t="s">
        <v>930</v>
      </c>
      <c r="D212" s="90"/>
    </row>
    <row r="213" spans="1:4">
      <c r="A213" s="91">
        <v>210</v>
      </c>
      <c r="B213" s="94" t="s">
        <v>375</v>
      </c>
      <c r="C213" s="83" t="s">
        <v>931</v>
      </c>
      <c r="D213" s="90"/>
    </row>
    <row r="214" spans="1:4">
      <c r="A214" s="91">
        <v>211</v>
      </c>
      <c r="B214" s="94" t="s">
        <v>375</v>
      </c>
      <c r="C214" s="83" t="s">
        <v>932</v>
      </c>
      <c r="D214" s="90"/>
    </row>
    <row r="215" spans="1:4">
      <c r="A215" s="91">
        <v>212</v>
      </c>
      <c r="B215" s="94" t="s">
        <v>375</v>
      </c>
      <c r="C215" s="83" t="s">
        <v>933</v>
      </c>
      <c r="D215" s="90"/>
    </row>
    <row r="216" spans="1:4">
      <c r="A216" s="91">
        <v>213</v>
      </c>
      <c r="B216" s="94" t="s">
        <v>375</v>
      </c>
      <c r="C216" s="83" t="s">
        <v>934</v>
      </c>
      <c r="D216" s="90"/>
    </row>
    <row r="217" spans="1:4">
      <c r="A217" s="91">
        <v>214</v>
      </c>
      <c r="B217" s="94" t="s">
        <v>375</v>
      </c>
      <c r="C217" s="83" t="s">
        <v>935</v>
      </c>
      <c r="D217" s="90"/>
    </row>
    <row r="218" spans="1:4">
      <c r="A218" s="91">
        <v>215</v>
      </c>
      <c r="B218" s="94" t="s">
        <v>375</v>
      </c>
      <c r="C218" s="83" t="s">
        <v>936</v>
      </c>
      <c r="D218" s="90"/>
    </row>
    <row r="219" spans="1:4">
      <c r="A219" s="91">
        <v>216</v>
      </c>
      <c r="B219" s="94" t="s">
        <v>375</v>
      </c>
      <c r="C219" s="83" t="s">
        <v>937</v>
      </c>
      <c r="D219" s="90"/>
    </row>
    <row r="221" spans="1:4">
      <c r="A221" s="153" t="s">
        <v>958</v>
      </c>
      <c r="B221" s="153"/>
      <c r="C221" s="153"/>
      <c r="D221" s="153"/>
    </row>
    <row r="222" spans="1:4">
      <c r="A222" s="154" t="s">
        <v>959</v>
      </c>
      <c r="B222" s="154"/>
      <c r="C222" s="154"/>
      <c r="D222" s="154"/>
    </row>
    <row r="223" spans="1:4">
      <c r="A223" s="88" t="s">
        <v>955</v>
      </c>
      <c r="B223" s="88" t="s">
        <v>372</v>
      </c>
      <c r="C223" s="88" t="s">
        <v>960</v>
      </c>
      <c r="D223" s="88" t="s">
        <v>961</v>
      </c>
    </row>
    <row r="224" spans="1:4">
      <c r="A224">
        <v>1</v>
      </c>
      <c r="B224" t="s">
        <v>962</v>
      </c>
      <c r="C224" s="1" t="s">
        <v>963</v>
      </c>
      <c r="D224" s="95"/>
    </row>
    <row r="225" spans="1:4">
      <c r="A225">
        <v>2</v>
      </c>
      <c r="B225" t="s">
        <v>962</v>
      </c>
      <c r="C225" s="1" t="s">
        <v>964</v>
      </c>
      <c r="D225" s="95"/>
    </row>
    <row r="226" spans="1:4">
      <c r="A226">
        <v>3</v>
      </c>
      <c r="B226" t="s">
        <v>962</v>
      </c>
      <c r="C226" s="1" t="s">
        <v>965</v>
      </c>
      <c r="D226" s="95"/>
    </row>
    <row r="227" spans="1:4">
      <c r="A227">
        <v>4</v>
      </c>
      <c r="B227" t="s">
        <v>962</v>
      </c>
      <c r="C227" s="1" t="s">
        <v>966</v>
      </c>
      <c r="D227" s="95"/>
    </row>
    <row r="228" spans="1:4" ht="28">
      <c r="A228">
        <v>5</v>
      </c>
      <c r="B228" t="s">
        <v>962</v>
      </c>
      <c r="C228" s="1" t="s">
        <v>967</v>
      </c>
      <c r="D228" s="95"/>
    </row>
    <row r="229" spans="1:4">
      <c r="A229">
        <v>6</v>
      </c>
      <c r="B229" t="s">
        <v>962</v>
      </c>
      <c r="C229" s="1" t="s">
        <v>968</v>
      </c>
      <c r="D229" s="95"/>
    </row>
    <row r="230" spans="1:4">
      <c r="A230">
        <v>7</v>
      </c>
      <c r="B230" t="s">
        <v>969</v>
      </c>
      <c r="C230" s="1" t="s">
        <v>963</v>
      </c>
      <c r="D230" s="95"/>
    </row>
    <row r="231" spans="1:4">
      <c r="A231">
        <v>8</v>
      </c>
      <c r="B231" t="s">
        <v>969</v>
      </c>
      <c r="C231" s="1" t="s">
        <v>964</v>
      </c>
      <c r="D231" s="95"/>
    </row>
    <row r="232" spans="1:4">
      <c r="A232">
        <v>9</v>
      </c>
      <c r="B232" t="s">
        <v>969</v>
      </c>
      <c r="C232" s="1" t="s">
        <v>965</v>
      </c>
      <c r="D232" s="95"/>
    </row>
    <row r="233" spans="1:4">
      <c r="A233">
        <v>10</v>
      </c>
      <c r="B233" t="s">
        <v>969</v>
      </c>
      <c r="C233" s="1" t="s">
        <v>966</v>
      </c>
      <c r="D233" s="95"/>
    </row>
    <row r="234" spans="1:4" ht="28">
      <c r="A234">
        <v>11</v>
      </c>
      <c r="B234" t="s">
        <v>969</v>
      </c>
      <c r="C234" s="1" t="s">
        <v>967</v>
      </c>
      <c r="D234" s="95"/>
    </row>
    <row r="235" spans="1:4">
      <c r="A235">
        <v>12</v>
      </c>
      <c r="B235" t="s">
        <v>969</v>
      </c>
      <c r="C235" s="1" t="s">
        <v>968</v>
      </c>
      <c r="D235" s="95"/>
    </row>
  </sheetData>
  <mergeCells count="4">
    <mergeCell ref="A1:D1"/>
    <mergeCell ref="A2:D2"/>
    <mergeCell ref="A221:D221"/>
    <mergeCell ref="A222:D222"/>
  </mergeCells>
  <dataValidations count="2">
    <dataValidation type="list" sqref="D4:D219" xr:uid="{00000000-0002-0000-0700-000000000000}">
      <formula1>"0,1"</formula1>
    </dataValidation>
    <dataValidation type="list" sqref="D224:D235" xr:uid="{00000000-0002-0000-0700-000001000000}">
      <formula1>"1,2,3,4,5,6,7"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Menu</vt:lpstr>
      <vt:lpstr>entri hasil dari isian siswa</vt:lpstr>
      <vt:lpstr>Hasil Tes siswa</vt:lpstr>
      <vt:lpstr>Laporan Kelompok</vt:lpstr>
      <vt:lpstr>Hasil</vt:lpstr>
      <vt:lpstr>Kunci dari RIASEC</vt:lpstr>
      <vt:lpstr>Kunci Jawaban</vt:lpstr>
      <vt:lpstr>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SAHIN</dc:creator>
  <cp:lastModifiedBy>Reviewer</cp:lastModifiedBy>
  <dcterms:created xsi:type="dcterms:W3CDTF">2026-09-19T06:11:57Z</dcterms:created>
  <dcterms:modified xsi:type="dcterms:W3CDTF">2026-09-19T06:53:43Z</dcterms:modified>
</cp:coreProperties>
</file>